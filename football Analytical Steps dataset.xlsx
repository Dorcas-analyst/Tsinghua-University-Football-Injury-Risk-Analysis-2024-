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1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12.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drawings/drawing13.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dorca\Videos\DATA ANALYSIS\"/>
    </mc:Choice>
  </mc:AlternateContent>
  <xr:revisionPtr revIDLastSave="0" documentId="13_ncr:1_{EA5AF418-4595-45D2-BFAE-CA857F25C8D6}" xr6:coauthVersionLast="47" xr6:coauthVersionMax="47" xr10:uidLastSave="{00000000-0000-0000-0000-000000000000}"/>
  <bookViews>
    <workbookView xWindow="-120" yWindow="-120" windowWidth="20730" windowHeight="11160" tabRatio="930" activeTab="6" xr2:uid="{7C7EA504-77D2-4EB6-BE62-341741B94194}"/>
  </bookViews>
  <sheets>
    <sheet name="original_data" sheetId="1" r:id="rId1"/>
    <sheet name="cleaned_data" sheetId="2" r:id="rId2"/>
    <sheet name="Pre-analysis Board" sheetId="3" r:id="rId3"/>
    <sheet name="In-analysis Board" sheetId="19" r:id="rId4"/>
    <sheet name="Dashboard" sheetId="17" r:id="rId5"/>
    <sheet name="Post-analysis Board" sheetId="20" r:id="rId6"/>
    <sheet name="Coerrelation of knee&amp;hamstring&amp;" sheetId="4" r:id="rId7"/>
    <sheet name="Routine Status" sheetId="6" r:id="rId8"/>
    <sheet name="Injury status" sheetId="7" r:id="rId9"/>
    <sheet name="Reaction time by age" sheetId="8" r:id="rId10"/>
    <sheet name="Agility and nutrition analysis" sheetId="10" r:id="rId11"/>
    <sheet name="Nurtition grade" sheetId="12" r:id="rId12"/>
    <sheet name="matches analysis" sheetId="14" r:id="rId13"/>
    <sheet name="Position analysis" sheetId="13" r:id="rId14"/>
    <sheet name="Stress level analysis" sheetId="9" r:id="rId15"/>
  </sheets>
  <definedNames>
    <definedName name="Slicer_Age">#N/A</definedName>
    <definedName name="Slicer_Position">#N/A</definedName>
    <definedName name="Slicer_Routine_Status">#N/A</definedName>
  </definedNames>
  <calcPr calcId="191029"/>
  <pivotCaches>
    <pivotCache cacheId="9"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 r="R2" i="2"/>
  <c r="T2" i="2"/>
  <c r="V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alcChain>
</file>

<file path=xl/sharedStrings.xml><?xml version="1.0" encoding="utf-8"?>
<sst xmlns="http://schemas.openxmlformats.org/spreadsheetml/2006/main" count="1713" uniqueCount="61">
  <si>
    <t>Age</t>
  </si>
  <si>
    <t>Height_cm</t>
  </si>
  <si>
    <t>Weight_kg</t>
  </si>
  <si>
    <t>Position</t>
  </si>
  <si>
    <t>Training_Hours_Per_Week</t>
  </si>
  <si>
    <t>Matches_Played_Past_Season</t>
  </si>
  <si>
    <t>Previous_Injury_Count</t>
  </si>
  <si>
    <t>Knee_Strength_Score</t>
  </si>
  <si>
    <t>Hamstring_Flexibility</t>
  </si>
  <si>
    <t>Reaction_Time_ms</t>
  </si>
  <si>
    <t>Balance_Test_Score</t>
  </si>
  <si>
    <t>Sprint_Speed_10m_s</t>
  </si>
  <si>
    <t>Agility_Score</t>
  </si>
  <si>
    <t>Sleep_Hours_Per_Night</t>
  </si>
  <si>
    <t>Stress_Level_Score</t>
  </si>
  <si>
    <t>Nutrition_Quality_Score</t>
  </si>
  <si>
    <t>Warmup_Routine_Adherence</t>
  </si>
  <si>
    <t>Injury_Next_Season</t>
  </si>
  <si>
    <t>BMI</t>
  </si>
  <si>
    <t>Midfielder</t>
  </si>
  <si>
    <t>Forward</t>
  </si>
  <si>
    <t>Defender</t>
  </si>
  <si>
    <t>Goalkeeper</t>
  </si>
  <si>
    <t>Row Labels</t>
  </si>
  <si>
    <t>Grand Total</t>
  </si>
  <si>
    <t>Average of Hamstring_Flexibility</t>
  </si>
  <si>
    <t>Average of Knee_Strength_Score</t>
  </si>
  <si>
    <t>Average of Agility_Score</t>
  </si>
  <si>
    <t>Injury_Status</t>
  </si>
  <si>
    <t>Routine_Status</t>
  </si>
  <si>
    <t>Nutrition grade</t>
  </si>
  <si>
    <t>Adherent</t>
  </si>
  <si>
    <t>Non-Adherent</t>
  </si>
  <si>
    <t>Count of Warmup_Routine_Adherence</t>
  </si>
  <si>
    <t>Injury</t>
  </si>
  <si>
    <t>No Injury</t>
  </si>
  <si>
    <t>Count of Injury_Next_Season</t>
  </si>
  <si>
    <t>Average of Reaction_Time_ms</t>
  </si>
  <si>
    <t>Average of Stress_Level_Score</t>
  </si>
  <si>
    <t>5-6</t>
  </si>
  <si>
    <t>6-7</t>
  </si>
  <si>
    <t>7-8</t>
  </si>
  <si>
    <t>8-9</t>
  </si>
  <si>
    <t>9-10</t>
  </si>
  <si>
    <t>Average of Nutrition_Quality_Score</t>
  </si>
  <si>
    <t>Average Nutrition</t>
  </si>
  <si>
    <t>Good Nutrition</t>
  </si>
  <si>
    <t>Poor Nutrition</t>
  </si>
  <si>
    <t>Count of Age</t>
  </si>
  <si>
    <t>10-11</t>
  </si>
  <si>
    <t>11-12</t>
  </si>
  <si>
    <t>Count of Matches_Played_Past_Season</t>
  </si>
  <si>
    <t>Average of Injury_Next_Season</t>
  </si>
  <si>
    <t>Age (years)</t>
  </si>
  <si>
    <t>18 years</t>
  </si>
  <si>
    <t>19 years</t>
  </si>
  <si>
    <t>20 years</t>
  </si>
  <si>
    <t>21 years</t>
  </si>
  <si>
    <t>22 years</t>
  </si>
  <si>
    <t>23 years</t>
  </si>
  <si>
    <t>24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</si>
</sst>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quot;ms&quot;"/>
    <numFmt numFmtId="165" formatCode="0&quot;HR&quot;"/>
    <numFmt numFmtId="166" formatCode="0&quot;years&quot;"/>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4" tint="0.79998168889431442"/>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5" fontId="0" fillId="0" borderId="0" xfId="0" applyNumberFormat="1" applyAlignment="1">
      <alignment horizontal="left"/>
    </xf>
    <xf numFmtId="1" fontId="0" fillId="0" borderId="0" xfId="0" applyNumberFormat="1"/>
    <xf numFmtId="2" fontId="0" fillId="0" borderId="0" xfId="0" applyNumberFormat="1" applyAlignment="1">
      <alignment horizontal="left"/>
    </xf>
    <xf numFmtId="166" fontId="0" fillId="0" borderId="0" xfId="0" applyNumberFormat="1"/>
    <xf numFmtId="1" fontId="0" fillId="0" borderId="0" xfId="0" applyNumberFormat="1" applyAlignment="1">
      <alignment horizontal="left"/>
    </xf>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 formatCode="0"/>
    </dxf>
    <dxf>
      <numFmt numFmtId="165" formatCode="0&quot;HR&quot;"/>
    </dxf>
    <dxf>
      <numFmt numFmtId="2" formatCode="0.00"/>
    </dxf>
    <dxf>
      <numFmt numFmtId="2" formatCode="0.00"/>
    </dxf>
    <dxf>
      <numFmt numFmtId="2"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6" formatCode="0&quot;years&quot;"/>
    </dxf>
    <dxf>
      <numFmt numFmtId="1" formatCode="0"/>
    </dxf>
    <dxf>
      <font>
        <b/>
        <color theme="1"/>
      </font>
      <border>
        <bottom style="thin">
          <color theme="4"/>
        </bottom>
        <vertical/>
        <horizontal/>
      </border>
    </dxf>
    <dxf>
      <font>
        <color theme="1"/>
      </font>
      <fill>
        <patternFill>
          <bgColor theme="4" tint="-0.499984740745262"/>
        </patternFill>
      </fill>
      <border diagonalUp="0" diagonalDown="0">
        <left/>
        <right/>
        <top/>
        <bottom/>
        <vertical/>
        <horizontal/>
      </border>
    </dxf>
  </dxfs>
  <tableStyles count="1" defaultTableStyle="TableStyleMedium2" defaultPivotStyle="PivotStyleLight16">
    <tableStyle name="Chinese project" pivot="0" table="0" count="10" xr9:uid="{0CB8C546-8456-481B-82CA-7F1EBD36067C}">
      <tableStyleElement type="wholeTable" dxfId="22"/>
      <tableStyleElement type="headerRow" dxfId="21"/>
    </tableStyle>
  </tableStyles>
  <extLst>
    <ext xmlns:x14="http://schemas.microsoft.com/office/spreadsheetml/2009/9/main" uri="{46F421CA-312F-682f-3DD2-61675219B42D}">
      <x14:dxfs count="8">
        <dxf>
          <font>
            <b/>
            <i val="0"/>
            <sz val="12"/>
            <color rgb="FF000000"/>
            <name val="Georgia"/>
            <family val="1"/>
          </font>
          <fill>
            <patternFill patternType="solid">
              <fgColor auto="1"/>
              <bgColor theme="4" tint="0.3999450666829432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theme="4" tint="-0.499984740745262"/>
            <name val="Georgia"/>
            <family val="1"/>
            <scheme val="none"/>
          </font>
          <fill>
            <patternFill patternType="solid">
              <fgColor auto="1"/>
              <bgColor theme="4" tint="0.7999816888943144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theme="4" tint="-0.249977111117893"/>
            <name val="Georgia"/>
            <family val="1"/>
            <scheme val="none"/>
          </font>
          <fill>
            <patternFill patternType="solid">
              <fgColor theme="4" tint="0.59999389629810485"/>
              <bgColor theme="4" tint="0.39994506668294322"/>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2"/>
            <color theme="4" tint="-0.499984740745262"/>
            <name val="Georgia"/>
            <family val="1"/>
          </font>
          <fill>
            <patternFill patternType="solid">
              <fgColor theme="4"/>
              <bgColor theme="0"/>
            </patternFill>
          </fill>
          <border>
            <left style="thin">
              <color theme="4"/>
            </left>
            <right style="thin">
              <color theme="4"/>
            </right>
            <top style="thin">
              <color theme="4"/>
            </top>
            <bottom style="thin">
              <color theme="4"/>
            </bottom>
            <vertical/>
            <horizontal/>
          </border>
        </dxf>
        <dxf>
          <font>
            <b/>
            <i val="0"/>
            <sz val="12"/>
            <color theme="4" tint="-0.499984740745262"/>
            <name val="Georgia"/>
            <family val="1"/>
            <scheme val="none"/>
          </font>
          <fill>
            <patternFill patternType="solid">
              <fgColor rgb="FFDFDFDF"/>
              <bgColor theme="4" tint="0.79998168889431442"/>
            </patternFill>
          </fill>
          <border>
            <left style="thin">
              <color rgb="FFDFDFDF"/>
            </left>
            <right style="thin">
              <color rgb="FFDFDFDF"/>
            </right>
            <top style="thin">
              <color rgb="FFDFDFDF"/>
            </top>
            <bottom style="thin">
              <color rgb="FFDFDFDF"/>
            </bottom>
            <vertical/>
            <horizontal/>
          </border>
        </dxf>
        <dxf>
          <font>
            <b/>
            <i val="0"/>
            <sz val="12"/>
            <color theme="4" tint="-0.499984740745262"/>
            <name val="Georgia"/>
            <family val="1"/>
            <scheme val="none"/>
          </font>
          <fill>
            <patternFill patternType="solid">
              <fgColor rgb="FFC0C0C0"/>
              <bgColor theme="4" tint="0.3999450666829432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Chinese projec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dataset.xlsx]Coerrelation of knee&amp;hamstring&amp;!PivotTable1</c:name>
    <c:fmtId val="16"/>
  </c:pivotSource>
  <c:chart>
    <c:autoTitleDeleted val="0"/>
    <c:pivotFmts>
      <c:pivotFmt>
        <c:idx val="0"/>
        <c:spPr>
          <a:solidFill>
            <a:schemeClr val="accent1"/>
          </a:solidFill>
          <a:ln w="41275" cap="rnd">
            <a:solidFill>
              <a:schemeClr val="accent1">
                <a:lumMod val="60000"/>
                <a:lumOff val="40000"/>
              </a:schemeClr>
            </a:solidFill>
            <a:round/>
          </a:ln>
          <a:effectLst/>
        </c:spPr>
        <c:marker>
          <c:symbol val="diamond"/>
          <c:size val="7"/>
          <c:spPr>
            <a:solidFill>
              <a:schemeClr val="accent1">
                <a:lumMod val="20000"/>
                <a:lumOff val="80000"/>
              </a:schemeClr>
            </a:solidFill>
            <a:ln w="222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41275" cap="rnd">
            <a:solidFill>
              <a:schemeClr val="accent1"/>
            </a:solidFill>
            <a:round/>
          </a:ln>
          <a:effectLst/>
        </c:spPr>
        <c:marker>
          <c:symbol val="diamond"/>
          <c:size val="7"/>
          <c:spPr>
            <a:solidFill>
              <a:schemeClr val="accent1">
                <a:lumMod val="20000"/>
                <a:lumOff val="80000"/>
              </a:schemeClr>
            </a:solidFill>
            <a:ln w="222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2833327177853963E-2"/>
              <c:y val="-0.113460557013706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41275" cap="rnd">
            <a:solidFill>
              <a:schemeClr val="accent2"/>
            </a:solidFill>
            <a:round/>
          </a:ln>
          <a:effectLst/>
        </c:spPr>
        <c:marker>
          <c:symbol val="diamond"/>
          <c:size val="7"/>
          <c:spPr>
            <a:solidFill>
              <a:schemeClr val="accent1">
                <a:lumMod val="20000"/>
                <a:lumOff val="80000"/>
              </a:schemeClr>
            </a:solidFill>
            <a:ln w="22225">
              <a:solidFill>
                <a:schemeClr val="accent2"/>
              </a:solidFill>
            </a:ln>
            <a:effectLst/>
          </c:spPr>
        </c:marker>
        <c:dLbl>
          <c:idx val="0"/>
          <c:layout>
            <c:manualLayout>
              <c:x val="-4.4738086850752458E-2"/>
              <c:y val="-8.561351706036750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41275" cap="rnd">
            <a:solidFill>
              <a:schemeClr val="accent1">
                <a:lumMod val="60000"/>
                <a:lumOff val="40000"/>
              </a:schemeClr>
            </a:solidFill>
            <a:round/>
          </a:ln>
          <a:effectLst/>
        </c:spPr>
        <c:marker>
          <c:symbol val="diamond"/>
          <c:size val="7"/>
          <c:spPr>
            <a:solidFill>
              <a:schemeClr val="accent1">
                <a:lumMod val="20000"/>
                <a:lumOff val="80000"/>
              </a:schemeClr>
            </a:solidFill>
            <a:ln w="222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41275" cap="rnd">
            <a:solidFill>
              <a:schemeClr val="accent1"/>
            </a:solidFill>
            <a:round/>
          </a:ln>
          <a:effectLst/>
        </c:spPr>
        <c:marker>
          <c:symbol val="diamond"/>
          <c:size val="7"/>
          <c:spPr>
            <a:solidFill>
              <a:schemeClr val="accent1">
                <a:lumMod val="20000"/>
                <a:lumOff val="80000"/>
              </a:schemeClr>
            </a:solidFill>
            <a:ln w="222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41275" cap="rnd">
            <a:solidFill>
              <a:schemeClr val="accent2"/>
            </a:solidFill>
            <a:round/>
          </a:ln>
          <a:effectLst/>
        </c:spPr>
        <c:marker>
          <c:symbol val="diamond"/>
          <c:size val="7"/>
          <c:spPr>
            <a:solidFill>
              <a:schemeClr val="accent1">
                <a:lumMod val="20000"/>
                <a:lumOff val="80000"/>
              </a:schemeClr>
            </a:solidFill>
            <a:ln w="22225">
              <a:solidFill>
                <a:schemeClr val="accent2"/>
              </a:solidFill>
            </a:ln>
            <a:effectLst/>
          </c:spPr>
        </c:marker>
        <c:dLbl>
          <c:idx val="0"/>
          <c:layout>
            <c:manualLayout>
              <c:x val="-4.4738086850752458E-2"/>
              <c:y val="-8.561351706036750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41275" cap="rnd">
            <a:solidFill>
              <a:schemeClr val="accent1">
                <a:lumMod val="60000"/>
                <a:lumOff val="40000"/>
              </a:schemeClr>
            </a:solidFill>
            <a:round/>
          </a:ln>
          <a:effectLst/>
        </c:spPr>
        <c:marker>
          <c:symbol val="diamond"/>
          <c:size val="7"/>
          <c:spPr>
            <a:solidFill>
              <a:schemeClr val="accent1">
                <a:lumMod val="20000"/>
                <a:lumOff val="80000"/>
              </a:schemeClr>
            </a:solidFill>
            <a:ln w="222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
        <c:idx val="9"/>
        <c:spPr>
          <a:ln w="41275" cap="rnd">
            <a:solidFill>
              <a:schemeClr val="accent1">
                <a:lumMod val="50000"/>
              </a:schemeClr>
            </a:solidFill>
            <a:round/>
          </a:ln>
          <a:effectLst/>
        </c:spPr>
        <c:marker>
          <c:symbol val="diamond"/>
          <c:size val="7"/>
          <c:spPr>
            <a:solidFill>
              <a:schemeClr val="accent1">
                <a:lumMod val="20000"/>
                <a:lumOff val="80000"/>
              </a:schemeClr>
            </a:solidFill>
            <a:ln w="22225">
              <a:solidFill>
                <a:schemeClr val="accent2"/>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41275" cap="rnd">
            <a:solidFill>
              <a:schemeClr val="accent1">
                <a:lumMod val="50000"/>
              </a:schemeClr>
            </a:solidFill>
            <a:round/>
          </a:ln>
          <a:effectLst/>
        </c:spPr>
        <c:marker>
          <c:symbol val="diamond"/>
          <c:size val="7"/>
          <c:spPr>
            <a:solidFill>
              <a:schemeClr val="accent1">
                <a:lumMod val="20000"/>
                <a:lumOff val="80000"/>
              </a:schemeClr>
            </a:solidFill>
            <a:ln w="22225">
              <a:solidFill>
                <a:schemeClr val="accent1"/>
              </a:solidFill>
            </a:ln>
            <a:effectLst/>
          </c:spPr>
        </c:marker>
        <c:dLbl>
          <c:idx val="0"/>
          <c:layout>
            <c:manualLayout>
              <c:x val="-4.4738086850752458E-2"/>
              <c:y val="-8.5613517060367503E-2"/>
            </c:manualLayout>
          </c:layout>
          <c:spPr>
            <a:noFill/>
            <a:ln>
              <a:noFill/>
            </a:ln>
            <a:effectLst/>
          </c:spPr>
          <c:txPr>
            <a:bodyPr rot="0" spcFirstLastPara="1" vertOverflow="ellipsis"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41275" cap="rnd">
            <a:solidFill>
              <a:schemeClr val="accent1">
                <a:lumMod val="50000"/>
              </a:schemeClr>
            </a:solidFill>
            <a:round/>
          </a:ln>
          <a:effectLst/>
        </c:spPr>
        <c:marker>
          <c:symbol val="diamond"/>
          <c:size val="7"/>
          <c:spPr>
            <a:solidFill>
              <a:schemeClr val="accent1">
                <a:lumMod val="20000"/>
                <a:lumOff val="80000"/>
              </a:schemeClr>
            </a:solidFill>
            <a:ln w="22225">
              <a:solidFill>
                <a:schemeClr val="accent2"/>
              </a:solidFill>
            </a:ln>
            <a:effectLst/>
          </c:spPr>
        </c:marker>
      </c:pivotFmt>
    </c:pivotFmts>
    <c:plotArea>
      <c:layout>
        <c:manualLayout>
          <c:layoutTarget val="inner"/>
          <c:xMode val="edge"/>
          <c:yMode val="edge"/>
          <c:x val="4.4960654117333857E-3"/>
          <c:y val="0.33792169129543737"/>
          <c:w val="0.99550393458826658"/>
          <c:h val="0.51294013590766907"/>
        </c:manualLayout>
      </c:layout>
      <c:lineChart>
        <c:grouping val="standard"/>
        <c:varyColors val="0"/>
        <c:ser>
          <c:idx val="0"/>
          <c:order val="0"/>
          <c:tx>
            <c:strRef>
              <c:f>'Coerrelation of knee&amp;hamstring&amp;'!$B$3</c:f>
              <c:strCache>
                <c:ptCount val="1"/>
                <c:pt idx="0">
                  <c:v>Average of Knee_Strength_Score</c:v>
                </c:pt>
              </c:strCache>
            </c:strRef>
          </c:tx>
          <c:spPr>
            <a:ln w="41275" cap="rnd">
              <a:solidFill>
                <a:schemeClr val="accent1">
                  <a:lumMod val="60000"/>
                  <a:lumOff val="40000"/>
                </a:schemeClr>
              </a:solidFill>
              <a:round/>
            </a:ln>
            <a:effectLst/>
          </c:spPr>
          <c:marker>
            <c:symbol val="diamond"/>
            <c:size val="7"/>
            <c:spPr>
              <a:solidFill>
                <a:schemeClr val="accent1">
                  <a:lumMod val="20000"/>
                  <a:lumOff val="80000"/>
                </a:schemeClr>
              </a:solidFill>
              <a:ln w="22225">
                <a:solidFill>
                  <a:schemeClr val="accent1">
                    <a:lumMod val="60000"/>
                    <a:lumOff val="40000"/>
                  </a:schemeClr>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'Coerrelation of knee&amp;hamstring&amp;'!$A$4:$A$11</c:f>
              <c:strCache>
                <c:ptCount val="7"/>
                <c:pt idx="0">
                  <c:v>18 years</c:v>
                </c:pt>
                <c:pt idx="1">
                  <c:v>19 years</c:v>
                </c:pt>
                <c:pt idx="2">
                  <c:v>20 years</c:v>
                </c:pt>
                <c:pt idx="3">
                  <c:v>21 years</c:v>
                </c:pt>
                <c:pt idx="4">
                  <c:v>22 years</c:v>
                </c:pt>
                <c:pt idx="5">
                  <c:v>23 years</c:v>
                </c:pt>
                <c:pt idx="6">
                  <c:v>24 years</c:v>
                </c:pt>
              </c:strCache>
            </c:strRef>
          </c:cat>
          <c:val>
            <c:numRef>
              <c:f>'Coerrelation of knee&amp;hamstring&amp;'!$B$4:$B$11</c:f>
              <c:numCache>
                <c:formatCode>0.00</c:formatCode>
                <c:ptCount val="7"/>
                <c:pt idx="0">
                  <c:v>75.142091077308436</c:v>
                </c:pt>
                <c:pt idx="1">
                  <c:v>75.013166662792258</c:v>
                </c:pt>
                <c:pt idx="2">
                  <c:v>75.348730053710725</c:v>
                </c:pt>
                <c:pt idx="3">
                  <c:v>75.130222841157433</c:v>
                </c:pt>
                <c:pt idx="4">
                  <c:v>75.215462446976034</c:v>
                </c:pt>
                <c:pt idx="5">
                  <c:v>74.303649879023027</c:v>
                </c:pt>
                <c:pt idx="6">
                  <c:v>74.484151797314951</c:v>
                </c:pt>
              </c:numCache>
            </c:numRef>
          </c:val>
          <c:smooth val="0"/>
          <c:extLst>
            <c:ext xmlns:c16="http://schemas.microsoft.com/office/drawing/2014/chart" uri="{C3380CC4-5D6E-409C-BE32-E72D297353CC}">
              <c16:uniqueId val="{00000000-46BB-48E4-A7C3-4860EF5B20D2}"/>
            </c:ext>
          </c:extLst>
        </c:ser>
        <c:ser>
          <c:idx val="1"/>
          <c:order val="1"/>
          <c:tx>
            <c:strRef>
              <c:f>'Coerrelation of knee&amp;hamstring&amp;'!$C$3</c:f>
              <c:strCache>
                <c:ptCount val="1"/>
                <c:pt idx="0">
                  <c:v>Average of Hamstring_Flexibility</c:v>
                </c:pt>
              </c:strCache>
            </c:strRef>
          </c:tx>
          <c:spPr>
            <a:ln w="41275" cap="rnd">
              <a:solidFill>
                <a:schemeClr val="accent1">
                  <a:lumMod val="50000"/>
                </a:schemeClr>
              </a:solidFill>
              <a:round/>
            </a:ln>
            <a:effectLst/>
          </c:spPr>
          <c:marker>
            <c:symbol val="diamond"/>
            <c:size val="7"/>
            <c:spPr>
              <a:solidFill>
                <a:schemeClr val="accent1">
                  <a:lumMod val="20000"/>
                  <a:lumOff val="80000"/>
                </a:schemeClr>
              </a:solidFill>
              <a:ln w="22225">
                <a:solidFill>
                  <a:schemeClr val="accent2"/>
                </a:solidFill>
              </a:ln>
              <a:effectLst/>
            </c:spPr>
          </c:marker>
          <c:dPt>
            <c:idx val="2"/>
            <c:marker>
              <c:symbol val="diamond"/>
              <c:size val="7"/>
              <c:spPr>
                <a:solidFill>
                  <a:schemeClr val="accent1">
                    <a:lumMod val="20000"/>
                    <a:lumOff val="80000"/>
                  </a:schemeClr>
                </a:solidFill>
                <a:ln w="22225">
                  <a:solidFill>
                    <a:schemeClr val="accent2"/>
                  </a:solidFill>
                </a:ln>
                <a:effectLst/>
              </c:spPr>
            </c:marker>
            <c:bubble3D val="0"/>
            <c:spPr>
              <a:ln w="41275" cap="rnd">
                <a:solidFill>
                  <a:schemeClr val="accent1">
                    <a:lumMod val="50000"/>
                  </a:schemeClr>
                </a:solidFill>
                <a:round/>
              </a:ln>
              <a:effectLst/>
            </c:spPr>
            <c:extLst>
              <c:ext xmlns:c16="http://schemas.microsoft.com/office/drawing/2014/chart" uri="{C3380CC4-5D6E-409C-BE32-E72D297353CC}">
                <c16:uniqueId val="{00000001-46BB-48E4-A7C3-4860EF5B20D2}"/>
              </c:ext>
            </c:extLst>
          </c:dPt>
          <c:dLbls>
            <c:spPr>
              <a:noFill/>
              <a:ln>
                <a:noFill/>
              </a:ln>
              <a:effectLst/>
            </c:spPr>
            <c:txPr>
              <a:bodyPr rot="0" spcFirstLastPara="1" vertOverflow="ellipsis"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'Coerrelation of knee&amp;hamstring&amp;'!$A$4:$A$11</c:f>
              <c:strCache>
                <c:ptCount val="7"/>
                <c:pt idx="0">
                  <c:v>18 years</c:v>
                </c:pt>
                <c:pt idx="1">
                  <c:v>19 years</c:v>
                </c:pt>
                <c:pt idx="2">
                  <c:v>20 years</c:v>
                </c:pt>
                <c:pt idx="3">
                  <c:v>21 years</c:v>
                </c:pt>
                <c:pt idx="4">
                  <c:v>22 years</c:v>
                </c:pt>
                <c:pt idx="5">
                  <c:v>23 years</c:v>
                </c:pt>
                <c:pt idx="6">
                  <c:v>24 years</c:v>
                </c:pt>
              </c:strCache>
            </c:strRef>
          </c:cat>
          <c:val>
            <c:numRef>
              <c:f>'Coerrelation of knee&amp;hamstring&amp;'!$C$4:$C$11</c:f>
              <c:numCache>
                <c:formatCode>0.00</c:formatCode>
                <c:ptCount val="7"/>
                <c:pt idx="0">
                  <c:v>79.435365013598542</c:v>
                </c:pt>
                <c:pt idx="1">
                  <c:v>79.222286242222935</c:v>
                </c:pt>
                <c:pt idx="2">
                  <c:v>79.34534586795931</c:v>
                </c:pt>
                <c:pt idx="3">
                  <c:v>78.616480861251233</c:v>
                </c:pt>
                <c:pt idx="4">
                  <c:v>79.00706633425736</c:v>
                </c:pt>
                <c:pt idx="5">
                  <c:v>79.510030196042919</c:v>
                </c:pt>
                <c:pt idx="6">
                  <c:v>79.046119773332549</c:v>
                </c:pt>
              </c:numCache>
            </c:numRef>
          </c:val>
          <c:smooth val="0"/>
          <c:extLst>
            <c:ext xmlns:c16="http://schemas.microsoft.com/office/drawing/2014/chart" uri="{C3380CC4-5D6E-409C-BE32-E72D297353CC}">
              <c16:uniqueId val="{00000002-46BB-48E4-A7C3-4860EF5B20D2}"/>
            </c:ext>
          </c:extLst>
        </c:ser>
        <c:dLbls>
          <c:dLblPos val="t"/>
          <c:showLegendKey val="0"/>
          <c:showVal val="1"/>
          <c:showCatName val="0"/>
          <c:showSerName val="0"/>
          <c:showPercent val="0"/>
          <c:showBubbleSize val="0"/>
        </c:dLbls>
        <c:marker val="1"/>
        <c:smooth val="0"/>
        <c:axId val="621739840"/>
        <c:axId val="343433168"/>
      </c:lineChart>
      <c:catAx>
        <c:axId val="621739840"/>
        <c:scaling>
          <c:orientation val="minMax"/>
        </c:scaling>
        <c:delete val="0"/>
        <c:axPos val="b"/>
        <c:numFmt formatCode="0&quot; years&quot;"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crossAx val="343433168"/>
        <c:crosses val="autoZero"/>
        <c:auto val="0"/>
        <c:lblAlgn val="ctr"/>
        <c:lblOffset val="100"/>
        <c:noMultiLvlLbl val="0"/>
      </c:catAx>
      <c:valAx>
        <c:axId val="343433168"/>
        <c:scaling>
          <c:orientation val="minMax"/>
        </c:scaling>
        <c:delete val="1"/>
        <c:axPos val="l"/>
        <c:numFmt formatCode="0.00" sourceLinked="1"/>
        <c:majorTickMark val="none"/>
        <c:minorTickMark val="none"/>
        <c:tickLblPos val="nextTo"/>
        <c:crossAx val="621739840"/>
        <c:crosses val="autoZero"/>
        <c:crossBetween val="between"/>
      </c:valAx>
      <c:spPr>
        <a:noFill/>
        <a:ln>
          <a:noFill/>
        </a:ln>
        <a:effectLst/>
      </c:spPr>
    </c:plotArea>
    <c:legend>
      <c:legendPos val="t"/>
      <c:layout>
        <c:manualLayout>
          <c:xMode val="edge"/>
          <c:yMode val="edge"/>
          <c:x val="2.4392059639995106E-2"/>
          <c:y val="0.12602739726027398"/>
          <c:w val="0.91453630602161429"/>
          <c:h val="0.1123473195987487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accent1">
                  <a:lumMod val="50000"/>
                </a:schemeClr>
              </a:solidFill>
              <a:latin typeface="Georgia" panose="020405020504050203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dataset.xlsx]Routine Status!PivotTable1</c:name>
    <c:fmtId val="4"/>
  </c:pivotSource>
  <c:chart>
    <c:autoTitleDeleted val="1"/>
    <c:pivotFmts>
      <c:pivotFmt>
        <c:idx val="0"/>
        <c:spPr>
          <a:solidFill>
            <a:schemeClr val="accent1">
              <a:lumMod val="50000"/>
            </a:schemeClr>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50000"/>
            </a:schemeClr>
          </a:solidFill>
          <a:ln w="19050">
            <a:noFill/>
          </a:ln>
          <a:effectLst/>
        </c:spPr>
        <c:dLbl>
          <c:idx val="0"/>
          <c:layout>
            <c:manualLayout>
              <c:x val="0.11944444444444434"/>
              <c:y val="-6.4814814814814894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60000"/>
              <a:lumOff val="40000"/>
            </a:schemeClr>
          </a:solidFill>
          <a:ln w="19050">
            <a:noFill/>
          </a:ln>
          <a:effectLst/>
        </c:spPr>
        <c:dLbl>
          <c:idx val="0"/>
          <c:layout>
            <c:manualLayout>
              <c:x val="-0.1111111111111111"/>
              <c:y val="-9.2592592592592629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lumMod val="50000"/>
            </a:schemeClr>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lumMod val="50000"/>
            </a:schemeClr>
          </a:solidFill>
          <a:ln w="19050">
            <a:noFill/>
          </a:ln>
          <a:effectLst/>
        </c:spPr>
        <c:dLbl>
          <c:idx val="0"/>
          <c:layout>
            <c:manualLayout>
              <c:x val="0.11944444444444434"/>
              <c:y val="-6.4814814814814894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60000"/>
              <a:lumOff val="40000"/>
            </a:schemeClr>
          </a:solidFill>
          <a:ln w="19050">
            <a:noFill/>
          </a:ln>
          <a:effectLst/>
        </c:spPr>
        <c:dLbl>
          <c:idx val="0"/>
          <c:layout>
            <c:manualLayout>
              <c:x val="-0.1111111111111111"/>
              <c:y val="-9.2592592592592629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lumMod val="50000"/>
            </a:schemeClr>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lumMod val="50000"/>
            </a:schemeClr>
          </a:solidFill>
          <a:ln w="19050">
            <a:noFill/>
          </a:ln>
          <a:effectLst/>
        </c:spPr>
        <c:dLbl>
          <c:idx val="0"/>
          <c:layout>
            <c:manualLayout>
              <c:x val="0.17551926542960763"/>
              <c:y val="-0.11947065727699531"/>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lumMod val="60000"/>
              <a:lumOff val="40000"/>
            </a:schemeClr>
          </a:solidFill>
          <a:ln w="19050">
            <a:noFill/>
          </a:ln>
          <a:effectLst/>
        </c:spPr>
        <c:dLbl>
          <c:idx val="0"/>
          <c:layout>
            <c:manualLayout>
              <c:x val="-4.061548587372555E-2"/>
              <c:y val="-0.26152856025039128"/>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7.3429075449532574E-2"/>
          <c:y val="0.21678638497652583"/>
          <c:w val="0.53508854814200846"/>
          <c:h val="0.75772809076682301"/>
        </c:manualLayout>
      </c:layout>
      <c:doughnutChart>
        <c:varyColors val="1"/>
        <c:ser>
          <c:idx val="0"/>
          <c:order val="0"/>
          <c:tx>
            <c:strRef>
              <c:f>'Routine Status'!$B$3</c:f>
              <c:strCache>
                <c:ptCount val="1"/>
                <c:pt idx="0">
                  <c:v>Total</c:v>
                </c:pt>
              </c:strCache>
            </c:strRef>
          </c:tx>
          <c:spPr>
            <a:solidFill>
              <a:schemeClr val="accent1">
                <a:lumMod val="50000"/>
              </a:schemeClr>
            </a:solidFill>
            <a:ln>
              <a:noFill/>
            </a:ln>
          </c:spPr>
          <c:dPt>
            <c:idx val="0"/>
            <c:bubble3D val="0"/>
            <c:spPr>
              <a:solidFill>
                <a:schemeClr val="accent1">
                  <a:lumMod val="50000"/>
                </a:schemeClr>
              </a:solidFill>
              <a:ln w="19050">
                <a:noFill/>
              </a:ln>
              <a:effectLst/>
            </c:spPr>
            <c:extLst>
              <c:ext xmlns:c16="http://schemas.microsoft.com/office/drawing/2014/chart" uri="{C3380CC4-5D6E-409C-BE32-E72D297353CC}">
                <c16:uniqueId val="{00000001-8405-46B6-AB23-276853658E21}"/>
              </c:ext>
            </c:extLst>
          </c:dPt>
          <c:dPt>
            <c:idx val="1"/>
            <c:bubble3D val="0"/>
            <c:spPr>
              <a:solidFill>
                <a:schemeClr val="accent1">
                  <a:lumMod val="60000"/>
                  <a:lumOff val="40000"/>
                </a:schemeClr>
              </a:solidFill>
              <a:ln w="19050">
                <a:noFill/>
              </a:ln>
              <a:effectLst/>
            </c:spPr>
            <c:extLst>
              <c:ext xmlns:c16="http://schemas.microsoft.com/office/drawing/2014/chart" uri="{C3380CC4-5D6E-409C-BE32-E72D297353CC}">
                <c16:uniqueId val="{00000003-8405-46B6-AB23-276853658E21}"/>
              </c:ext>
            </c:extLst>
          </c:dPt>
          <c:dLbls>
            <c:dLbl>
              <c:idx val="0"/>
              <c:layout>
                <c:manualLayout>
                  <c:x val="0.17551926542960763"/>
                  <c:y val="-0.1194706572769953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405-46B6-AB23-276853658E21}"/>
                </c:ext>
              </c:extLst>
            </c:dLbl>
            <c:dLbl>
              <c:idx val="1"/>
              <c:layout>
                <c:manualLayout>
                  <c:x val="-4.061548587372555E-2"/>
                  <c:y val="-0.2615285602503912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405-46B6-AB23-276853658E21}"/>
                </c:ext>
              </c:extLst>
            </c:dLbl>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'Routine Status'!$A$4:$A$6</c:f>
              <c:strCache>
                <c:ptCount val="2"/>
                <c:pt idx="0">
                  <c:v>Adherent</c:v>
                </c:pt>
                <c:pt idx="1">
                  <c:v>Non-Adherent</c:v>
                </c:pt>
              </c:strCache>
            </c:strRef>
          </c:cat>
          <c:val>
            <c:numRef>
              <c:f>'Routine Status'!$B$4:$B$6</c:f>
              <c:numCache>
                <c:formatCode>General</c:formatCode>
                <c:ptCount val="2"/>
                <c:pt idx="0">
                  <c:v>478</c:v>
                </c:pt>
                <c:pt idx="1">
                  <c:v>322</c:v>
                </c:pt>
              </c:numCache>
            </c:numRef>
          </c:val>
          <c:extLst>
            <c:ext xmlns:c16="http://schemas.microsoft.com/office/drawing/2014/chart" uri="{C3380CC4-5D6E-409C-BE32-E72D297353CC}">
              <c16:uniqueId val="{00000004-8405-46B6-AB23-276853658E21}"/>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56655484095817477"/>
          <c:y val="0.73851173708920181"/>
          <c:w val="0.42970684238521084"/>
          <c:h val="0.25834428794992181"/>
        </c:manualLayout>
      </c:layout>
      <c:overlay val="0"/>
      <c:spPr>
        <a:noFill/>
        <a:ln>
          <a:noFill/>
        </a:ln>
        <a:effectLst/>
      </c:spPr>
      <c:txPr>
        <a:bodyPr rot="0" spcFirstLastPara="1" vertOverflow="ellipsis" vert="horz" wrap="square" anchor="ctr" anchorCtr="1"/>
        <a:lstStyle/>
        <a:p>
          <a:pPr>
            <a:defRPr lang="en-US" sz="1400" b="0" i="0" u="none" strike="noStrike" kern="1200" baseline="0">
              <a:solidFill>
                <a:schemeClr val="accent1">
                  <a:lumMod val="50000"/>
                </a:schemeClr>
              </a:solidFill>
              <a:latin typeface="Georgia" panose="020405020504050203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dataset.xlsx]Injury status!PivotTable1</c:name>
    <c:fmtId val="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9.7484276729559755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2893081761006292"/>
              <c:y val="-0.152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9.7484276729559755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2893081761006292"/>
              <c:y val="-0.152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lumMod val="50000"/>
            </a:schemeClr>
          </a:solidFill>
          <a:ln w="19050">
            <a:noFill/>
          </a:ln>
          <a:effectLst/>
        </c:spPr>
        <c:dLbl>
          <c:idx val="0"/>
          <c:layout>
            <c:manualLayout>
              <c:x val="0.16272694036455443"/>
              <c:y val="-4.4329513983165897E-2"/>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lumMod val="60000"/>
              <a:lumOff val="40000"/>
            </a:schemeClr>
          </a:solidFill>
          <a:ln w="19050">
            <a:noFill/>
          </a:ln>
          <a:effectLst/>
        </c:spPr>
        <c:dLbl>
          <c:idx val="0"/>
          <c:layout>
            <c:manualLayout>
              <c:x val="-8.874551598974724E-2"/>
              <c:y val="-0.30726038555525387"/>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1739209478517706"/>
          <c:y val="0.1907119196307358"/>
          <c:w val="0.50918035902905345"/>
          <c:h val="0.77505772468096645"/>
        </c:manualLayout>
      </c:layout>
      <c:doughnutChart>
        <c:varyColors val="1"/>
        <c:ser>
          <c:idx val="0"/>
          <c:order val="0"/>
          <c:tx>
            <c:strRef>
              <c:f>'Injury status'!$B$3</c:f>
              <c:strCache>
                <c:ptCount val="1"/>
                <c:pt idx="0">
                  <c:v>Total</c:v>
                </c:pt>
              </c:strCache>
            </c:strRef>
          </c:tx>
          <c:spPr>
            <a:ln>
              <a:noFill/>
            </a:ln>
          </c:spPr>
          <c:explosion val="1"/>
          <c:dPt>
            <c:idx val="0"/>
            <c:bubble3D val="0"/>
            <c:spPr>
              <a:solidFill>
                <a:schemeClr val="accent1">
                  <a:lumMod val="50000"/>
                </a:schemeClr>
              </a:solidFill>
              <a:ln w="19050">
                <a:noFill/>
              </a:ln>
              <a:effectLst/>
            </c:spPr>
            <c:extLst>
              <c:ext xmlns:c16="http://schemas.microsoft.com/office/drawing/2014/chart" uri="{C3380CC4-5D6E-409C-BE32-E72D297353CC}">
                <c16:uniqueId val="{00000001-4E8F-44A7-AAA3-DDA22E197079}"/>
              </c:ext>
            </c:extLst>
          </c:dPt>
          <c:dPt>
            <c:idx val="1"/>
            <c:bubble3D val="0"/>
            <c:spPr>
              <a:solidFill>
                <a:schemeClr val="accent1">
                  <a:lumMod val="60000"/>
                  <a:lumOff val="40000"/>
                </a:schemeClr>
              </a:solidFill>
              <a:ln w="19050">
                <a:noFill/>
              </a:ln>
              <a:effectLst/>
            </c:spPr>
            <c:extLst>
              <c:ext xmlns:c16="http://schemas.microsoft.com/office/drawing/2014/chart" uri="{C3380CC4-5D6E-409C-BE32-E72D297353CC}">
                <c16:uniqueId val="{00000003-4E8F-44A7-AAA3-DDA22E197079}"/>
              </c:ext>
            </c:extLst>
          </c:dPt>
          <c:dLbls>
            <c:dLbl>
              <c:idx val="0"/>
              <c:layout>
                <c:manualLayout>
                  <c:x val="0.16272694036455443"/>
                  <c:y val="-4.432951398316589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E8F-44A7-AAA3-DDA22E197079}"/>
                </c:ext>
              </c:extLst>
            </c:dLbl>
            <c:dLbl>
              <c:idx val="1"/>
              <c:layout>
                <c:manualLayout>
                  <c:x val="-8.874551598974724E-2"/>
                  <c:y val="-0.3072603855552538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E8F-44A7-AAA3-DDA22E197079}"/>
                </c:ext>
              </c:extLst>
            </c:dLbl>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'Injury status'!$A$4:$A$6</c:f>
              <c:strCache>
                <c:ptCount val="2"/>
                <c:pt idx="0">
                  <c:v>Injury</c:v>
                </c:pt>
                <c:pt idx="1">
                  <c:v>No Injury</c:v>
                </c:pt>
              </c:strCache>
            </c:strRef>
          </c:cat>
          <c:val>
            <c:numRef>
              <c:f>'Injury status'!$B$4:$B$6</c:f>
              <c:numCache>
                <c:formatCode>General</c:formatCode>
                <c:ptCount val="2"/>
                <c:pt idx="0">
                  <c:v>400</c:v>
                </c:pt>
                <c:pt idx="1">
                  <c:v>400</c:v>
                </c:pt>
              </c:numCache>
            </c:numRef>
          </c:val>
          <c:extLst>
            <c:ext xmlns:c16="http://schemas.microsoft.com/office/drawing/2014/chart" uri="{C3380CC4-5D6E-409C-BE32-E72D297353CC}">
              <c16:uniqueId val="{00000004-4E8F-44A7-AAA3-DDA22E197079}"/>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63452573020621106"/>
          <c:y val="0.7013869128427912"/>
          <c:w val="0.3401020994400713"/>
          <c:h val="0.2482602226445832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accent1">
                  <a:lumMod val="50000"/>
                </a:schemeClr>
              </a:solidFill>
              <a:latin typeface="Georgia" panose="020405020504050203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dataset.xlsx]Reaction time by age!PivotTable1</c:name>
    <c:fmtId val="9"/>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noFill/>
          </a:ln>
          <a:effectLst/>
        </c:spPr>
        <c:dLbl>
          <c:idx val="0"/>
          <c:layout>
            <c:manualLayout>
              <c:x val="-1.6544272124127504E-16"/>
              <c:y val="-0.231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noFill/>
          </a:ln>
          <a:effectLst/>
        </c:spPr>
        <c:dLbl>
          <c:idx val="0"/>
          <c:layout>
            <c:manualLayout>
              <c:x val="-4.5121263395375075E-3"/>
              <c:y val="-0.402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noFill/>
          </a:ln>
          <a:effectLst/>
        </c:spPr>
        <c:dLbl>
          <c:idx val="0"/>
          <c:layout>
            <c:manualLayout>
              <c:x val="0"/>
              <c:y val="-0.37037037037037035"/>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noFill/>
          </a:ln>
          <a:effectLst/>
        </c:spPr>
        <c:dLbl>
          <c:idx val="0"/>
          <c:layout>
            <c:manualLayout>
              <c:x val="0"/>
              <c:y val="-0.41203703703703703"/>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noFill/>
          </a:ln>
          <a:effectLst/>
        </c:spPr>
        <c:dLbl>
          <c:idx val="0"/>
          <c:layout>
            <c:manualLayout>
              <c:x val="-6.768189509306302E-3"/>
              <c:y val="-0.3425925925925926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noFill/>
          </a:ln>
          <a:effectLst/>
        </c:spPr>
        <c:dLbl>
          <c:idx val="0"/>
          <c:layout>
            <c:manualLayout>
              <c:x val="-1.1280315848843767E-2"/>
              <c:y val="-0.30555555555555558"/>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noFill/>
          </a:ln>
          <a:effectLst/>
        </c:spPr>
        <c:dLbl>
          <c:idx val="0"/>
          <c:layout>
            <c:manualLayout>
              <c:x val="2.2560631697687537E-3"/>
              <c:y val="-0.277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noFill/>
          </a:ln>
          <a:effectLst/>
        </c:spPr>
        <c:dLbl>
          <c:idx val="0"/>
          <c:layout>
            <c:manualLayout>
              <c:x val="2.2560631697687537E-3"/>
              <c:y val="-0.277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noFill/>
          </a:ln>
          <a:effectLst/>
        </c:spPr>
        <c:dLbl>
          <c:idx val="0"/>
          <c:layout>
            <c:manualLayout>
              <c:x val="-1.1280315848843767E-2"/>
              <c:y val="-0.30555555555555558"/>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noFill/>
          </a:ln>
          <a:effectLst/>
        </c:spPr>
        <c:dLbl>
          <c:idx val="0"/>
          <c:layout>
            <c:manualLayout>
              <c:x val="-6.768189509306302E-3"/>
              <c:y val="-0.3425925925925926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noFill/>
          </a:ln>
          <a:effectLst/>
        </c:spPr>
        <c:dLbl>
          <c:idx val="0"/>
          <c:layout>
            <c:manualLayout>
              <c:x val="0"/>
              <c:y val="-0.41203703703703703"/>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noFill/>
          </a:ln>
          <a:effectLst/>
        </c:spPr>
        <c:dLbl>
          <c:idx val="0"/>
          <c:layout>
            <c:manualLayout>
              <c:x val="0"/>
              <c:y val="-0.37037037037037035"/>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noFill/>
          </a:ln>
          <a:effectLst/>
        </c:spPr>
        <c:dLbl>
          <c:idx val="0"/>
          <c:layout>
            <c:manualLayout>
              <c:x val="-4.5121263395375075E-3"/>
              <c:y val="-0.402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noFill/>
          </a:ln>
          <a:effectLst/>
        </c:spPr>
        <c:dLbl>
          <c:idx val="0"/>
          <c:layout>
            <c:manualLayout>
              <c:x val="-1.6544272124127504E-16"/>
              <c:y val="-0.231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lumMod val="50000"/>
            </a:schemeClr>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lumMod val="50000"/>
            </a:schemeClr>
          </a:solidFill>
          <a:ln w="19050">
            <a:noFill/>
          </a:ln>
          <a:effectLst/>
        </c:spPr>
        <c:dLbl>
          <c:idx val="0"/>
          <c:layout>
            <c:manualLayout>
              <c:x val="2.2560631697687537E-3"/>
              <c:y val="-0.27777777777777779"/>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lumMod val="50000"/>
            </a:schemeClr>
          </a:solidFill>
          <a:ln w="19050">
            <a:noFill/>
          </a:ln>
          <a:effectLst/>
        </c:spPr>
        <c:dLbl>
          <c:idx val="0"/>
          <c:layout>
            <c:manualLayout>
              <c:x val="-1.1280315848843767E-2"/>
              <c:y val="-0.30555555555555558"/>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lumMod val="50000"/>
            </a:schemeClr>
          </a:solidFill>
          <a:ln w="19050">
            <a:noFill/>
          </a:ln>
          <a:effectLst/>
        </c:spPr>
        <c:dLbl>
          <c:idx val="0"/>
          <c:layout>
            <c:manualLayout>
              <c:x val="-6.768189509306302E-3"/>
              <c:y val="-0.34259259259259262"/>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lumMod val="50000"/>
            </a:schemeClr>
          </a:solidFill>
          <a:ln w="19050">
            <a:noFill/>
          </a:ln>
          <a:effectLst/>
        </c:spPr>
        <c:dLbl>
          <c:idx val="0"/>
          <c:layout>
            <c:manualLayout>
              <c:x val="0"/>
              <c:y val="-0.41203703703703703"/>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lumMod val="50000"/>
            </a:schemeClr>
          </a:solidFill>
          <a:ln w="19050">
            <a:noFill/>
          </a:ln>
          <a:effectLst/>
        </c:spPr>
        <c:dLbl>
          <c:idx val="0"/>
          <c:layout>
            <c:manualLayout>
              <c:x val="0"/>
              <c:y val="-0.37037037037037035"/>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lumMod val="50000"/>
            </a:schemeClr>
          </a:solidFill>
          <a:ln w="19050">
            <a:noFill/>
          </a:ln>
          <a:effectLst/>
        </c:spPr>
        <c:dLbl>
          <c:idx val="0"/>
          <c:layout>
            <c:manualLayout>
              <c:x val="-4.5121263395375075E-3"/>
              <c:y val="-0.40277777777777779"/>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lumMod val="50000"/>
            </a:schemeClr>
          </a:solidFill>
          <a:ln w="19050">
            <a:noFill/>
          </a:ln>
          <a:effectLst/>
        </c:spPr>
        <c:dLbl>
          <c:idx val="0"/>
          <c:layout>
            <c:manualLayout>
              <c:x val="-1.6544272124127504E-16"/>
              <c:y val="-0.23148148148148148"/>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lumMod val="50000"/>
            </a:schemeClr>
          </a:solidFill>
          <a:ln w="19050">
            <a:noFill/>
          </a:ln>
          <a:effectLst/>
        </c:spPr>
        <c:dLbl>
          <c:idx val="0"/>
          <c:layout>
            <c:manualLayout>
              <c:x val="-1.8900122851990669E-18"/>
              <c:y val="-0.32296557120500785"/>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lumMod val="50000"/>
            </a:schemeClr>
          </a:solidFill>
          <a:ln w="19050">
            <a:noFill/>
          </a:ln>
          <a:effectLst/>
        </c:spPr>
        <c:dLbl>
          <c:idx val="0"/>
          <c:layout>
            <c:manualLayout>
              <c:x val="-4.9484529655390254E-3"/>
              <c:y val="-0.31302816901408453"/>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lumMod val="50000"/>
            </a:schemeClr>
          </a:solidFill>
          <a:ln w="19050">
            <a:noFill/>
          </a:ln>
          <a:effectLst/>
        </c:spPr>
        <c:dLbl>
          <c:idx val="0"/>
          <c:layout>
            <c:manualLayout>
              <c:x val="-4.9484529655390254E-3"/>
              <c:y val="-0.36271517996870112"/>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lumMod val="50000"/>
            </a:schemeClr>
          </a:solidFill>
          <a:ln w="19050">
            <a:noFill/>
          </a:ln>
          <a:effectLst/>
        </c:spPr>
        <c:dLbl>
          <c:idx val="0"/>
          <c:layout>
            <c:manualLayout>
              <c:x val="-1.6494843218463418E-3"/>
              <c:y val="-0.37265258215962443"/>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1">
              <a:lumMod val="50000"/>
            </a:schemeClr>
          </a:solidFill>
          <a:ln w="19050">
            <a:noFill/>
          </a:ln>
          <a:effectLst/>
        </c:spPr>
        <c:dLbl>
          <c:idx val="0"/>
          <c:layout>
            <c:manualLayout>
              <c:x val="3.2989686436926836E-3"/>
              <c:y val="-0.33290297339593117"/>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1">
              <a:lumMod val="50000"/>
            </a:schemeClr>
          </a:solidFill>
          <a:ln w="19050">
            <a:noFill/>
          </a:ln>
          <a:effectLst/>
        </c:spPr>
        <c:dLbl>
          <c:idx val="0"/>
          <c:layout>
            <c:manualLayout>
              <c:x val="-3.2989686436926836E-3"/>
              <c:y val="-0.40246478873239439"/>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1">
              <a:lumMod val="50000"/>
            </a:schemeClr>
          </a:solidFill>
          <a:ln w="19050">
            <a:noFill/>
          </a:ln>
          <a:effectLst/>
        </c:spPr>
        <c:dLbl>
          <c:idx val="0"/>
          <c:layout>
            <c:manualLayout>
              <c:x val="3.2989686436926836E-3"/>
              <c:y val="-0.24843505477308303"/>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3.2031176427667757E-2"/>
          <c:y val="0.21296296296296297"/>
          <c:w val="0.93534559697718622"/>
          <c:h val="0.6399784820031299"/>
        </c:manualLayout>
      </c:layout>
      <c:areaChart>
        <c:grouping val="standard"/>
        <c:varyColors val="0"/>
        <c:ser>
          <c:idx val="0"/>
          <c:order val="0"/>
          <c:tx>
            <c:strRef>
              <c:f>'Reaction time by age'!$B$3</c:f>
              <c:strCache>
                <c:ptCount val="1"/>
                <c:pt idx="0">
                  <c:v>Total</c:v>
                </c:pt>
              </c:strCache>
            </c:strRef>
          </c:tx>
          <c:spPr>
            <a:solidFill>
              <a:schemeClr val="accent1">
                <a:lumMod val="50000"/>
              </a:schemeClr>
            </a:solidFill>
            <a:ln w="19050">
              <a:noFill/>
            </a:ln>
            <a:effectLst/>
          </c:spPr>
          <c:dPt>
            <c:idx val="0"/>
            <c:bubble3D val="0"/>
            <c:extLst>
              <c:ext xmlns:c16="http://schemas.microsoft.com/office/drawing/2014/chart" uri="{C3380CC4-5D6E-409C-BE32-E72D297353CC}">
                <c16:uniqueId val="{00000000-BF4F-40C9-853D-C1C363C8DAC4}"/>
              </c:ext>
            </c:extLst>
          </c:dPt>
          <c:dPt>
            <c:idx val="1"/>
            <c:bubble3D val="0"/>
            <c:extLst>
              <c:ext xmlns:c16="http://schemas.microsoft.com/office/drawing/2014/chart" uri="{C3380CC4-5D6E-409C-BE32-E72D297353CC}">
                <c16:uniqueId val="{00000001-BF4F-40C9-853D-C1C363C8DAC4}"/>
              </c:ext>
            </c:extLst>
          </c:dPt>
          <c:dPt>
            <c:idx val="2"/>
            <c:bubble3D val="0"/>
            <c:extLst>
              <c:ext xmlns:c16="http://schemas.microsoft.com/office/drawing/2014/chart" uri="{C3380CC4-5D6E-409C-BE32-E72D297353CC}">
                <c16:uniqueId val="{00000002-BF4F-40C9-853D-C1C363C8DAC4}"/>
              </c:ext>
            </c:extLst>
          </c:dPt>
          <c:dPt>
            <c:idx val="3"/>
            <c:bubble3D val="0"/>
            <c:extLst>
              <c:ext xmlns:c16="http://schemas.microsoft.com/office/drawing/2014/chart" uri="{C3380CC4-5D6E-409C-BE32-E72D297353CC}">
                <c16:uniqueId val="{00000003-BF4F-40C9-853D-C1C363C8DAC4}"/>
              </c:ext>
            </c:extLst>
          </c:dPt>
          <c:dPt>
            <c:idx val="4"/>
            <c:bubble3D val="0"/>
            <c:extLst>
              <c:ext xmlns:c16="http://schemas.microsoft.com/office/drawing/2014/chart" uri="{C3380CC4-5D6E-409C-BE32-E72D297353CC}">
                <c16:uniqueId val="{00000004-BF4F-40C9-853D-C1C363C8DAC4}"/>
              </c:ext>
            </c:extLst>
          </c:dPt>
          <c:dPt>
            <c:idx val="5"/>
            <c:bubble3D val="0"/>
            <c:extLst>
              <c:ext xmlns:c16="http://schemas.microsoft.com/office/drawing/2014/chart" uri="{C3380CC4-5D6E-409C-BE32-E72D297353CC}">
                <c16:uniqueId val="{00000005-BF4F-40C9-853D-C1C363C8DAC4}"/>
              </c:ext>
            </c:extLst>
          </c:dPt>
          <c:dPt>
            <c:idx val="6"/>
            <c:bubble3D val="0"/>
            <c:extLst>
              <c:ext xmlns:c16="http://schemas.microsoft.com/office/drawing/2014/chart" uri="{C3380CC4-5D6E-409C-BE32-E72D297353CC}">
                <c16:uniqueId val="{00000006-BF4F-40C9-853D-C1C363C8DAC4}"/>
              </c:ext>
            </c:extLst>
          </c:dPt>
          <c:dLbls>
            <c:dLbl>
              <c:idx val="0"/>
              <c:layout>
                <c:manualLayout>
                  <c:x val="-1.8900122851990669E-18"/>
                  <c:y val="-0.322965571205007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F4F-40C9-853D-C1C363C8DAC4}"/>
                </c:ext>
              </c:extLst>
            </c:dLbl>
            <c:dLbl>
              <c:idx val="1"/>
              <c:layout>
                <c:manualLayout>
                  <c:x val="-4.9484529655390254E-3"/>
                  <c:y val="-0.313028169014084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4F-40C9-853D-C1C363C8DAC4}"/>
                </c:ext>
              </c:extLst>
            </c:dLbl>
            <c:dLbl>
              <c:idx val="2"/>
              <c:layout>
                <c:manualLayout>
                  <c:x val="-4.9484529655390254E-3"/>
                  <c:y val="-0.362715179968701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4F-40C9-853D-C1C363C8DAC4}"/>
                </c:ext>
              </c:extLst>
            </c:dLbl>
            <c:dLbl>
              <c:idx val="3"/>
              <c:layout>
                <c:manualLayout>
                  <c:x val="-1.6494843218463418E-3"/>
                  <c:y val="-0.372652582159624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4F-40C9-853D-C1C363C8DAC4}"/>
                </c:ext>
              </c:extLst>
            </c:dLbl>
            <c:dLbl>
              <c:idx val="4"/>
              <c:layout>
                <c:manualLayout>
                  <c:x val="3.2989686436926836E-3"/>
                  <c:y val="-0.332902973395931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4F-40C9-853D-C1C363C8DAC4}"/>
                </c:ext>
              </c:extLst>
            </c:dLbl>
            <c:dLbl>
              <c:idx val="5"/>
              <c:layout>
                <c:manualLayout>
                  <c:x val="-3.2989686436926836E-3"/>
                  <c:y val="-0.402464788732394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F4F-40C9-853D-C1C363C8DAC4}"/>
                </c:ext>
              </c:extLst>
            </c:dLbl>
            <c:dLbl>
              <c:idx val="6"/>
              <c:layout>
                <c:manualLayout>
                  <c:x val="3.2989686436926836E-3"/>
                  <c:y val="-0.248435054773083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F4F-40C9-853D-C1C363C8DAC4}"/>
                </c:ext>
              </c:extLst>
            </c:dLbl>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'Reaction time by age'!$A$4:$A$11</c:f>
              <c:strCache>
                <c:ptCount val="7"/>
                <c:pt idx="0">
                  <c:v>18 years</c:v>
                </c:pt>
                <c:pt idx="1">
                  <c:v>19 years</c:v>
                </c:pt>
                <c:pt idx="2">
                  <c:v>20 years</c:v>
                </c:pt>
                <c:pt idx="3">
                  <c:v>21 years</c:v>
                </c:pt>
                <c:pt idx="4">
                  <c:v>22 years</c:v>
                </c:pt>
                <c:pt idx="5">
                  <c:v>23 years</c:v>
                </c:pt>
                <c:pt idx="6">
                  <c:v>24 years</c:v>
                </c:pt>
              </c:strCache>
            </c:strRef>
          </c:cat>
          <c:val>
            <c:numRef>
              <c:f>'Reaction time by age'!$B$4:$B$11</c:f>
              <c:numCache>
                <c:formatCode>0"ms"</c:formatCode>
                <c:ptCount val="7"/>
                <c:pt idx="0">
                  <c:v>247.36265430630155</c:v>
                </c:pt>
                <c:pt idx="1">
                  <c:v>247.35725223135179</c:v>
                </c:pt>
                <c:pt idx="2">
                  <c:v>250.02808233905452</c:v>
                </c:pt>
                <c:pt idx="3">
                  <c:v>253.99189136925196</c:v>
                </c:pt>
                <c:pt idx="4">
                  <c:v>249.64075283275162</c:v>
                </c:pt>
                <c:pt idx="5">
                  <c:v>252.62701819289572</c:v>
                </c:pt>
                <c:pt idx="6">
                  <c:v>244.98174411146539</c:v>
                </c:pt>
              </c:numCache>
            </c:numRef>
          </c:val>
          <c:extLst>
            <c:ext xmlns:c16="http://schemas.microsoft.com/office/drawing/2014/chart" uri="{C3380CC4-5D6E-409C-BE32-E72D297353CC}">
              <c16:uniqueId val="{00000007-BF4F-40C9-853D-C1C363C8DAC4}"/>
            </c:ext>
          </c:extLst>
        </c:ser>
        <c:dLbls>
          <c:showLegendKey val="0"/>
          <c:showVal val="0"/>
          <c:showCatName val="0"/>
          <c:showSerName val="0"/>
          <c:showPercent val="0"/>
          <c:showBubbleSize val="0"/>
        </c:dLbls>
        <c:axId val="211863936"/>
        <c:axId val="211883616"/>
      </c:areaChart>
      <c:catAx>
        <c:axId val="211863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crossAx val="211883616"/>
        <c:crosses val="autoZero"/>
        <c:auto val="1"/>
        <c:lblAlgn val="ctr"/>
        <c:lblOffset val="100"/>
        <c:noMultiLvlLbl val="0"/>
      </c:catAx>
      <c:valAx>
        <c:axId val="211883616"/>
        <c:scaling>
          <c:orientation val="minMax"/>
        </c:scaling>
        <c:delete val="1"/>
        <c:axPos val="l"/>
        <c:numFmt formatCode="0&quot;ms&quot;" sourceLinked="1"/>
        <c:majorTickMark val="out"/>
        <c:minorTickMark val="none"/>
        <c:tickLblPos val="nextTo"/>
        <c:crossAx val="2118639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dataset.xlsx]Agility and nutrition analysis!PivotTable1</c:name>
    <c:fmtId val="13"/>
  </c:pivotSource>
  <c:chart>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noFill/>
          </a:ln>
          <a:effectLst/>
        </c:spPr>
        <c:dLbl>
          <c:idx val="0"/>
          <c:layout>
            <c:manualLayout>
              <c:x val="-1.6544272124127504E-16"/>
              <c:y val="-0.231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noFill/>
          </a:ln>
          <a:effectLst/>
        </c:spPr>
        <c:dLbl>
          <c:idx val="0"/>
          <c:layout>
            <c:manualLayout>
              <c:x val="-4.5121263395375075E-3"/>
              <c:y val="-0.402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noFill/>
          </a:ln>
          <a:effectLst/>
        </c:spPr>
        <c:dLbl>
          <c:idx val="0"/>
          <c:layout>
            <c:manualLayout>
              <c:x val="0"/>
              <c:y val="-0.3703703703703703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noFill/>
          </a:ln>
          <a:effectLst/>
        </c:spPr>
        <c:dLbl>
          <c:idx val="0"/>
          <c:layout>
            <c:manualLayout>
              <c:x val="0"/>
              <c:y val="-0.4120370370370370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noFill/>
          </a:ln>
          <a:effectLst/>
        </c:spPr>
        <c:dLbl>
          <c:idx val="0"/>
          <c:layout>
            <c:manualLayout>
              <c:x val="-6.768189509306302E-3"/>
              <c:y val="-0.3425925925925926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noFill/>
          </a:ln>
          <a:effectLst/>
        </c:spPr>
        <c:dLbl>
          <c:idx val="0"/>
          <c:layout>
            <c:manualLayout>
              <c:x val="-1.1280315848843767E-2"/>
              <c:y val="-0.3055555555555555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noFill/>
          </a:ln>
          <a:effectLst/>
        </c:spPr>
        <c:dLbl>
          <c:idx val="0"/>
          <c:layout>
            <c:manualLayout>
              <c:x val="2.2560631697687537E-3"/>
              <c:y val="-0.277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dLbl>
          <c:idx val="0"/>
          <c:layout>
            <c:manualLayout>
              <c:x val="2.2560631697687537E-3"/>
              <c:y val="-0.277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dLbl>
          <c:idx val="0"/>
          <c:layout>
            <c:manualLayout>
              <c:x val="-1.1280315848843767E-2"/>
              <c:y val="-0.3055555555555555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dLbl>
          <c:idx val="0"/>
          <c:layout>
            <c:manualLayout>
              <c:x val="-6.768189509306302E-3"/>
              <c:y val="-0.3425925925925926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dLbl>
          <c:idx val="0"/>
          <c:layout>
            <c:manualLayout>
              <c:x val="0"/>
              <c:y val="-0.4120370370370370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dLbl>
          <c:idx val="0"/>
          <c:layout>
            <c:manualLayout>
              <c:x val="0"/>
              <c:y val="-0.3703703703703703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dLbl>
          <c:idx val="0"/>
          <c:layout>
            <c:manualLayout>
              <c:x val="-4.5121263395375075E-3"/>
              <c:y val="-0.402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dLbl>
          <c:idx val="0"/>
          <c:layout>
            <c:manualLayout>
              <c:x val="-1.6544272124127504E-16"/>
              <c:y val="-0.231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lumMod val="60000"/>
              <a:lumOff val="4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60000"/>
              <a:lumOff val="40000"/>
            </a:schemeClr>
          </a:solidFill>
          <a:ln w="25400">
            <a:noFill/>
          </a:ln>
          <a:effectLst/>
        </c:spPr>
        <c:dLbl>
          <c:idx val="0"/>
          <c:layout>
            <c:manualLayout>
              <c:x val="1.1305517211092107E-2"/>
              <c:y val="0"/>
            </c:manualLayout>
          </c:layout>
          <c:spPr>
            <a:noFill/>
            <a:ln>
              <a:noFill/>
            </a:ln>
            <a:effectLst/>
          </c:spPr>
          <c:txPr>
            <a:bodyPr rot="0" spcFirstLastPara="1" vertOverflow="ellipsis"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60000"/>
              <a:lumOff val="40000"/>
            </a:schemeClr>
          </a:solidFill>
          <a:ln w="25400">
            <a:noFill/>
          </a:ln>
          <a:effectLst/>
        </c:spPr>
        <c:dLbl>
          <c:idx val="0"/>
          <c:layout>
            <c:manualLayout>
              <c:x val="9.4212643425766185E-3"/>
              <c:y val="0"/>
            </c:manualLayout>
          </c:layout>
          <c:spPr>
            <a:noFill/>
            <a:ln>
              <a:noFill/>
            </a:ln>
            <a:effectLst/>
          </c:spPr>
          <c:txPr>
            <a:bodyPr rot="0" spcFirstLastPara="1" vertOverflow="ellipsis"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lumMod val="60000"/>
              <a:lumOff val="40000"/>
            </a:schemeClr>
          </a:solidFill>
          <a:ln w="25400">
            <a:noFill/>
          </a:ln>
          <a:effectLst/>
        </c:spPr>
        <c:dLbl>
          <c:idx val="0"/>
          <c:layout>
            <c:manualLayout>
              <c:x val="1.8721269484861421E-3"/>
              <c:y val="-9.4535504678798063E-17"/>
            </c:manualLayout>
          </c:layout>
          <c:spPr>
            <a:noFill/>
            <a:ln>
              <a:noFill/>
            </a:ln>
            <a:effectLst/>
          </c:spPr>
          <c:txPr>
            <a:bodyPr rot="0" spcFirstLastPara="1" vertOverflow="ellipsis"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60000"/>
              <a:lumOff val="40000"/>
            </a:schemeClr>
          </a:solidFill>
          <a:ln w="25400">
            <a:noFill/>
          </a:ln>
          <a:effectLst/>
        </c:spPr>
        <c:dLbl>
          <c:idx val="0"/>
          <c:layout>
            <c:manualLayout>
              <c:x val="7.4885077939444997E-3"/>
              <c:y val="5.1565416415098224E-3"/>
            </c:manualLayout>
          </c:layout>
          <c:spPr>
            <a:noFill/>
            <a:ln>
              <a:noFill/>
            </a:ln>
            <a:effectLst/>
          </c:spPr>
          <c:txPr>
            <a:bodyPr rot="0" spcFirstLastPara="1" vertOverflow="ellipsis"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60000"/>
              <a:lumOff val="40000"/>
            </a:schemeClr>
          </a:solidFill>
          <a:ln w="25400">
            <a:noFill/>
          </a:ln>
          <a:effectLst/>
        </c:spPr>
        <c:dLbl>
          <c:idx val="0"/>
          <c:layout>
            <c:manualLayout>
              <c:x val="7.4885077939444997E-3"/>
              <c:y val="5.1565416415098224E-3"/>
            </c:manualLayout>
          </c:layout>
          <c:spPr>
            <a:noFill/>
            <a:ln>
              <a:noFill/>
            </a:ln>
            <a:effectLst/>
          </c:spPr>
          <c:txPr>
            <a:bodyPr rot="0" spcFirstLastPara="1" vertOverflow="ellipsis"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lumMod val="60000"/>
              <a:lumOff val="40000"/>
            </a:schemeClr>
          </a:solidFill>
          <a:ln w="25400">
            <a:noFill/>
          </a:ln>
          <a:effectLst/>
        </c:spPr>
        <c:dLbl>
          <c:idx val="0"/>
          <c:layout>
            <c:manualLayout>
              <c:x val="5.6163808454583923E-3"/>
              <c:y val="0"/>
            </c:manualLayout>
          </c:layout>
          <c:spPr>
            <a:noFill/>
            <a:ln>
              <a:noFill/>
            </a:ln>
            <a:effectLst/>
          </c:spPr>
          <c:txPr>
            <a:bodyPr rot="0" spcFirstLastPara="1" vertOverflow="ellipsis"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lumMod val="60000"/>
              <a:lumOff val="40000"/>
            </a:schemeClr>
          </a:solidFill>
          <a:ln w="25400">
            <a:noFill/>
          </a:ln>
          <a:effectLst/>
        </c:spPr>
        <c:dLbl>
          <c:idx val="0"/>
          <c:layout>
            <c:manualLayout>
              <c:x val="7.4885077939445517E-3"/>
              <c:y val="0"/>
            </c:manualLayout>
          </c:layout>
          <c:spPr>
            <a:noFill/>
            <a:ln>
              <a:noFill/>
            </a:ln>
            <a:effectLst/>
          </c:spPr>
          <c:txPr>
            <a:bodyPr rot="0" spcFirstLastPara="1" vertOverflow="ellipsis"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8997223182024701"/>
          <c:w val="0.98456936655700622"/>
          <c:h val="0.56711441959875619"/>
        </c:manualLayout>
      </c:layout>
      <c:barChart>
        <c:barDir val="col"/>
        <c:grouping val="clustered"/>
        <c:varyColors val="0"/>
        <c:ser>
          <c:idx val="0"/>
          <c:order val="0"/>
          <c:tx>
            <c:strRef>
              <c:f>'Agility and nutrition analysis'!$B$3</c:f>
              <c:strCache>
                <c:ptCount val="1"/>
                <c:pt idx="0">
                  <c:v>Average of Agility_Score</c:v>
                </c:pt>
              </c:strCache>
            </c:strRef>
          </c:tx>
          <c:spPr>
            <a:solidFill>
              <a:schemeClr val="accent1">
                <a:lumMod val="50000"/>
              </a:schemeClr>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'Agility and nutrition analysis'!$A$4:$A$11</c:f>
              <c:strCache>
                <c:ptCount val="7"/>
                <c:pt idx="0">
                  <c:v>18 years</c:v>
                </c:pt>
                <c:pt idx="1">
                  <c:v>19 years</c:v>
                </c:pt>
                <c:pt idx="2">
                  <c:v>20 years</c:v>
                </c:pt>
                <c:pt idx="3">
                  <c:v>21 years</c:v>
                </c:pt>
                <c:pt idx="4">
                  <c:v>22 years</c:v>
                </c:pt>
                <c:pt idx="5">
                  <c:v>23 years</c:v>
                </c:pt>
                <c:pt idx="6">
                  <c:v>24 years</c:v>
                </c:pt>
              </c:strCache>
            </c:strRef>
          </c:cat>
          <c:val>
            <c:numRef>
              <c:f>'Agility and nutrition analysis'!$B$4:$B$11</c:f>
              <c:numCache>
                <c:formatCode>0.00</c:formatCode>
                <c:ptCount val="7"/>
                <c:pt idx="0">
                  <c:v>77.795255581926767</c:v>
                </c:pt>
                <c:pt idx="1">
                  <c:v>78.670816110664148</c:v>
                </c:pt>
                <c:pt idx="2">
                  <c:v>79.994663549407463</c:v>
                </c:pt>
                <c:pt idx="3">
                  <c:v>77.643622713553995</c:v>
                </c:pt>
                <c:pt idx="4">
                  <c:v>77.037739208352605</c:v>
                </c:pt>
                <c:pt idx="5">
                  <c:v>79.322834106170873</c:v>
                </c:pt>
                <c:pt idx="6">
                  <c:v>78.091036943270993</c:v>
                </c:pt>
              </c:numCache>
            </c:numRef>
          </c:val>
          <c:extLst>
            <c:ext xmlns:c16="http://schemas.microsoft.com/office/drawing/2014/chart" uri="{C3380CC4-5D6E-409C-BE32-E72D297353CC}">
              <c16:uniqueId val="{00000000-954F-429A-8B8B-F72393E2FDB5}"/>
            </c:ext>
          </c:extLst>
        </c:ser>
        <c:ser>
          <c:idx val="1"/>
          <c:order val="1"/>
          <c:tx>
            <c:strRef>
              <c:f>'Agility and nutrition analysis'!$C$3</c:f>
              <c:strCache>
                <c:ptCount val="1"/>
                <c:pt idx="0">
                  <c:v>Average of Nutrition_Quality_Score</c:v>
                </c:pt>
              </c:strCache>
            </c:strRef>
          </c:tx>
          <c:spPr>
            <a:solidFill>
              <a:schemeClr val="accent1">
                <a:lumMod val="60000"/>
                <a:lumOff val="40000"/>
              </a:schemeClr>
            </a:solidFill>
            <a:ln w="25400">
              <a:noFill/>
            </a:ln>
            <a:effectLst/>
          </c:spPr>
          <c:invertIfNegative val="0"/>
          <c:dPt>
            <c:idx val="0"/>
            <c:invertIfNegative val="0"/>
            <c:bubble3D val="0"/>
            <c:extLst>
              <c:ext xmlns:c16="http://schemas.microsoft.com/office/drawing/2014/chart" uri="{C3380CC4-5D6E-409C-BE32-E72D297353CC}">
                <c16:uniqueId val="{00000006-7486-4DD5-8AA0-FA45B8E36326}"/>
              </c:ext>
            </c:extLst>
          </c:dPt>
          <c:dPt>
            <c:idx val="1"/>
            <c:invertIfNegative val="0"/>
            <c:bubble3D val="0"/>
            <c:extLst>
              <c:ext xmlns:c16="http://schemas.microsoft.com/office/drawing/2014/chart" uri="{C3380CC4-5D6E-409C-BE32-E72D297353CC}">
                <c16:uniqueId val="{00000005-7486-4DD5-8AA0-FA45B8E36326}"/>
              </c:ext>
            </c:extLst>
          </c:dPt>
          <c:dPt>
            <c:idx val="2"/>
            <c:invertIfNegative val="0"/>
            <c:bubble3D val="0"/>
            <c:extLst>
              <c:ext xmlns:c16="http://schemas.microsoft.com/office/drawing/2014/chart" uri="{C3380CC4-5D6E-409C-BE32-E72D297353CC}">
                <c16:uniqueId val="{00000004-7486-4DD5-8AA0-FA45B8E36326}"/>
              </c:ext>
            </c:extLst>
          </c:dPt>
          <c:dPt>
            <c:idx val="3"/>
            <c:invertIfNegative val="0"/>
            <c:bubble3D val="0"/>
            <c:extLst>
              <c:ext xmlns:c16="http://schemas.microsoft.com/office/drawing/2014/chart" uri="{C3380CC4-5D6E-409C-BE32-E72D297353CC}">
                <c16:uniqueId val="{00000003-7486-4DD5-8AA0-FA45B8E36326}"/>
              </c:ext>
            </c:extLst>
          </c:dPt>
          <c:dPt>
            <c:idx val="4"/>
            <c:invertIfNegative val="0"/>
            <c:bubble3D val="0"/>
            <c:extLst>
              <c:ext xmlns:c16="http://schemas.microsoft.com/office/drawing/2014/chart" uri="{C3380CC4-5D6E-409C-BE32-E72D297353CC}">
                <c16:uniqueId val="{00000002-7486-4DD5-8AA0-FA45B8E36326}"/>
              </c:ext>
            </c:extLst>
          </c:dPt>
          <c:dPt>
            <c:idx val="5"/>
            <c:invertIfNegative val="0"/>
            <c:bubble3D val="0"/>
            <c:extLst>
              <c:ext xmlns:c16="http://schemas.microsoft.com/office/drawing/2014/chart" uri="{C3380CC4-5D6E-409C-BE32-E72D297353CC}">
                <c16:uniqueId val="{00000001-7486-4DD5-8AA0-FA45B8E36326}"/>
              </c:ext>
            </c:extLst>
          </c:dPt>
          <c:dPt>
            <c:idx val="6"/>
            <c:invertIfNegative val="0"/>
            <c:bubble3D val="0"/>
            <c:extLst>
              <c:ext xmlns:c16="http://schemas.microsoft.com/office/drawing/2014/chart" uri="{C3380CC4-5D6E-409C-BE32-E72D297353CC}">
                <c16:uniqueId val="{00000000-7486-4DD5-8AA0-FA45B8E36326}"/>
              </c:ext>
            </c:extLst>
          </c:dPt>
          <c:dLbls>
            <c:spPr>
              <a:noFill/>
              <a:ln>
                <a:noFill/>
              </a:ln>
              <a:effectLst/>
            </c:spPr>
            <c:txPr>
              <a:bodyPr rot="0" spcFirstLastPara="1" vertOverflow="ellipsis"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'Agility and nutrition analysis'!$A$4:$A$11</c:f>
              <c:strCache>
                <c:ptCount val="7"/>
                <c:pt idx="0">
                  <c:v>18 years</c:v>
                </c:pt>
                <c:pt idx="1">
                  <c:v>19 years</c:v>
                </c:pt>
                <c:pt idx="2">
                  <c:v>20 years</c:v>
                </c:pt>
                <c:pt idx="3">
                  <c:v>21 years</c:v>
                </c:pt>
                <c:pt idx="4">
                  <c:v>22 years</c:v>
                </c:pt>
                <c:pt idx="5">
                  <c:v>23 years</c:v>
                </c:pt>
                <c:pt idx="6">
                  <c:v>24 years</c:v>
                </c:pt>
              </c:strCache>
            </c:strRef>
          </c:cat>
          <c:val>
            <c:numRef>
              <c:f>'Agility and nutrition analysis'!$C$4:$C$11</c:f>
              <c:numCache>
                <c:formatCode>0.00</c:formatCode>
                <c:ptCount val="7"/>
                <c:pt idx="0">
                  <c:v>73.65146868032005</c:v>
                </c:pt>
                <c:pt idx="1">
                  <c:v>74.967194531366403</c:v>
                </c:pt>
                <c:pt idx="2">
                  <c:v>75.229321471425948</c:v>
                </c:pt>
                <c:pt idx="3">
                  <c:v>74.262310120739315</c:v>
                </c:pt>
                <c:pt idx="4">
                  <c:v>74.279952714288797</c:v>
                </c:pt>
                <c:pt idx="5">
                  <c:v>74.361514017794264</c:v>
                </c:pt>
                <c:pt idx="6">
                  <c:v>73.955102296840266</c:v>
                </c:pt>
              </c:numCache>
            </c:numRef>
          </c:val>
          <c:extLst>
            <c:ext xmlns:c16="http://schemas.microsoft.com/office/drawing/2014/chart" uri="{C3380CC4-5D6E-409C-BE32-E72D297353CC}">
              <c16:uniqueId val="{00000001-954F-429A-8B8B-F72393E2FDB5}"/>
            </c:ext>
          </c:extLst>
        </c:ser>
        <c:dLbls>
          <c:dLblPos val="outEnd"/>
          <c:showLegendKey val="0"/>
          <c:showVal val="1"/>
          <c:showCatName val="0"/>
          <c:showSerName val="0"/>
          <c:showPercent val="0"/>
          <c:showBubbleSize val="0"/>
        </c:dLbls>
        <c:gapWidth val="20"/>
        <c:axId val="211863936"/>
        <c:axId val="211883616"/>
      </c:barChart>
      <c:catAx>
        <c:axId val="211863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crossAx val="211883616"/>
        <c:crosses val="autoZero"/>
        <c:auto val="1"/>
        <c:lblAlgn val="ctr"/>
        <c:lblOffset val="100"/>
        <c:noMultiLvlLbl val="0"/>
      </c:catAx>
      <c:valAx>
        <c:axId val="211883616"/>
        <c:scaling>
          <c:orientation val="minMax"/>
        </c:scaling>
        <c:delete val="1"/>
        <c:axPos val="l"/>
        <c:numFmt formatCode="0.00" sourceLinked="1"/>
        <c:majorTickMark val="out"/>
        <c:minorTickMark val="none"/>
        <c:tickLblPos val="nextTo"/>
        <c:crossAx val="211863936"/>
        <c:crosses val="autoZero"/>
        <c:crossBetween val="between"/>
      </c:valAx>
      <c:spPr>
        <a:noFill/>
        <a:ln>
          <a:noFill/>
        </a:ln>
        <a:effectLst/>
      </c:spPr>
    </c:plotArea>
    <c:legend>
      <c:legendPos val="r"/>
      <c:layout>
        <c:manualLayout>
          <c:xMode val="edge"/>
          <c:yMode val="edge"/>
          <c:x val="0"/>
          <c:y val="0.11390313253814316"/>
          <c:w val="0.989548182868076"/>
          <c:h val="0.1276256237080731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accent1">
                  <a:lumMod val="50000"/>
                </a:schemeClr>
              </a:solidFill>
              <a:latin typeface="Georgia" panose="020405020504050203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dataset.xlsx]Nurtition grade!PivotTable1</c:name>
    <c:fmtId val="20"/>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noFill/>
          </a:ln>
          <a:effectLst/>
        </c:spPr>
        <c:dLbl>
          <c:idx val="0"/>
          <c:layout>
            <c:manualLayout>
              <c:x val="-1.6544272124127504E-16"/>
              <c:y val="-0.231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noFill/>
          </a:ln>
          <a:effectLst/>
        </c:spPr>
        <c:dLbl>
          <c:idx val="0"/>
          <c:layout>
            <c:manualLayout>
              <c:x val="-4.5121263395375075E-3"/>
              <c:y val="-0.402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noFill/>
          </a:ln>
          <a:effectLst/>
        </c:spPr>
        <c:dLbl>
          <c:idx val="0"/>
          <c:layout>
            <c:manualLayout>
              <c:x val="0"/>
              <c:y val="-0.3703703703703703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noFill/>
          </a:ln>
          <a:effectLst/>
        </c:spPr>
        <c:dLbl>
          <c:idx val="0"/>
          <c:layout>
            <c:manualLayout>
              <c:x val="0"/>
              <c:y val="-0.4120370370370370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noFill/>
          </a:ln>
          <a:effectLst/>
        </c:spPr>
        <c:dLbl>
          <c:idx val="0"/>
          <c:layout>
            <c:manualLayout>
              <c:x val="-6.768189509306302E-3"/>
              <c:y val="-0.3425925925925926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noFill/>
          </a:ln>
          <a:effectLst/>
        </c:spPr>
        <c:dLbl>
          <c:idx val="0"/>
          <c:layout>
            <c:manualLayout>
              <c:x val="-1.1280315848843767E-2"/>
              <c:y val="-0.3055555555555555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noFill/>
          </a:ln>
          <a:effectLst/>
        </c:spPr>
        <c:dLbl>
          <c:idx val="0"/>
          <c:layout>
            <c:manualLayout>
              <c:x val="2.2560631697687537E-3"/>
              <c:y val="-0.277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dLbl>
          <c:idx val="0"/>
          <c:layout>
            <c:manualLayout>
              <c:x val="2.2560631697687537E-3"/>
              <c:y val="-0.277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dLbl>
          <c:idx val="0"/>
          <c:layout>
            <c:manualLayout>
              <c:x val="-1.1280315848843767E-2"/>
              <c:y val="-0.3055555555555555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dLbl>
          <c:idx val="0"/>
          <c:layout>
            <c:manualLayout>
              <c:x val="-6.768189509306302E-3"/>
              <c:y val="-0.3425925925925926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dLbl>
          <c:idx val="0"/>
          <c:layout>
            <c:manualLayout>
              <c:x val="0"/>
              <c:y val="-0.4120370370370370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dLbl>
          <c:idx val="0"/>
          <c:layout>
            <c:manualLayout>
              <c:x val="0"/>
              <c:y val="-0.3703703703703703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dLbl>
          <c:idx val="0"/>
          <c:layout>
            <c:manualLayout>
              <c:x val="-4.5121263395375075E-3"/>
              <c:y val="-0.402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dLbl>
          <c:idx val="0"/>
          <c:layout>
            <c:manualLayout>
              <c:x val="-1.6544272124127504E-16"/>
              <c:y val="-0.231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75000"/>
            </a:schemeClr>
          </a:solidFill>
          <a:ln w="19050">
            <a:noFill/>
          </a:ln>
          <a:effectLst/>
        </c:spPr>
      </c:pivotFmt>
      <c:pivotFmt>
        <c:idx val="35"/>
        <c:spPr>
          <a:solidFill>
            <a:schemeClr val="accent1">
              <a:lumMod val="60000"/>
              <a:lumOff val="40000"/>
            </a:schemeClr>
          </a:solidFill>
          <a:ln w="19050">
            <a:noFill/>
          </a:ln>
          <a:effectLst/>
        </c:spPr>
      </c:pivotFmt>
      <c:pivotFmt>
        <c:idx val="36"/>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lumMod val="75000"/>
            </a:schemeClr>
          </a:solidFill>
          <a:ln w="19050">
            <a:noFill/>
          </a:ln>
          <a:effectLst/>
        </c:spPr>
      </c:pivotFmt>
      <c:pivotFmt>
        <c:idx val="38"/>
        <c:spPr>
          <a:solidFill>
            <a:schemeClr val="accent1">
              <a:lumMod val="60000"/>
              <a:lumOff val="40000"/>
            </a:schemeClr>
          </a:solidFill>
          <a:ln w="19050">
            <a:noFill/>
          </a:ln>
          <a:effectLst/>
        </c:spPr>
      </c:pivotFmt>
      <c:pivotFmt>
        <c:idx val="39"/>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lumMod val="75000"/>
            </a:schemeClr>
          </a:solidFill>
          <a:ln w="19050">
            <a:noFill/>
          </a:ln>
          <a:effectLst/>
        </c:spPr>
      </c:pivotFmt>
      <c:pivotFmt>
        <c:idx val="41"/>
        <c:spPr>
          <a:solidFill>
            <a:schemeClr val="accent1">
              <a:lumMod val="60000"/>
              <a:lumOff val="40000"/>
            </a:schemeClr>
          </a:solidFill>
          <a:ln w="19050">
            <a:noFill/>
          </a:ln>
          <a:effectLst/>
        </c:spPr>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lumMod val="75000"/>
            </a:schemeClr>
          </a:solidFill>
          <a:ln w="19050">
            <a:solidFill>
              <a:schemeClr val="lt1"/>
            </a:solidFill>
          </a:ln>
          <a:effectLst/>
        </c:spPr>
      </c:pivotFmt>
      <c:pivotFmt>
        <c:idx val="45"/>
        <c:spPr>
          <a:solidFill>
            <a:schemeClr val="accent1">
              <a:lumMod val="60000"/>
              <a:lumOff val="40000"/>
            </a:schemeClr>
          </a:solidFill>
          <a:ln w="19050">
            <a:solidFill>
              <a:schemeClr val="lt1"/>
            </a:solidFill>
          </a:ln>
          <a:effectLst/>
        </c:spPr>
      </c:pivotFmt>
      <c:pivotFmt>
        <c:idx val="46"/>
        <c:spPr>
          <a:solidFill>
            <a:schemeClr val="accent1">
              <a:lumMod val="50000"/>
            </a:schemeClr>
          </a:solidFill>
          <a:ln w="19050">
            <a:solidFill>
              <a:schemeClr val="lt1"/>
            </a:solidFill>
          </a:ln>
          <a:effectLst/>
        </c:spPr>
      </c:pivotFmt>
    </c:pivotFmts>
    <c:plotArea>
      <c:layout>
        <c:manualLayout>
          <c:layoutTarget val="inner"/>
          <c:xMode val="edge"/>
          <c:yMode val="edge"/>
          <c:x val="0.17141689721217279"/>
          <c:y val="0.16621143668516844"/>
          <c:w val="0.79344243456054475"/>
          <c:h val="0.79157437287552179"/>
        </c:manualLayout>
      </c:layout>
      <c:barChart>
        <c:barDir val="bar"/>
        <c:grouping val="clustered"/>
        <c:varyColors val="0"/>
        <c:ser>
          <c:idx val="0"/>
          <c:order val="0"/>
          <c:tx>
            <c:strRef>
              <c:f>'Nurtition grade'!$B$3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2-918E-4AA9-B1D2-C94162ABEFE7}"/>
              </c:ext>
            </c:extLst>
          </c:dPt>
          <c:dPt>
            <c:idx val="1"/>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38F7-42CE-AC9E-FA72FCF5D126}"/>
              </c:ext>
            </c:extLst>
          </c:dPt>
          <c:dPt>
            <c:idx val="2"/>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38F7-42CE-AC9E-FA72FCF5D126}"/>
              </c:ext>
            </c:extLst>
          </c:dPt>
          <c:dLbls>
            <c:spPr>
              <a:noFill/>
              <a:ln>
                <a:noFill/>
              </a:ln>
              <a:effectLst/>
            </c:spPr>
            <c:txPr>
              <a:bodyPr rot="0" spcFirstLastPara="1" vertOverflow="ellipsis"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'Nurtition grade'!$A$4:$A$7</c:f>
              <c:strCache>
                <c:ptCount val="3"/>
                <c:pt idx="0">
                  <c:v>Poor Nutrition</c:v>
                </c:pt>
                <c:pt idx="1">
                  <c:v>Average Nutrition</c:v>
                </c:pt>
                <c:pt idx="2">
                  <c:v>Good Nutrition</c:v>
                </c:pt>
              </c:strCache>
            </c:strRef>
          </c:cat>
          <c:val>
            <c:numRef>
              <c:f>'Nurtition grade'!$B$4:$B$7</c:f>
              <c:numCache>
                <c:formatCode>0.00</c:formatCode>
                <c:ptCount val="3"/>
                <c:pt idx="0">
                  <c:v>0.7441860465116279</c:v>
                </c:pt>
                <c:pt idx="1">
                  <c:v>0.59668508287292821</c:v>
                </c:pt>
                <c:pt idx="2">
                  <c:v>0.20560747663551401</c:v>
                </c:pt>
              </c:numCache>
            </c:numRef>
          </c:val>
          <c:extLst>
            <c:ext xmlns:c16="http://schemas.microsoft.com/office/drawing/2014/chart" uri="{C3380CC4-5D6E-409C-BE32-E72D297353CC}">
              <c16:uniqueId val="{00000004-38F7-42CE-AC9E-FA72FCF5D126}"/>
            </c:ext>
          </c:extLst>
        </c:ser>
        <c:dLbls>
          <c:dLblPos val="outEnd"/>
          <c:showLegendKey val="0"/>
          <c:showVal val="1"/>
          <c:showCatName val="0"/>
          <c:showSerName val="0"/>
          <c:showPercent val="0"/>
          <c:showBubbleSize val="0"/>
        </c:dLbls>
        <c:gapWidth val="20"/>
        <c:axId val="211863936"/>
        <c:axId val="211883616"/>
      </c:barChart>
      <c:catAx>
        <c:axId val="21186393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crossAx val="211883616"/>
        <c:crosses val="autoZero"/>
        <c:auto val="1"/>
        <c:lblAlgn val="ctr"/>
        <c:lblOffset val="100"/>
        <c:noMultiLvlLbl val="0"/>
      </c:catAx>
      <c:valAx>
        <c:axId val="211883616"/>
        <c:scaling>
          <c:orientation val="minMax"/>
        </c:scaling>
        <c:delete val="1"/>
        <c:axPos val="t"/>
        <c:numFmt formatCode="0.00" sourceLinked="1"/>
        <c:majorTickMark val="out"/>
        <c:minorTickMark val="none"/>
        <c:tickLblPos val="nextTo"/>
        <c:crossAx val="21186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dataset.xlsx]matches analysis!PivotTable1</c:name>
    <c:fmtId val="2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noFill/>
          </a:ln>
          <a:effectLst/>
        </c:spPr>
        <c:dLbl>
          <c:idx val="0"/>
          <c:layout>
            <c:manualLayout>
              <c:x val="-1.6544272124127504E-16"/>
              <c:y val="-0.231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noFill/>
          </a:ln>
          <a:effectLst/>
        </c:spPr>
        <c:dLbl>
          <c:idx val="0"/>
          <c:layout>
            <c:manualLayout>
              <c:x val="-4.5121263395375075E-3"/>
              <c:y val="-0.402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noFill/>
          </a:ln>
          <a:effectLst/>
        </c:spPr>
        <c:dLbl>
          <c:idx val="0"/>
          <c:layout>
            <c:manualLayout>
              <c:x val="0"/>
              <c:y val="-0.37037037037037035"/>
            </c:manualLayout>
          </c:layout>
          <c:spPr>
            <a:no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noFill/>
          </a:ln>
          <a:effectLst/>
        </c:spPr>
        <c:dLbl>
          <c:idx val="0"/>
          <c:layout>
            <c:manualLayout>
              <c:x val="0"/>
              <c:y val="-0.41203703703703703"/>
            </c:manualLayout>
          </c:layout>
          <c:spPr>
            <a:no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noFill/>
          </a:ln>
          <a:effectLst/>
        </c:spPr>
        <c:dLbl>
          <c:idx val="0"/>
          <c:layout>
            <c:manualLayout>
              <c:x val="-6.768189509306302E-3"/>
              <c:y val="-0.34259259259259262"/>
            </c:manualLayout>
          </c:layout>
          <c:spPr>
            <a:no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noFill/>
          </a:ln>
          <a:effectLst/>
        </c:spPr>
        <c:dLbl>
          <c:idx val="0"/>
          <c:layout>
            <c:manualLayout>
              <c:x val="-1.1280315848843767E-2"/>
              <c:y val="-0.30555555555555558"/>
            </c:manualLayout>
          </c:layout>
          <c:spPr>
            <a:no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noFill/>
          </a:ln>
          <a:effectLst/>
        </c:spPr>
        <c:dLbl>
          <c:idx val="0"/>
          <c:layout>
            <c:manualLayout>
              <c:x val="2.2560631697687537E-3"/>
              <c:y val="-0.277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dLbl>
          <c:idx val="0"/>
          <c:layout>
            <c:manualLayout>
              <c:x val="2.2560631697687537E-3"/>
              <c:y val="-0.277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dLbl>
          <c:idx val="0"/>
          <c:layout>
            <c:manualLayout>
              <c:x val="-1.1280315848843767E-2"/>
              <c:y val="-0.30555555555555558"/>
            </c:manualLayout>
          </c:layout>
          <c:spPr>
            <a:no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dLbl>
          <c:idx val="0"/>
          <c:layout>
            <c:manualLayout>
              <c:x val="-6.768189509306302E-3"/>
              <c:y val="-0.34259259259259262"/>
            </c:manualLayout>
          </c:layout>
          <c:spPr>
            <a:no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dLbl>
          <c:idx val="0"/>
          <c:layout>
            <c:manualLayout>
              <c:x val="0"/>
              <c:y val="-0.41203703703703703"/>
            </c:manualLayout>
          </c:layout>
          <c:spPr>
            <a:no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dLbl>
          <c:idx val="0"/>
          <c:layout>
            <c:manualLayout>
              <c:x val="0"/>
              <c:y val="-0.37037037037037035"/>
            </c:manualLayout>
          </c:layout>
          <c:spPr>
            <a:no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dLbl>
          <c:idx val="0"/>
          <c:layout>
            <c:manualLayout>
              <c:x val="-4.5121263395375075E-3"/>
              <c:y val="-0.402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dLbl>
          <c:idx val="0"/>
          <c:layout>
            <c:manualLayout>
              <c:x val="-1.6544272124127504E-16"/>
              <c:y val="-0.231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lumMod val="50000"/>
            </a:schemeClr>
          </a:solidFill>
          <a:ln w="19050">
            <a:noFill/>
          </a:ln>
          <a:effectLst/>
        </c:spPr>
      </c:pivotFmt>
      <c:pivotFmt>
        <c:idx val="37"/>
        <c:spPr>
          <a:solidFill>
            <a:schemeClr val="accent1">
              <a:lumMod val="75000"/>
            </a:schemeClr>
          </a:solidFill>
          <a:ln w="19050">
            <a:noFill/>
          </a:ln>
          <a:effectLst/>
        </c:spPr>
      </c:pivotFmt>
      <c:pivotFmt>
        <c:idx val="38"/>
        <c:spPr>
          <a:solidFill>
            <a:schemeClr val="accent1">
              <a:lumMod val="60000"/>
              <a:lumOff val="40000"/>
            </a:schemeClr>
          </a:solidFill>
          <a:ln w="19050">
            <a:noFill/>
          </a:ln>
          <a:effectLst/>
        </c:spPr>
      </c:pivotFmt>
      <c:pivotFmt>
        <c:idx val="39"/>
        <c:spPr>
          <a:solidFill>
            <a:schemeClr val="accent1">
              <a:lumMod val="40000"/>
              <a:lumOff val="60000"/>
            </a:schemeClr>
          </a:solidFill>
          <a:ln w="19050">
            <a:noFill/>
          </a:ln>
          <a:effectLst/>
        </c:spPr>
      </c:pivotFmt>
      <c:pivotFmt>
        <c:idx val="40"/>
        <c:spPr>
          <a:solidFill>
            <a:schemeClr val="accent1">
              <a:lumMod val="20000"/>
              <a:lumOff val="80000"/>
            </a:schemeClr>
          </a:solidFill>
          <a:ln w="19050">
            <a:noFill/>
          </a:ln>
          <a:effectLst/>
        </c:spPr>
      </c:pivotFmt>
      <c:pivotFmt>
        <c:idx val="4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50000"/>
            </a:schemeClr>
          </a:solidFill>
          <a:ln w="19050">
            <a:noFill/>
          </a:ln>
          <a:effectLst/>
        </c:spPr>
      </c:pivotFmt>
      <c:pivotFmt>
        <c:idx val="43"/>
        <c:spPr>
          <a:solidFill>
            <a:schemeClr val="accent1">
              <a:lumMod val="75000"/>
            </a:schemeClr>
          </a:solidFill>
          <a:ln w="19050">
            <a:noFill/>
          </a:ln>
          <a:effectLst/>
        </c:spPr>
      </c:pivotFmt>
      <c:pivotFmt>
        <c:idx val="44"/>
        <c:spPr>
          <a:solidFill>
            <a:schemeClr val="accent1">
              <a:lumMod val="60000"/>
              <a:lumOff val="40000"/>
            </a:schemeClr>
          </a:solidFill>
          <a:ln w="19050">
            <a:noFill/>
          </a:ln>
          <a:effectLst/>
        </c:spPr>
      </c:pivotFmt>
      <c:pivotFmt>
        <c:idx val="45"/>
        <c:spPr>
          <a:solidFill>
            <a:schemeClr val="accent1">
              <a:lumMod val="40000"/>
              <a:lumOff val="60000"/>
            </a:schemeClr>
          </a:solidFill>
          <a:ln w="19050">
            <a:noFill/>
          </a:ln>
          <a:effectLst/>
        </c:spPr>
      </c:pivotFmt>
      <c:pivotFmt>
        <c:idx val="46"/>
        <c:spPr>
          <a:solidFill>
            <a:schemeClr val="accent1">
              <a:lumMod val="20000"/>
              <a:lumOff val="80000"/>
            </a:schemeClr>
          </a:solidFill>
          <a:ln w="19050">
            <a:noFill/>
          </a:ln>
          <a:effectLst/>
        </c:spPr>
      </c:pivotFmt>
      <c:pivotFmt>
        <c:idx val="47"/>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lumMod val="50000"/>
            </a:schemeClr>
          </a:solidFill>
          <a:ln w="19050">
            <a:noFill/>
          </a:ln>
          <a:effectLst/>
        </c:spPr>
      </c:pivotFmt>
      <c:pivotFmt>
        <c:idx val="49"/>
        <c:spPr>
          <a:solidFill>
            <a:schemeClr val="accent1">
              <a:lumMod val="75000"/>
            </a:schemeClr>
          </a:solidFill>
          <a:ln w="19050">
            <a:noFill/>
          </a:ln>
          <a:effectLst/>
        </c:spPr>
      </c:pivotFmt>
      <c:pivotFmt>
        <c:idx val="50"/>
        <c:spPr>
          <a:solidFill>
            <a:schemeClr val="accent1">
              <a:lumMod val="60000"/>
              <a:lumOff val="40000"/>
            </a:schemeClr>
          </a:solidFill>
          <a:ln w="19050">
            <a:noFill/>
          </a:ln>
          <a:effectLst/>
        </c:spPr>
      </c:pivotFmt>
      <c:pivotFmt>
        <c:idx val="51"/>
        <c:spPr>
          <a:solidFill>
            <a:schemeClr val="accent1">
              <a:lumMod val="40000"/>
              <a:lumOff val="60000"/>
            </a:schemeClr>
          </a:solidFill>
          <a:ln w="19050">
            <a:noFill/>
          </a:ln>
          <a:effectLst/>
        </c:spPr>
      </c:pivotFmt>
      <c:pivotFmt>
        <c:idx val="52"/>
        <c:spPr>
          <a:solidFill>
            <a:schemeClr val="accent1">
              <a:lumMod val="20000"/>
              <a:lumOff val="80000"/>
            </a:schemeClr>
          </a:solidFill>
          <a:ln w="19050">
            <a:noFill/>
          </a:ln>
          <a:effectLst/>
        </c:spPr>
      </c:pivotFmt>
    </c:pivotFmts>
    <c:plotArea>
      <c:layout>
        <c:manualLayout>
          <c:layoutTarget val="inner"/>
          <c:xMode val="edge"/>
          <c:yMode val="edge"/>
          <c:x val="0.11688500640559797"/>
          <c:y val="0.18055555555555552"/>
          <c:w val="0.88311499359440204"/>
          <c:h val="0.79111913094196562"/>
        </c:manualLayout>
      </c:layout>
      <c:barChart>
        <c:barDir val="bar"/>
        <c:grouping val="clustered"/>
        <c:varyColors val="0"/>
        <c:ser>
          <c:idx val="0"/>
          <c:order val="0"/>
          <c:tx>
            <c:strRef>
              <c:f>'matches analysis'!$B$3</c:f>
              <c:strCache>
                <c:ptCount val="1"/>
                <c:pt idx="0">
                  <c:v>Total</c:v>
                </c:pt>
              </c:strCache>
            </c:strRef>
          </c:tx>
          <c:spPr>
            <a:solidFill>
              <a:schemeClr val="accent1"/>
            </a:solidFill>
            <a:ln w="19050">
              <a:noFill/>
            </a:ln>
            <a:effectLst/>
          </c:spPr>
          <c:invertIfNegative val="0"/>
          <c:dPt>
            <c:idx val="0"/>
            <c:invertIfNegative val="0"/>
            <c:bubble3D val="0"/>
            <c:spPr>
              <a:solidFill>
                <a:schemeClr val="accent1">
                  <a:lumMod val="50000"/>
                </a:schemeClr>
              </a:solidFill>
              <a:ln w="19050">
                <a:noFill/>
              </a:ln>
              <a:effectLst/>
            </c:spPr>
            <c:extLst>
              <c:ext xmlns:c16="http://schemas.microsoft.com/office/drawing/2014/chart" uri="{C3380CC4-5D6E-409C-BE32-E72D297353CC}">
                <c16:uniqueId val="{00000001-4CD6-432F-B41C-830D2DD0A07D}"/>
              </c:ext>
            </c:extLst>
          </c:dPt>
          <c:dPt>
            <c:idx val="1"/>
            <c:invertIfNegative val="0"/>
            <c:bubble3D val="0"/>
            <c:spPr>
              <a:solidFill>
                <a:schemeClr val="accent1">
                  <a:lumMod val="75000"/>
                </a:schemeClr>
              </a:solidFill>
              <a:ln w="19050">
                <a:noFill/>
              </a:ln>
              <a:effectLst/>
            </c:spPr>
            <c:extLst>
              <c:ext xmlns:c16="http://schemas.microsoft.com/office/drawing/2014/chart" uri="{C3380CC4-5D6E-409C-BE32-E72D297353CC}">
                <c16:uniqueId val="{00000003-4CD6-432F-B41C-830D2DD0A07D}"/>
              </c:ext>
            </c:extLst>
          </c:dPt>
          <c:dPt>
            <c:idx val="2"/>
            <c:invertIfNegative val="0"/>
            <c:bubble3D val="0"/>
            <c:spPr>
              <a:solidFill>
                <a:schemeClr val="accent1">
                  <a:lumMod val="60000"/>
                  <a:lumOff val="40000"/>
                </a:schemeClr>
              </a:solidFill>
              <a:ln w="19050">
                <a:noFill/>
              </a:ln>
              <a:effectLst/>
            </c:spPr>
            <c:extLst>
              <c:ext xmlns:c16="http://schemas.microsoft.com/office/drawing/2014/chart" uri="{C3380CC4-5D6E-409C-BE32-E72D297353CC}">
                <c16:uniqueId val="{00000005-4CD6-432F-B41C-830D2DD0A07D}"/>
              </c:ext>
            </c:extLst>
          </c:dPt>
          <c:dPt>
            <c:idx val="3"/>
            <c:invertIfNegative val="0"/>
            <c:bubble3D val="0"/>
            <c:spPr>
              <a:solidFill>
                <a:schemeClr val="accent1">
                  <a:lumMod val="40000"/>
                  <a:lumOff val="60000"/>
                </a:schemeClr>
              </a:solidFill>
              <a:ln w="19050">
                <a:noFill/>
              </a:ln>
              <a:effectLst/>
            </c:spPr>
            <c:extLst>
              <c:ext xmlns:c16="http://schemas.microsoft.com/office/drawing/2014/chart" uri="{C3380CC4-5D6E-409C-BE32-E72D297353CC}">
                <c16:uniqueId val="{00000007-4CD6-432F-B41C-830D2DD0A07D}"/>
              </c:ext>
            </c:extLst>
          </c:dPt>
          <c:dPt>
            <c:idx val="4"/>
            <c:invertIfNegative val="0"/>
            <c:bubble3D val="0"/>
            <c:spPr>
              <a:solidFill>
                <a:schemeClr val="accent1">
                  <a:lumMod val="20000"/>
                  <a:lumOff val="80000"/>
                </a:schemeClr>
              </a:solidFill>
              <a:ln w="19050">
                <a:noFill/>
              </a:ln>
              <a:effectLst/>
            </c:spPr>
            <c:extLst>
              <c:ext xmlns:c16="http://schemas.microsoft.com/office/drawing/2014/chart" uri="{C3380CC4-5D6E-409C-BE32-E72D297353CC}">
                <c16:uniqueId val="{00000009-4CD6-432F-B41C-830D2DD0A07D}"/>
              </c:ext>
            </c:extLst>
          </c:dPt>
          <c:dLbls>
            <c:spPr>
              <a:noFill/>
              <a:ln>
                <a:noFill/>
              </a:ln>
              <a:effectLst/>
            </c:spPr>
            <c:txPr>
              <a:bodyPr rot="0" spcFirstLastPara="1" vertOverflow="ellipsis" vert="horz" wrap="square" anchor="ctr" anchorCtr="1"/>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analysis'!$A$4:$A$9</c:f>
              <c:strCache>
                <c:ptCount val="5"/>
                <c:pt idx="0">
                  <c:v>10-11</c:v>
                </c:pt>
                <c:pt idx="1">
                  <c:v>9-10</c:v>
                </c:pt>
                <c:pt idx="2">
                  <c:v>11-12</c:v>
                </c:pt>
                <c:pt idx="3">
                  <c:v>8-9</c:v>
                </c:pt>
                <c:pt idx="4">
                  <c:v>7-8</c:v>
                </c:pt>
              </c:strCache>
            </c:strRef>
          </c:cat>
          <c:val>
            <c:numRef>
              <c:f>'matches analysis'!$B$4:$B$9</c:f>
              <c:numCache>
                <c:formatCode>General</c:formatCode>
                <c:ptCount val="5"/>
                <c:pt idx="0">
                  <c:v>127</c:v>
                </c:pt>
                <c:pt idx="1">
                  <c:v>118</c:v>
                </c:pt>
                <c:pt idx="2">
                  <c:v>105</c:v>
                </c:pt>
                <c:pt idx="3">
                  <c:v>104</c:v>
                </c:pt>
                <c:pt idx="4">
                  <c:v>84</c:v>
                </c:pt>
              </c:numCache>
            </c:numRef>
          </c:val>
          <c:extLst>
            <c:ext xmlns:c16="http://schemas.microsoft.com/office/drawing/2014/chart" uri="{C3380CC4-5D6E-409C-BE32-E72D297353CC}">
              <c16:uniqueId val="{0000000A-4CD6-432F-B41C-830D2DD0A07D}"/>
            </c:ext>
          </c:extLst>
        </c:ser>
        <c:dLbls>
          <c:dLblPos val="outEnd"/>
          <c:showLegendKey val="0"/>
          <c:showVal val="1"/>
          <c:showCatName val="0"/>
          <c:showSerName val="0"/>
          <c:showPercent val="0"/>
          <c:showBubbleSize val="0"/>
        </c:dLbls>
        <c:gapWidth val="20"/>
        <c:axId val="211863936"/>
        <c:axId val="211883616"/>
      </c:barChart>
      <c:catAx>
        <c:axId val="21186393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crossAx val="211883616"/>
        <c:crosses val="autoZero"/>
        <c:auto val="1"/>
        <c:lblAlgn val="ctr"/>
        <c:lblOffset val="100"/>
        <c:noMultiLvlLbl val="0"/>
      </c:catAx>
      <c:valAx>
        <c:axId val="211883616"/>
        <c:scaling>
          <c:orientation val="minMax"/>
        </c:scaling>
        <c:delete val="1"/>
        <c:axPos val="t"/>
        <c:numFmt formatCode="General" sourceLinked="1"/>
        <c:majorTickMark val="out"/>
        <c:minorTickMark val="none"/>
        <c:tickLblPos val="nextTo"/>
        <c:crossAx val="21186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dataset.xlsx]Position analysis!PivotTable1</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6544272124127504E-16"/>
              <c:y val="-0.23148148148148148"/>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4.5121263395375075E-3"/>
              <c:y val="-0.40277777777777779"/>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
              <c:y val="-0.37037037037037035"/>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
              <c:y val="-0.41203703703703703"/>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6.768189509306302E-3"/>
              <c:y val="-0.34259259259259262"/>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1.1280315848843767E-2"/>
              <c:y val="-0.30555555555555558"/>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2.2560631697687537E-3"/>
              <c:y val="-0.27777777777777779"/>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2.2560631697687537E-3"/>
              <c:y val="-0.27777777777777779"/>
            </c:manualLayout>
          </c:layout>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1.1280315848843767E-2"/>
              <c:y val="-0.30555555555555558"/>
            </c:manualLayout>
          </c:layout>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6.768189509306302E-3"/>
              <c:y val="-0.34259259259259262"/>
            </c:manualLayout>
          </c:layout>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
              <c:y val="-0.41203703703703703"/>
            </c:manualLayout>
          </c:layout>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0"/>
              <c:y val="-0.37037037037037035"/>
            </c:manualLayout>
          </c:layout>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4.5121263395375075E-3"/>
              <c:y val="-0.40277777777777779"/>
            </c:manualLayout>
          </c:layout>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1.6544272124127504E-16"/>
              <c:y val="-0.23148148148148148"/>
            </c:manualLayout>
          </c:layout>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dLbl>
          <c:idx val="0"/>
          <c:showLegendKey val="0"/>
          <c:showVal val="1"/>
          <c:showCatName val="0"/>
          <c:showSerName val="0"/>
          <c:showPercent val="0"/>
          <c:showBubbleSize val="0"/>
          <c:extLst>
            <c:ext xmlns:c15="http://schemas.microsoft.com/office/drawing/2012/chart" uri="{CE6537A1-D6FC-4f65-9D91-7224C49458BB}"/>
          </c:extLst>
        </c:dLbl>
      </c:pivotFmt>
      <c:pivotFmt>
        <c:idx val="30"/>
        <c:dLbl>
          <c:idx val="0"/>
          <c:showLegendKey val="0"/>
          <c:showVal val="1"/>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44450" cap="rnd">
            <a:solidFill>
              <a:schemeClr val="accent1">
                <a:lumMod val="50000"/>
              </a:schemeClr>
            </a:solidFill>
            <a:round/>
          </a:ln>
          <a:effectLst/>
        </c:spPr>
        <c:marker>
          <c:symbol val="diamond"/>
          <c:size val="8"/>
          <c:spPr>
            <a:solidFill>
              <a:schemeClr val="bg1"/>
            </a:solidFill>
            <a:ln w="12700">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44450" cap="rnd">
            <a:solidFill>
              <a:schemeClr val="accent1">
                <a:lumMod val="50000"/>
              </a:schemeClr>
            </a:solidFill>
            <a:round/>
          </a:ln>
          <a:effectLst/>
        </c:spPr>
        <c:marker>
          <c:symbol val="diamond"/>
          <c:size val="8"/>
          <c:spPr>
            <a:solidFill>
              <a:schemeClr val="bg1"/>
            </a:solidFill>
            <a:ln w="12700">
              <a:solidFill>
                <a:schemeClr val="accent1">
                  <a:lumMod val="50000"/>
                </a:schemeClr>
              </a:solidFill>
            </a:ln>
            <a:effectLst/>
          </c:spPr>
        </c:marker>
        <c:dLbl>
          <c:idx val="0"/>
          <c:layout>
            <c:manualLayout>
              <c:x val="1.4886492254804235E-3"/>
              <c:y val="-0.125"/>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44450" cap="rnd">
            <a:solidFill>
              <a:schemeClr val="accent1">
                <a:lumMod val="50000"/>
              </a:schemeClr>
            </a:solidFill>
            <a:round/>
          </a:ln>
          <a:effectLst/>
        </c:spPr>
        <c:marker>
          <c:symbol val="diamond"/>
          <c:size val="8"/>
          <c:spPr>
            <a:solidFill>
              <a:schemeClr val="bg1"/>
            </a:solidFill>
            <a:ln w="12700">
              <a:solidFill>
                <a:schemeClr val="accent1">
                  <a:lumMod val="50000"/>
                </a:schemeClr>
              </a:solidFill>
            </a:ln>
            <a:effectLst/>
          </c:spPr>
        </c:marker>
        <c:dLbl>
          <c:idx val="0"/>
          <c:layout>
            <c:manualLayout>
              <c:x val="-3.8704879862491007E-2"/>
              <c:y val="-0.14814814814814814"/>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44450" cap="rnd">
            <a:solidFill>
              <a:schemeClr val="accent1">
                <a:lumMod val="50000"/>
              </a:schemeClr>
            </a:solidFill>
            <a:round/>
          </a:ln>
          <a:effectLst/>
        </c:spPr>
        <c:marker>
          <c:symbol val="diamond"/>
          <c:size val="8"/>
          <c:spPr>
            <a:solidFill>
              <a:schemeClr val="bg1"/>
            </a:solidFill>
            <a:ln w="12700">
              <a:solidFill>
                <a:schemeClr val="accent1">
                  <a:lumMod val="50000"/>
                </a:schemeClr>
              </a:solidFill>
            </a:ln>
            <a:effectLst/>
          </c:spPr>
        </c:marker>
        <c:dLbl>
          <c:idx val="0"/>
          <c:layout>
            <c:manualLayout>
              <c:x val="5.3591372117295241E-2"/>
              <c:y val="-2.3148148148148157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44450" cap="rnd">
            <a:solidFill>
              <a:schemeClr val="accent1">
                <a:lumMod val="50000"/>
              </a:schemeClr>
            </a:solidFill>
            <a:round/>
          </a:ln>
          <a:effectLst/>
        </c:spPr>
        <c:marker>
          <c:symbol val="diamond"/>
          <c:size val="8"/>
          <c:spPr>
            <a:solidFill>
              <a:schemeClr val="bg1"/>
            </a:solidFill>
            <a:ln w="12700">
              <a:solidFill>
                <a:schemeClr val="accent1">
                  <a:lumMod val="50000"/>
                </a:schemeClr>
              </a:solidFill>
            </a:ln>
            <a:effectLst/>
          </c:spPr>
        </c:marker>
        <c:dLbl>
          <c:idx val="0"/>
          <c:layout>
            <c:manualLayout>
              <c:x val="-0.12767514349587822"/>
              <c:y val="5.5555555555555469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44450" cap="rnd">
            <a:solidFill>
              <a:schemeClr val="accent1">
                <a:lumMod val="50000"/>
              </a:schemeClr>
            </a:solidFill>
            <a:round/>
          </a:ln>
          <a:effectLst/>
        </c:spPr>
        <c:marker>
          <c:symbol val="diamond"/>
          <c:size val="8"/>
          <c:spPr>
            <a:solidFill>
              <a:schemeClr val="bg1"/>
            </a:solidFill>
            <a:ln w="12700">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44450" cap="rnd">
            <a:solidFill>
              <a:schemeClr val="accent1">
                <a:lumMod val="50000"/>
              </a:schemeClr>
            </a:solidFill>
            <a:round/>
          </a:ln>
          <a:effectLst/>
        </c:spPr>
        <c:marker>
          <c:symbol val="diamond"/>
          <c:size val="8"/>
          <c:spPr>
            <a:solidFill>
              <a:schemeClr val="bg1"/>
            </a:solidFill>
            <a:ln w="12700">
              <a:solidFill>
                <a:schemeClr val="accent1">
                  <a:lumMod val="50000"/>
                </a:schemeClr>
              </a:solidFill>
            </a:ln>
            <a:effectLst/>
          </c:spPr>
        </c:marker>
        <c:dLbl>
          <c:idx val="0"/>
          <c:layout>
            <c:manualLayout>
              <c:x val="5.3591372117295241E-2"/>
              <c:y val="-2.3148148148148157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44450" cap="rnd">
            <a:solidFill>
              <a:schemeClr val="accent1">
                <a:lumMod val="50000"/>
              </a:schemeClr>
            </a:solidFill>
            <a:round/>
          </a:ln>
          <a:effectLst/>
        </c:spPr>
        <c:marker>
          <c:symbol val="diamond"/>
          <c:size val="8"/>
          <c:spPr>
            <a:solidFill>
              <a:schemeClr val="bg1"/>
            </a:solidFill>
            <a:ln w="12700">
              <a:solidFill>
                <a:schemeClr val="accent1">
                  <a:lumMod val="50000"/>
                </a:schemeClr>
              </a:solidFill>
            </a:ln>
            <a:effectLst/>
          </c:spPr>
        </c:marker>
        <c:dLbl>
          <c:idx val="0"/>
          <c:layout>
            <c:manualLayout>
              <c:x val="-3.8704879862491007E-2"/>
              <c:y val="-0.14814814814814814"/>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44450" cap="rnd">
            <a:solidFill>
              <a:schemeClr val="accent1">
                <a:lumMod val="50000"/>
              </a:schemeClr>
            </a:solidFill>
            <a:round/>
          </a:ln>
          <a:effectLst/>
        </c:spPr>
        <c:marker>
          <c:symbol val="diamond"/>
          <c:size val="8"/>
          <c:spPr>
            <a:solidFill>
              <a:schemeClr val="bg1"/>
            </a:solidFill>
            <a:ln w="12700">
              <a:solidFill>
                <a:schemeClr val="accent1">
                  <a:lumMod val="50000"/>
                </a:schemeClr>
              </a:solidFill>
            </a:ln>
            <a:effectLst/>
          </c:spPr>
        </c:marker>
        <c:dLbl>
          <c:idx val="0"/>
          <c:layout>
            <c:manualLayout>
              <c:x val="-0.12767514349587822"/>
              <c:y val="5.5555555555555469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44450" cap="rnd">
            <a:solidFill>
              <a:schemeClr val="accent1">
                <a:lumMod val="50000"/>
              </a:schemeClr>
            </a:solidFill>
            <a:round/>
          </a:ln>
          <a:effectLst/>
        </c:spPr>
        <c:marker>
          <c:symbol val="diamond"/>
          <c:size val="8"/>
          <c:spPr>
            <a:solidFill>
              <a:schemeClr val="bg1"/>
            </a:solidFill>
            <a:ln w="12700">
              <a:solidFill>
                <a:schemeClr val="accent1">
                  <a:lumMod val="50000"/>
                </a:schemeClr>
              </a:solidFill>
            </a:ln>
            <a:effectLst/>
          </c:spPr>
        </c:marker>
        <c:dLbl>
          <c:idx val="0"/>
          <c:layout>
            <c:manualLayout>
              <c:x val="1.4886492254804235E-3"/>
              <c:y val="-0.125"/>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5"/>
        <c:spPr>
          <a:ln w="44450" cap="rnd">
            <a:solidFill>
              <a:schemeClr val="accent1">
                <a:lumMod val="50000"/>
              </a:schemeClr>
            </a:solidFill>
            <a:round/>
          </a:ln>
          <a:effectLst/>
        </c:spPr>
        <c:marker>
          <c:symbol val="diamond"/>
          <c:size val="8"/>
          <c:spPr>
            <a:solidFill>
              <a:schemeClr val="bg1"/>
            </a:solidFill>
            <a:ln w="12700">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6"/>
        <c:spPr>
          <a:ln w="44450" cap="rnd">
            <a:solidFill>
              <a:schemeClr val="accent1">
                <a:lumMod val="50000"/>
              </a:schemeClr>
            </a:solidFill>
            <a:round/>
          </a:ln>
          <a:effectLst/>
        </c:spPr>
        <c:marker>
          <c:symbol val="diamond"/>
          <c:size val="8"/>
          <c:spPr>
            <a:solidFill>
              <a:schemeClr val="bg1"/>
            </a:solidFill>
            <a:ln w="12700">
              <a:solidFill>
                <a:schemeClr val="accent1">
                  <a:lumMod val="50000"/>
                </a:schemeClr>
              </a:solidFill>
            </a:ln>
            <a:effectLst/>
          </c:spPr>
        </c:marker>
        <c:dLbl>
          <c:idx val="0"/>
          <c:layout>
            <c:manualLayout>
              <c:x val="0.17078613157226313"/>
              <c:y val="-6.4438506477012977E-2"/>
            </c:manualLayout>
          </c:layout>
          <c:spPr>
            <a:noFill/>
            <a:ln>
              <a:noFill/>
            </a:ln>
            <a:effectLst/>
          </c:spPr>
          <c:txPr>
            <a:bodyPr rot="0" spcFirstLastPara="1" vertOverflow="ellipsis"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7"/>
        <c:spPr>
          <a:ln w="44450" cap="rnd">
            <a:solidFill>
              <a:schemeClr val="accent1">
                <a:lumMod val="50000"/>
              </a:schemeClr>
            </a:solidFill>
            <a:round/>
          </a:ln>
          <a:effectLst/>
        </c:spPr>
        <c:marker>
          <c:symbol val="diamond"/>
          <c:size val="8"/>
          <c:spPr>
            <a:solidFill>
              <a:schemeClr val="bg1"/>
            </a:solidFill>
            <a:ln w="12700">
              <a:solidFill>
                <a:schemeClr val="accent1">
                  <a:lumMod val="50000"/>
                </a:schemeClr>
              </a:solidFill>
            </a:ln>
            <a:effectLst/>
          </c:spPr>
        </c:marker>
        <c:dLbl>
          <c:idx val="0"/>
          <c:layout>
            <c:manualLayout>
              <c:x val="-0.13033487113670261"/>
              <c:y val="-0.21524490728981457"/>
            </c:manualLayout>
          </c:layout>
          <c:spPr>
            <a:noFill/>
            <a:ln>
              <a:noFill/>
            </a:ln>
            <a:effectLst/>
          </c:spPr>
          <c:txPr>
            <a:bodyPr rot="0" spcFirstLastPara="1" vertOverflow="ellipsis"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8"/>
        <c:spPr>
          <a:ln w="44450" cap="rnd">
            <a:solidFill>
              <a:schemeClr val="accent1">
                <a:lumMod val="50000"/>
              </a:schemeClr>
            </a:solidFill>
            <a:round/>
          </a:ln>
          <a:effectLst/>
        </c:spPr>
        <c:marker>
          <c:symbol val="diamond"/>
          <c:size val="8"/>
          <c:spPr>
            <a:solidFill>
              <a:schemeClr val="bg1"/>
            </a:solidFill>
            <a:ln w="12700">
              <a:solidFill>
                <a:schemeClr val="accent1">
                  <a:lumMod val="50000"/>
                </a:schemeClr>
              </a:solidFill>
            </a:ln>
            <a:effectLst/>
          </c:spPr>
        </c:marker>
        <c:dLbl>
          <c:idx val="0"/>
          <c:layout>
            <c:manualLayout>
              <c:x val="-0.24397460890075964"/>
              <c:y val="0.11232959105918212"/>
            </c:manualLayout>
          </c:layout>
          <c:spPr>
            <a:noFill/>
            <a:ln>
              <a:noFill/>
            </a:ln>
            <a:effectLst/>
          </c:spPr>
          <c:txPr>
            <a:bodyPr rot="0" spcFirstLastPara="1" vertOverflow="ellipsis"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9"/>
        <c:spPr>
          <a:ln w="44450" cap="rnd">
            <a:solidFill>
              <a:schemeClr val="accent1">
                <a:lumMod val="50000"/>
              </a:schemeClr>
            </a:solidFill>
            <a:round/>
          </a:ln>
          <a:effectLst/>
        </c:spPr>
        <c:marker>
          <c:symbol val="diamond"/>
          <c:size val="8"/>
          <c:spPr>
            <a:solidFill>
              <a:schemeClr val="bg1"/>
            </a:solidFill>
            <a:ln w="12700">
              <a:solidFill>
                <a:schemeClr val="accent1">
                  <a:lumMod val="50000"/>
                </a:schemeClr>
              </a:solidFill>
            </a:ln>
            <a:effectLst/>
          </c:spPr>
        </c:marker>
        <c:dLbl>
          <c:idx val="0"/>
          <c:layout>
            <c:manualLayout>
              <c:x val="6.2537465074930146E-2"/>
              <c:y val="-0.15080640081280158"/>
            </c:manualLayout>
          </c:layout>
          <c:spPr>
            <a:noFill/>
            <a:ln>
              <a:noFill/>
            </a:ln>
            <a:effectLst/>
          </c:spPr>
          <c:txPr>
            <a:bodyPr rot="0" spcFirstLastPara="1" vertOverflow="ellipsis"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234227050732582"/>
          <c:y val="0.14314371348742697"/>
          <c:w val="0.50583740323598791"/>
          <c:h val="0.79624607569215133"/>
        </c:manualLayout>
      </c:layout>
      <c:radarChart>
        <c:radarStyle val="marker"/>
        <c:varyColors val="0"/>
        <c:ser>
          <c:idx val="0"/>
          <c:order val="0"/>
          <c:tx>
            <c:strRef>
              <c:f>'Position analysis'!$B$3</c:f>
              <c:strCache>
                <c:ptCount val="1"/>
                <c:pt idx="0">
                  <c:v>Total</c:v>
                </c:pt>
              </c:strCache>
            </c:strRef>
          </c:tx>
          <c:spPr>
            <a:ln w="44450" cap="rnd">
              <a:solidFill>
                <a:schemeClr val="accent1">
                  <a:lumMod val="50000"/>
                </a:schemeClr>
              </a:solidFill>
              <a:round/>
            </a:ln>
            <a:effectLst/>
          </c:spPr>
          <c:marker>
            <c:symbol val="diamond"/>
            <c:size val="8"/>
            <c:spPr>
              <a:solidFill>
                <a:schemeClr val="bg1"/>
              </a:solidFill>
              <a:ln w="12700">
                <a:solidFill>
                  <a:schemeClr val="accent1">
                    <a:lumMod val="50000"/>
                  </a:schemeClr>
                </a:solidFill>
              </a:ln>
              <a:effectLst/>
            </c:spPr>
          </c:marker>
          <c:dPt>
            <c:idx val="0"/>
            <c:marker>
              <c:symbol val="diamond"/>
              <c:size val="8"/>
              <c:spPr>
                <a:solidFill>
                  <a:schemeClr val="bg1"/>
                </a:solidFill>
                <a:ln w="12700">
                  <a:solidFill>
                    <a:schemeClr val="accent1">
                      <a:lumMod val="50000"/>
                    </a:schemeClr>
                  </a:solidFill>
                </a:ln>
                <a:effectLst/>
              </c:spPr>
            </c:marker>
            <c:bubble3D val="0"/>
            <c:spPr>
              <a:ln w="44450" cap="rnd">
                <a:solidFill>
                  <a:schemeClr val="accent1">
                    <a:lumMod val="50000"/>
                  </a:schemeClr>
                </a:solidFill>
                <a:round/>
              </a:ln>
              <a:effectLst/>
            </c:spPr>
            <c:extLst>
              <c:ext xmlns:c16="http://schemas.microsoft.com/office/drawing/2014/chart" uri="{C3380CC4-5D6E-409C-BE32-E72D297353CC}">
                <c16:uniqueId val="{00000000-A66B-481A-BA0A-FEDBED903BCE}"/>
              </c:ext>
            </c:extLst>
          </c:dPt>
          <c:dPt>
            <c:idx val="1"/>
            <c:marker>
              <c:symbol val="diamond"/>
              <c:size val="8"/>
              <c:spPr>
                <a:solidFill>
                  <a:schemeClr val="bg1"/>
                </a:solidFill>
                <a:ln w="12700">
                  <a:solidFill>
                    <a:schemeClr val="accent1">
                      <a:lumMod val="50000"/>
                    </a:schemeClr>
                  </a:solidFill>
                </a:ln>
                <a:effectLst/>
              </c:spPr>
            </c:marker>
            <c:bubble3D val="0"/>
            <c:spPr>
              <a:ln w="44450" cap="rnd">
                <a:solidFill>
                  <a:schemeClr val="accent1">
                    <a:lumMod val="50000"/>
                  </a:schemeClr>
                </a:solidFill>
                <a:round/>
              </a:ln>
              <a:effectLst/>
            </c:spPr>
            <c:extLst>
              <c:ext xmlns:c16="http://schemas.microsoft.com/office/drawing/2014/chart" uri="{C3380CC4-5D6E-409C-BE32-E72D297353CC}">
                <c16:uniqueId val="{00000001-A66B-481A-BA0A-FEDBED903BCE}"/>
              </c:ext>
            </c:extLst>
          </c:dPt>
          <c:dPt>
            <c:idx val="2"/>
            <c:marker>
              <c:symbol val="diamond"/>
              <c:size val="8"/>
              <c:spPr>
                <a:solidFill>
                  <a:schemeClr val="bg1"/>
                </a:solidFill>
                <a:ln w="12700">
                  <a:solidFill>
                    <a:schemeClr val="accent1">
                      <a:lumMod val="50000"/>
                    </a:schemeClr>
                  </a:solidFill>
                </a:ln>
                <a:effectLst/>
              </c:spPr>
            </c:marker>
            <c:bubble3D val="0"/>
            <c:spPr>
              <a:ln w="44450" cap="rnd">
                <a:solidFill>
                  <a:schemeClr val="accent1">
                    <a:lumMod val="50000"/>
                  </a:schemeClr>
                </a:solidFill>
                <a:round/>
              </a:ln>
              <a:effectLst/>
            </c:spPr>
            <c:extLst>
              <c:ext xmlns:c16="http://schemas.microsoft.com/office/drawing/2014/chart" uri="{C3380CC4-5D6E-409C-BE32-E72D297353CC}">
                <c16:uniqueId val="{00000002-A66B-481A-BA0A-FEDBED903BCE}"/>
              </c:ext>
            </c:extLst>
          </c:dPt>
          <c:dPt>
            <c:idx val="3"/>
            <c:marker>
              <c:symbol val="diamond"/>
              <c:size val="8"/>
              <c:spPr>
                <a:solidFill>
                  <a:schemeClr val="bg1"/>
                </a:solidFill>
                <a:ln w="12700">
                  <a:solidFill>
                    <a:schemeClr val="accent1">
                      <a:lumMod val="50000"/>
                    </a:schemeClr>
                  </a:solidFill>
                </a:ln>
                <a:effectLst/>
              </c:spPr>
            </c:marker>
            <c:bubble3D val="0"/>
            <c:spPr>
              <a:ln w="44450" cap="rnd">
                <a:solidFill>
                  <a:schemeClr val="accent1">
                    <a:lumMod val="50000"/>
                  </a:schemeClr>
                </a:solidFill>
                <a:round/>
              </a:ln>
              <a:effectLst/>
            </c:spPr>
            <c:extLst>
              <c:ext xmlns:c16="http://schemas.microsoft.com/office/drawing/2014/chart" uri="{C3380CC4-5D6E-409C-BE32-E72D297353CC}">
                <c16:uniqueId val="{00000003-A66B-481A-BA0A-FEDBED903BCE}"/>
              </c:ext>
            </c:extLst>
          </c:dPt>
          <c:dLbls>
            <c:dLbl>
              <c:idx val="0"/>
              <c:layout>
                <c:manualLayout>
                  <c:x val="0.17078613157226313"/>
                  <c:y val="-6.44385064770129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6B-481A-BA0A-FEDBED903BCE}"/>
                </c:ext>
              </c:extLst>
            </c:dLbl>
            <c:dLbl>
              <c:idx val="1"/>
              <c:layout>
                <c:manualLayout>
                  <c:x val="-0.13033487113670261"/>
                  <c:y val="-0.215244907289814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6B-481A-BA0A-FEDBED903BCE}"/>
                </c:ext>
              </c:extLst>
            </c:dLbl>
            <c:dLbl>
              <c:idx val="2"/>
              <c:layout>
                <c:manualLayout>
                  <c:x val="-0.24397460890075964"/>
                  <c:y val="0.112329591059182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66B-481A-BA0A-FEDBED903BCE}"/>
                </c:ext>
              </c:extLst>
            </c:dLbl>
            <c:dLbl>
              <c:idx val="3"/>
              <c:layout>
                <c:manualLayout>
                  <c:x val="6.2537465074930146E-2"/>
                  <c:y val="-0.150806400812801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6B-481A-BA0A-FEDBED903BCE}"/>
                </c:ext>
              </c:extLst>
            </c:dLbl>
            <c:spPr>
              <a:noFill/>
              <a:ln>
                <a:noFill/>
              </a:ln>
              <a:effectLst/>
            </c:spPr>
            <c:txPr>
              <a:bodyPr rot="0" spcFirstLastPara="1" vertOverflow="ellipsis"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accent1">
                          <a:lumMod val="50000"/>
                        </a:schemeClr>
                      </a:solidFill>
                      <a:round/>
                    </a:ln>
                    <a:effectLst/>
                  </c:spPr>
                </c15:leaderLines>
              </c:ext>
            </c:extLst>
          </c:dLbls>
          <c:cat>
            <c:strRef>
              <c:f>'Position analysis'!$A$4:$A$8</c:f>
              <c:strCache>
                <c:ptCount val="4"/>
                <c:pt idx="0">
                  <c:v>Defender</c:v>
                </c:pt>
                <c:pt idx="1">
                  <c:v>Forward</c:v>
                </c:pt>
                <c:pt idx="2">
                  <c:v>Goalkeeper</c:v>
                </c:pt>
                <c:pt idx="3">
                  <c:v>Midfielder</c:v>
                </c:pt>
              </c:strCache>
            </c:strRef>
          </c:cat>
          <c:val>
            <c:numRef>
              <c:f>'Position analysis'!$B$4:$B$8</c:f>
              <c:numCache>
                <c:formatCode>General</c:formatCode>
                <c:ptCount val="4"/>
                <c:pt idx="0">
                  <c:v>204</c:v>
                </c:pt>
                <c:pt idx="1">
                  <c:v>197</c:v>
                </c:pt>
                <c:pt idx="2">
                  <c:v>186</c:v>
                </c:pt>
                <c:pt idx="3">
                  <c:v>213</c:v>
                </c:pt>
              </c:numCache>
            </c:numRef>
          </c:val>
          <c:extLst>
            <c:ext xmlns:c16="http://schemas.microsoft.com/office/drawing/2014/chart" uri="{C3380CC4-5D6E-409C-BE32-E72D297353CC}">
              <c16:uniqueId val="{00000004-A66B-481A-BA0A-FEDBED903BCE}"/>
            </c:ext>
          </c:extLst>
        </c:ser>
        <c:dLbls>
          <c:showLegendKey val="0"/>
          <c:showVal val="1"/>
          <c:showCatName val="0"/>
          <c:showSerName val="0"/>
          <c:showPercent val="0"/>
          <c:showBubbleSize val="0"/>
        </c:dLbls>
        <c:axId val="211863936"/>
        <c:axId val="211883616"/>
      </c:radarChart>
      <c:catAx>
        <c:axId val="21186393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crossAx val="211883616"/>
        <c:crosses val="autoZero"/>
        <c:auto val="1"/>
        <c:lblAlgn val="ctr"/>
        <c:lblOffset val="100"/>
        <c:noMultiLvlLbl val="0"/>
      </c:catAx>
      <c:valAx>
        <c:axId val="211883616"/>
        <c:scaling>
          <c:orientation val="minMax"/>
        </c:scaling>
        <c:delete val="1"/>
        <c:axPos val="l"/>
        <c:majorGridlines>
          <c:spPr>
            <a:ln w="15875" cap="flat" cmpd="sng" algn="ctr">
              <a:solidFill>
                <a:schemeClr val="accent1">
                  <a:lumMod val="20000"/>
                  <a:lumOff val="80000"/>
                </a:schemeClr>
              </a:solidFill>
              <a:round/>
            </a:ln>
            <a:effectLst/>
          </c:spPr>
        </c:majorGridlines>
        <c:numFmt formatCode="General" sourceLinked="1"/>
        <c:majorTickMark val="none"/>
        <c:minorTickMark val="none"/>
        <c:tickLblPos val="nextTo"/>
        <c:crossAx val="21186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dataset.xlsx]Stress level analysis!PivotTable1</c:name>
    <c:fmtId val="10"/>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noFill/>
          </a:ln>
          <a:effectLst/>
        </c:spPr>
        <c:dLbl>
          <c:idx val="0"/>
          <c:layout>
            <c:manualLayout>
              <c:x val="-1.6544272124127504E-16"/>
              <c:y val="-0.231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noFill/>
          </a:ln>
          <a:effectLst/>
        </c:spPr>
        <c:dLbl>
          <c:idx val="0"/>
          <c:layout>
            <c:manualLayout>
              <c:x val="-4.5121263395375075E-3"/>
              <c:y val="-0.402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noFill/>
          </a:ln>
          <a:effectLst/>
        </c:spPr>
        <c:dLbl>
          <c:idx val="0"/>
          <c:layout>
            <c:manualLayout>
              <c:x val="0"/>
              <c:y val="-0.3703703703703703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noFill/>
          </a:ln>
          <a:effectLst/>
        </c:spPr>
        <c:dLbl>
          <c:idx val="0"/>
          <c:layout>
            <c:manualLayout>
              <c:x val="0"/>
              <c:y val="-0.4120370370370370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noFill/>
          </a:ln>
          <a:effectLst/>
        </c:spPr>
        <c:dLbl>
          <c:idx val="0"/>
          <c:layout>
            <c:manualLayout>
              <c:x val="-6.768189509306302E-3"/>
              <c:y val="-0.3425925925925926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noFill/>
          </a:ln>
          <a:effectLst/>
        </c:spPr>
        <c:dLbl>
          <c:idx val="0"/>
          <c:layout>
            <c:manualLayout>
              <c:x val="-1.1280315848843767E-2"/>
              <c:y val="-0.3055555555555555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noFill/>
          </a:ln>
          <a:effectLst/>
        </c:spPr>
        <c:dLbl>
          <c:idx val="0"/>
          <c:layout>
            <c:manualLayout>
              <c:x val="2.2560631697687537E-3"/>
              <c:y val="-0.277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dLbl>
          <c:idx val="0"/>
          <c:layout>
            <c:manualLayout>
              <c:x val="2.2560631697687537E-3"/>
              <c:y val="-0.277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dLbl>
          <c:idx val="0"/>
          <c:layout>
            <c:manualLayout>
              <c:x val="-1.1280315848843767E-2"/>
              <c:y val="-0.3055555555555555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dLbl>
          <c:idx val="0"/>
          <c:layout>
            <c:manualLayout>
              <c:x val="-6.768189509306302E-3"/>
              <c:y val="-0.3425925925925926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dLbl>
          <c:idx val="0"/>
          <c:layout>
            <c:manualLayout>
              <c:x val="0"/>
              <c:y val="-0.4120370370370370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dLbl>
          <c:idx val="0"/>
          <c:layout>
            <c:manualLayout>
              <c:x val="0"/>
              <c:y val="-0.3703703703703703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dLbl>
          <c:idx val="0"/>
          <c:layout>
            <c:manualLayout>
              <c:x val="-4.5121263395375075E-3"/>
              <c:y val="-0.402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dLbl>
          <c:idx val="0"/>
          <c:layout>
            <c:manualLayout>
              <c:x val="-1.6544272124127504E-16"/>
              <c:y val="-0.231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lumMod val="40000"/>
              <a:lumOff val="60000"/>
            </a:schemeClr>
          </a:solidFill>
          <a:ln w="25400">
            <a:solidFill>
              <a:schemeClr val="accent1">
                <a:lumMod val="50000"/>
              </a:schemeClr>
            </a:solid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25400">
            <a:noFill/>
          </a:ln>
          <a:effectLst/>
        </c:spPr>
        <c:dLbl>
          <c:idx val="0"/>
          <c:layout>
            <c:manualLayout>
              <c:x val="4.9633389734912568E-2"/>
              <c:y val="-0.4814814814814815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25400">
            <a:noFill/>
          </a:ln>
          <a:effectLst/>
        </c:spPr>
        <c:dLbl>
          <c:idx val="0"/>
          <c:layout>
            <c:manualLayout>
              <c:x val="4.5121263395375075E-3"/>
              <c:y val="-0.4120370370370371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25400">
            <a:noFill/>
          </a:ln>
          <a:effectLst/>
        </c:spPr>
        <c:dLbl>
          <c:idx val="0"/>
          <c:layout>
            <c:manualLayout>
              <c:x val="1.3536379018612521E-2"/>
              <c:y val="-0.3009259259259259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25400">
            <a:noFill/>
          </a:ln>
          <a:effectLst/>
        </c:spPr>
        <c:dLbl>
          <c:idx val="0"/>
          <c:layout>
            <c:manualLayout>
              <c:x val="-8.2721360620637518E-17"/>
              <c:y val="-0.268518518518518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25400">
            <a:noFill/>
          </a:ln>
          <a:effectLst/>
        </c:spPr>
        <c:dLbl>
          <c:idx val="0"/>
          <c:layout>
            <c:manualLayout>
              <c:x val="2.2560631697687537E-3"/>
              <c:y val="-0.2916666666666666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lumMod val="40000"/>
              <a:lumOff val="60000"/>
            </a:schemeClr>
          </a:solidFill>
          <a:ln w="25400">
            <a:solidFill>
              <a:schemeClr val="accent1">
                <a:lumMod val="50000"/>
              </a:schemeClr>
            </a:solidFill>
          </a:ln>
          <a:effectLst/>
        </c:spPr>
        <c:dLbl>
          <c:idx val="0"/>
          <c:layout>
            <c:manualLayout>
              <c:x val="6.7681895093062603E-3"/>
              <c:y val="-0.43518518518518529"/>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lumMod val="40000"/>
              <a:lumOff val="60000"/>
            </a:schemeClr>
          </a:solidFill>
          <a:ln w="25400">
            <a:solidFill>
              <a:schemeClr val="accent1">
                <a:lumMod val="50000"/>
              </a:schemeClr>
            </a:solidFill>
          </a:ln>
          <a:effectLst/>
        </c:spPr>
        <c:dLbl>
          <c:idx val="0"/>
          <c:layout>
            <c:manualLayout>
              <c:x val="-6.7681895093062603E-3"/>
              <c:y val="-0.37962962962962971"/>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lumMod val="40000"/>
              <a:lumOff val="60000"/>
            </a:schemeClr>
          </a:solidFill>
          <a:ln w="25400">
            <a:solidFill>
              <a:schemeClr val="accent1">
                <a:lumMod val="50000"/>
              </a:schemeClr>
            </a:solidFill>
          </a:ln>
          <a:effectLst/>
        </c:spPr>
        <c:dLbl>
          <c:idx val="0"/>
          <c:layout>
            <c:manualLayout>
              <c:x val="-2.2560631697687537E-3"/>
              <c:y val="-0.34722222222222227"/>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lumMod val="40000"/>
              <a:lumOff val="60000"/>
            </a:schemeClr>
          </a:solidFill>
          <a:ln w="25400">
            <a:solidFill>
              <a:schemeClr val="accent1">
                <a:lumMod val="50000"/>
              </a:schemeClr>
            </a:solidFill>
          </a:ln>
          <a:effectLst/>
        </c:spPr>
        <c:dLbl>
          <c:idx val="0"/>
          <c:layout>
            <c:manualLayout>
              <c:x val="-9.0242526790750965E-3"/>
              <c:y val="-0.30555555555555564"/>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lumMod val="40000"/>
              <a:lumOff val="60000"/>
            </a:schemeClr>
          </a:solidFill>
          <a:ln w="25400">
            <a:solidFill>
              <a:schemeClr val="accent1">
                <a:lumMod val="50000"/>
              </a:schemeClr>
            </a:solidFill>
          </a:ln>
          <a:effectLst/>
        </c:spPr>
        <c:dLbl>
          <c:idx val="0"/>
          <c:layout>
            <c:manualLayout>
              <c:x val="-1.1280315848843767E-2"/>
              <c:y val="-0.30555555555555564"/>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lumMod val="40000"/>
              <a:lumOff val="60000"/>
            </a:schemeClr>
          </a:solidFill>
          <a:ln w="25400">
            <a:solidFill>
              <a:schemeClr val="accent1">
                <a:lumMod val="50000"/>
              </a:schemeClr>
            </a:solid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1">
              <a:lumMod val="40000"/>
              <a:lumOff val="60000"/>
            </a:schemeClr>
          </a:solidFill>
          <a:ln w="25400">
            <a:solidFill>
              <a:schemeClr val="accent1">
                <a:lumMod val="50000"/>
              </a:schemeClr>
            </a:solidFill>
          </a:ln>
          <a:effectLst/>
        </c:spPr>
        <c:dLbl>
          <c:idx val="0"/>
          <c:layout>
            <c:manualLayout>
              <c:x val="6.7681895093062603E-3"/>
              <c:y val="-0.43518518518518529"/>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1">
              <a:lumMod val="40000"/>
              <a:lumOff val="60000"/>
            </a:schemeClr>
          </a:solidFill>
          <a:ln w="25400">
            <a:solidFill>
              <a:schemeClr val="accent1">
                <a:lumMod val="50000"/>
              </a:schemeClr>
            </a:solidFill>
          </a:ln>
          <a:effectLst/>
        </c:spPr>
        <c:dLbl>
          <c:idx val="0"/>
          <c:layout>
            <c:manualLayout>
              <c:x val="-6.7681895093062603E-3"/>
              <c:y val="-0.37962962962962971"/>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1">
              <a:lumMod val="40000"/>
              <a:lumOff val="60000"/>
            </a:schemeClr>
          </a:solidFill>
          <a:ln w="25400">
            <a:solidFill>
              <a:schemeClr val="accent1">
                <a:lumMod val="50000"/>
              </a:schemeClr>
            </a:solidFill>
          </a:ln>
          <a:effectLst/>
        </c:spPr>
        <c:dLbl>
          <c:idx val="0"/>
          <c:layout>
            <c:manualLayout>
              <c:x val="-2.2560631697687537E-3"/>
              <c:y val="-0.34722222222222227"/>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1">
              <a:lumMod val="40000"/>
              <a:lumOff val="60000"/>
            </a:schemeClr>
          </a:solidFill>
          <a:ln w="25400">
            <a:solidFill>
              <a:schemeClr val="accent1">
                <a:lumMod val="50000"/>
              </a:schemeClr>
            </a:solidFill>
          </a:ln>
          <a:effectLst/>
        </c:spPr>
        <c:dLbl>
          <c:idx val="0"/>
          <c:layout>
            <c:manualLayout>
              <c:x val="-9.0242526790750965E-3"/>
              <c:y val="-0.30555555555555564"/>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1">
              <a:lumMod val="40000"/>
              <a:lumOff val="60000"/>
            </a:schemeClr>
          </a:solidFill>
          <a:ln w="25400">
            <a:solidFill>
              <a:schemeClr val="accent1">
                <a:lumMod val="50000"/>
              </a:schemeClr>
            </a:solidFill>
          </a:ln>
          <a:effectLst/>
        </c:spPr>
        <c:dLbl>
          <c:idx val="0"/>
          <c:layout>
            <c:manualLayout>
              <c:x val="-1.1280315848843767E-2"/>
              <c:y val="-0.30555555555555564"/>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1">
              <a:lumMod val="50000"/>
            </a:schemeClr>
          </a:solidFill>
          <a:ln w="25400">
            <a:no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accent1">
              <a:lumMod val="50000"/>
            </a:schemeClr>
          </a:solidFill>
          <a:ln w="25400">
            <a:noFill/>
          </a:ln>
          <a:effectLst/>
        </c:spPr>
        <c:dLbl>
          <c:idx val="0"/>
          <c:layout>
            <c:manualLayout>
              <c:x val="3.4087219351229631E-2"/>
              <c:y val="-0.40089943757030372"/>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1">
              <a:lumMod val="50000"/>
            </a:schemeClr>
          </a:solidFill>
          <a:ln w="25400">
            <a:noFill/>
          </a:ln>
          <a:effectLst/>
        </c:spPr>
        <c:dLbl>
          <c:idx val="0"/>
          <c:layout>
            <c:manualLayout>
              <c:x val="-6.7681895093062603E-3"/>
              <c:y val="-0.37962962962962971"/>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solidFill>
            <a:schemeClr val="accent1">
              <a:lumMod val="50000"/>
            </a:schemeClr>
          </a:solidFill>
          <a:ln w="25400">
            <a:noFill/>
          </a:ln>
          <a:effectLst/>
        </c:spPr>
        <c:dLbl>
          <c:idx val="0"/>
          <c:layout>
            <c:manualLayout>
              <c:x val="-2.2560631697687537E-3"/>
              <c:y val="-0.34722222222222227"/>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solidFill>
            <a:schemeClr val="accent1">
              <a:lumMod val="50000"/>
            </a:schemeClr>
          </a:solidFill>
          <a:ln w="25400">
            <a:noFill/>
          </a:ln>
          <a:effectLst/>
        </c:spPr>
        <c:dLbl>
          <c:idx val="0"/>
          <c:layout>
            <c:manualLayout>
              <c:x val="-9.0242526790750965E-3"/>
              <c:y val="-0.30555555555555564"/>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accent1">
              <a:lumMod val="50000"/>
            </a:schemeClr>
          </a:solidFill>
          <a:ln w="25400">
            <a:noFill/>
          </a:ln>
          <a:effectLst/>
        </c:spPr>
        <c:dLbl>
          <c:idx val="0"/>
          <c:layout>
            <c:manualLayout>
              <c:x val="-1.1280315848843767E-2"/>
              <c:y val="-0.30555555555555564"/>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3.6469998541848944E-2"/>
          <c:y val="0.28714105736782902"/>
          <c:w val="0.92959499634522702"/>
          <c:h val="0.55448773903262094"/>
        </c:manualLayout>
      </c:layout>
      <c:areaChart>
        <c:grouping val="standard"/>
        <c:varyColors val="0"/>
        <c:ser>
          <c:idx val="0"/>
          <c:order val="0"/>
          <c:tx>
            <c:strRef>
              <c:f>'Stress level analysis'!$B$3</c:f>
              <c:strCache>
                <c:ptCount val="1"/>
                <c:pt idx="0">
                  <c:v>Total</c:v>
                </c:pt>
              </c:strCache>
            </c:strRef>
          </c:tx>
          <c:spPr>
            <a:solidFill>
              <a:schemeClr val="accent1">
                <a:lumMod val="50000"/>
              </a:schemeClr>
            </a:solidFill>
            <a:ln w="25400">
              <a:noFill/>
            </a:ln>
            <a:effectLst/>
          </c:spPr>
          <c:dPt>
            <c:idx val="0"/>
            <c:bubble3D val="0"/>
            <c:extLst>
              <c:ext xmlns:c16="http://schemas.microsoft.com/office/drawing/2014/chart" uri="{C3380CC4-5D6E-409C-BE32-E72D297353CC}">
                <c16:uniqueId val="{00000000-E45F-45B3-AB41-4A23ED30E6DF}"/>
              </c:ext>
            </c:extLst>
          </c:dPt>
          <c:dPt>
            <c:idx val="1"/>
            <c:bubble3D val="0"/>
            <c:extLst>
              <c:ext xmlns:c16="http://schemas.microsoft.com/office/drawing/2014/chart" uri="{C3380CC4-5D6E-409C-BE32-E72D297353CC}">
                <c16:uniqueId val="{00000001-E45F-45B3-AB41-4A23ED30E6DF}"/>
              </c:ext>
            </c:extLst>
          </c:dPt>
          <c:dPt>
            <c:idx val="2"/>
            <c:bubble3D val="0"/>
            <c:extLst>
              <c:ext xmlns:c16="http://schemas.microsoft.com/office/drawing/2014/chart" uri="{C3380CC4-5D6E-409C-BE32-E72D297353CC}">
                <c16:uniqueId val="{00000002-E45F-45B3-AB41-4A23ED30E6DF}"/>
              </c:ext>
            </c:extLst>
          </c:dPt>
          <c:dPt>
            <c:idx val="3"/>
            <c:bubble3D val="0"/>
            <c:extLst>
              <c:ext xmlns:c16="http://schemas.microsoft.com/office/drawing/2014/chart" uri="{C3380CC4-5D6E-409C-BE32-E72D297353CC}">
                <c16:uniqueId val="{00000003-E45F-45B3-AB41-4A23ED30E6DF}"/>
              </c:ext>
            </c:extLst>
          </c:dPt>
          <c:dPt>
            <c:idx val="4"/>
            <c:bubble3D val="0"/>
            <c:extLst>
              <c:ext xmlns:c16="http://schemas.microsoft.com/office/drawing/2014/chart" uri="{C3380CC4-5D6E-409C-BE32-E72D297353CC}">
                <c16:uniqueId val="{00000004-E45F-45B3-AB41-4A23ED30E6DF}"/>
              </c:ext>
            </c:extLst>
          </c:dPt>
          <c:dLbls>
            <c:dLbl>
              <c:idx val="0"/>
              <c:layout>
                <c:manualLayout>
                  <c:x val="3.4087219351229631E-2"/>
                  <c:y val="-0.400899437570303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45F-45B3-AB41-4A23ED30E6DF}"/>
                </c:ext>
              </c:extLst>
            </c:dLbl>
            <c:dLbl>
              <c:idx val="1"/>
              <c:layout>
                <c:manualLayout>
                  <c:x val="-6.7681895093062603E-3"/>
                  <c:y val="-0.379629629629629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5F-45B3-AB41-4A23ED30E6DF}"/>
                </c:ext>
              </c:extLst>
            </c:dLbl>
            <c:dLbl>
              <c:idx val="2"/>
              <c:layout>
                <c:manualLayout>
                  <c:x val="-2.2560631697687537E-3"/>
                  <c:y val="-0.347222222222222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45F-45B3-AB41-4A23ED30E6DF}"/>
                </c:ext>
              </c:extLst>
            </c:dLbl>
            <c:dLbl>
              <c:idx val="3"/>
              <c:layout>
                <c:manualLayout>
                  <c:x val="-9.0242526790750965E-3"/>
                  <c:y val="-0.305555555555555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45F-45B3-AB41-4A23ED30E6DF}"/>
                </c:ext>
              </c:extLst>
            </c:dLbl>
            <c:dLbl>
              <c:idx val="4"/>
              <c:layout>
                <c:manualLayout>
                  <c:x val="-1.1280315848843767E-2"/>
                  <c:y val="-0.305555555555555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45F-45B3-AB41-4A23ED30E6DF}"/>
                </c:ext>
              </c:extLst>
            </c:dLbl>
            <c:spPr>
              <a:noFill/>
              <a:ln>
                <a:noFill/>
              </a:ln>
              <a:effectLst/>
            </c:spPr>
            <c:txPr>
              <a:bodyPr rot="0" spcFirstLastPara="1" vertOverflow="clip" horzOverflow="clip" vert="horz" wrap="square" lIns="38100" tIns="19050" rIns="38100" bIns="19050" anchor="ctr" anchorCtr="0">
                <a:spAutoFit/>
              </a:bodyPr>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'Stress level analysis'!$A$4:$A$9</c:f>
              <c:strCache>
                <c:ptCount val="5"/>
                <c:pt idx="0">
                  <c:v>5-6</c:v>
                </c:pt>
                <c:pt idx="1">
                  <c:v>6-7</c:v>
                </c:pt>
                <c:pt idx="2">
                  <c:v>7-8</c:v>
                </c:pt>
                <c:pt idx="3">
                  <c:v>8-9</c:v>
                </c:pt>
                <c:pt idx="4">
                  <c:v>9-10</c:v>
                </c:pt>
              </c:strCache>
            </c:strRef>
          </c:cat>
          <c:val>
            <c:numRef>
              <c:f>'Stress level analysis'!$B$4:$B$9</c:f>
              <c:numCache>
                <c:formatCode>0</c:formatCode>
                <c:ptCount val="5"/>
                <c:pt idx="0">
                  <c:v>60.054651998995858</c:v>
                </c:pt>
                <c:pt idx="1">
                  <c:v>57.323042332482238</c:v>
                </c:pt>
                <c:pt idx="2">
                  <c:v>53.425380083446079</c:v>
                </c:pt>
                <c:pt idx="3">
                  <c:v>50.513471864154617</c:v>
                </c:pt>
                <c:pt idx="4">
                  <c:v>51.528060962588235</c:v>
                </c:pt>
              </c:numCache>
            </c:numRef>
          </c:val>
          <c:extLst>
            <c:ext xmlns:c16="http://schemas.microsoft.com/office/drawing/2014/chart" uri="{C3380CC4-5D6E-409C-BE32-E72D297353CC}">
              <c16:uniqueId val="{00000005-E45F-45B3-AB41-4A23ED30E6DF}"/>
            </c:ext>
          </c:extLst>
        </c:ser>
        <c:dLbls>
          <c:showLegendKey val="0"/>
          <c:showVal val="0"/>
          <c:showCatName val="0"/>
          <c:showSerName val="0"/>
          <c:showPercent val="0"/>
          <c:showBubbleSize val="0"/>
        </c:dLbls>
        <c:axId val="211863936"/>
        <c:axId val="211883616"/>
      </c:areaChart>
      <c:catAx>
        <c:axId val="211863936"/>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500" b="0" i="0" u="none" strike="noStrike" kern="1200" baseline="0">
                <a:solidFill>
                  <a:schemeClr val="accent1">
                    <a:lumMod val="50000"/>
                  </a:schemeClr>
                </a:solidFill>
                <a:latin typeface="Georgia" panose="02040502050405020303" pitchFamily="18" charset="0"/>
                <a:ea typeface="+mn-ea"/>
                <a:cs typeface="+mn-cs"/>
              </a:defRPr>
            </a:pPr>
            <a:endParaRPr lang="en-NG"/>
          </a:p>
        </c:txPr>
        <c:crossAx val="211883616"/>
        <c:crosses val="autoZero"/>
        <c:auto val="1"/>
        <c:lblAlgn val="ctr"/>
        <c:lblOffset val="100"/>
        <c:noMultiLvlLbl val="0"/>
      </c:catAx>
      <c:valAx>
        <c:axId val="211883616"/>
        <c:scaling>
          <c:orientation val="minMax"/>
        </c:scaling>
        <c:delete val="1"/>
        <c:axPos val="l"/>
        <c:numFmt formatCode="0" sourceLinked="1"/>
        <c:majorTickMark val="out"/>
        <c:minorTickMark val="none"/>
        <c:tickLblPos val="nextTo"/>
        <c:crossAx val="2118639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dataset.xlsx]Coerrelation of knee&amp;hamstring&amp;!PivotTable1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baseline="0">
                <a:solidFill>
                  <a:schemeClr val="accent1">
                    <a:lumMod val="50000"/>
                  </a:schemeClr>
                </a:solidFill>
                <a:latin typeface="Georgia" panose="02040502050405020303" pitchFamily="18" charset="0"/>
              </a:rPr>
              <a:t>Average Knee And Hamstring Scores By Age </a:t>
            </a:r>
            <a:endParaRPr lang="en-NG" sz="1400" b="1">
              <a:solidFill>
                <a:schemeClr val="accent1">
                  <a:lumMod val="50000"/>
                </a:schemeClr>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41275" cap="rnd">
            <a:solidFill>
              <a:schemeClr val="accent1">
                <a:lumMod val="60000"/>
                <a:lumOff val="40000"/>
              </a:schemeClr>
            </a:solidFill>
            <a:round/>
          </a:ln>
          <a:effectLst/>
        </c:spPr>
        <c:marker>
          <c:symbol val="diamond"/>
          <c:size val="7"/>
          <c:spPr>
            <a:solidFill>
              <a:schemeClr val="accent1">
                <a:lumMod val="20000"/>
                <a:lumOff val="80000"/>
              </a:schemeClr>
            </a:solidFill>
            <a:ln w="222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ln w="41275" cap="rnd">
            <a:solidFill>
              <a:schemeClr val="accent1">
                <a:lumMod val="50000"/>
              </a:schemeClr>
            </a:solidFill>
            <a:round/>
          </a:ln>
          <a:effectLst/>
        </c:spPr>
        <c:marker>
          <c:symbol val="diamond"/>
          <c:size val="7"/>
          <c:spPr>
            <a:solidFill>
              <a:schemeClr val="accent1">
                <a:lumMod val="20000"/>
                <a:lumOff val="80000"/>
              </a:schemeClr>
            </a:solidFill>
            <a:ln w="222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2833327177853963E-2"/>
              <c:y val="-0.113460557013706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41275" cap="rnd">
            <a:solidFill>
              <a:schemeClr val="accent1">
                <a:lumMod val="50000"/>
              </a:schemeClr>
            </a:solidFill>
            <a:round/>
          </a:ln>
          <a:effectLst/>
        </c:spPr>
        <c:marker>
          <c:symbol val="diamond"/>
          <c:size val="7"/>
          <c:spPr>
            <a:solidFill>
              <a:schemeClr val="accent1">
                <a:lumMod val="20000"/>
                <a:lumOff val="80000"/>
              </a:schemeClr>
            </a:solidFill>
            <a:ln w="22225">
              <a:solidFill>
                <a:schemeClr val="accent1"/>
              </a:solidFill>
            </a:ln>
            <a:effectLst/>
          </c:spPr>
        </c:marker>
        <c:dLbl>
          <c:idx val="0"/>
          <c:layout>
            <c:manualLayout>
              <c:x val="-4.4738086850752458E-2"/>
              <c:y val="-8.561351706036750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41275" cap="rnd">
            <a:solidFill>
              <a:schemeClr val="accent1">
                <a:lumMod val="50000"/>
              </a:schemeClr>
            </a:solidFill>
            <a:round/>
          </a:ln>
          <a:effectLst/>
        </c:spPr>
        <c:marker>
          <c:symbol val="diamond"/>
          <c:size val="7"/>
          <c:spPr>
            <a:solidFill>
              <a:schemeClr val="accent1">
                <a:lumMod val="20000"/>
                <a:lumOff val="80000"/>
              </a:schemeClr>
            </a:solidFill>
            <a:ln w="22225">
              <a:solidFill>
                <a:schemeClr val="accent2"/>
              </a:solidFill>
            </a:ln>
            <a:effectLst/>
          </c:spPr>
        </c:marker>
      </c:pivotFmt>
      <c:pivotFmt>
        <c:idx val="6"/>
        <c:spPr>
          <a:solidFill>
            <a:schemeClr val="accent1"/>
          </a:solidFill>
          <a:ln w="41275" cap="rnd">
            <a:solidFill>
              <a:schemeClr val="accent1">
                <a:lumMod val="50000"/>
              </a:schemeClr>
            </a:solidFill>
            <a:round/>
          </a:ln>
          <a:effectLst/>
        </c:spPr>
        <c:marker>
          <c:symbol val="diamond"/>
          <c:size val="7"/>
          <c:spPr>
            <a:solidFill>
              <a:schemeClr val="accent1">
                <a:lumMod val="20000"/>
                <a:lumOff val="80000"/>
              </a:schemeClr>
            </a:solidFill>
            <a:ln w="22225">
              <a:solidFill>
                <a:schemeClr val="accent2"/>
              </a:solidFill>
            </a:ln>
            <a:effectLst/>
          </c:spPr>
        </c:marker>
      </c:pivotFmt>
      <c:pivotFmt>
        <c:idx val="7"/>
        <c:spPr>
          <a:ln w="41275" cap="rnd">
            <a:solidFill>
              <a:schemeClr val="accent1">
                <a:lumMod val="50000"/>
              </a:schemeClr>
            </a:solidFill>
            <a:round/>
          </a:ln>
          <a:effectLst/>
        </c:spPr>
        <c:marker>
          <c:symbol val="diamond"/>
          <c:size val="7"/>
          <c:spPr>
            <a:solidFill>
              <a:schemeClr val="accent1">
                <a:lumMod val="20000"/>
                <a:lumOff val="80000"/>
              </a:schemeClr>
            </a:solidFill>
            <a:ln w="22225">
              <a:solidFill>
                <a:schemeClr val="accent2"/>
              </a:solidFill>
            </a:ln>
            <a:effectLst/>
          </c:spPr>
        </c:marker>
      </c:pivotFmt>
    </c:pivotFmts>
    <c:plotArea>
      <c:layout>
        <c:manualLayout>
          <c:layoutTarget val="inner"/>
          <c:xMode val="edge"/>
          <c:yMode val="edge"/>
          <c:x val="4.4960654117333857E-3"/>
          <c:y val="0.29862678623505395"/>
          <c:w val="0.99550393458826658"/>
          <c:h val="0.56867308253135029"/>
        </c:manualLayout>
      </c:layout>
      <c:lineChart>
        <c:grouping val="standard"/>
        <c:varyColors val="0"/>
        <c:ser>
          <c:idx val="0"/>
          <c:order val="0"/>
          <c:tx>
            <c:strRef>
              <c:f>'Coerrelation of knee&amp;hamstring&amp;'!$B$3</c:f>
              <c:strCache>
                <c:ptCount val="1"/>
                <c:pt idx="0">
                  <c:v>Average of Knee_Strength_Score</c:v>
                </c:pt>
              </c:strCache>
            </c:strRef>
          </c:tx>
          <c:spPr>
            <a:ln w="41275" cap="rnd">
              <a:solidFill>
                <a:schemeClr val="accent1">
                  <a:lumMod val="60000"/>
                  <a:lumOff val="40000"/>
                </a:schemeClr>
              </a:solidFill>
              <a:round/>
            </a:ln>
            <a:effectLst/>
          </c:spPr>
          <c:marker>
            <c:symbol val="diamond"/>
            <c:size val="7"/>
            <c:spPr>
              <a:solidFill>
                <a:schemeClr val="accent1">
                  <a:lumMod val="20000"/>
                  <a:lumOff val="80000"/>
                </a:schemeClr>
              </a:solidFill>
              <a:ln w="22225">
                <a:solidFill>
                  <a:schemeClr val="accent1">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en-NG"/>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'Coerrelation of knee&amp;hamstring&amp;'!$A$4:$A$11</c:f>
              <c:strCache>
                <c:ptCount val="7"/>
                <c:pt idx="0">
                  <c:v>18 years</c:v>
                </c:pt>
                <c:pt idx="1">
                  <c:v>19 years</c:v>
                </c:pt>
                <c:pt idx="2">
                  <c:v>20 years</c:v>
                </c:pt>
                <c:pt idx="3">
                  <c:v>21 years</c:v>
                </c:pt>
                <c:pt idx="4">
                  <c:v>22 years</c:v>
                </c:pt>
                <c:pt idx="5">
                  <c:v>23 years</c:v>
                </c:pt>
                <c:pt idx="6">
                  <c:v>24 years</c:v>
                </c:pt>
              </c:strCache>
            </c:strRef>
          </c:cat>
          <c:val>
            <c:numRef>
              <c:f>'Coerrelation of knee&amp;hamstring&amp;'!$B$4:$B$11</c:f>
              <c:numCache>
                <c:formatCode>0.00</c:formatCode>
                <c:ptCount val="7"/>
                <c:pt idx="0">
                  <c:v>75.142091077308436</c:v>
                </c:pt>
                <c:pt idx="1">
                  <c:v>75.013166662792258</c:v>
                </c:pt>
                <c:pt idx="2">
                  <c:v>75.348730053710725</c:v>
                </c:pt>
                <c:pt idx="3">
                  <c:v>75.130222841157433</c:v>
                </c:pt>
                <c:pt idx="4">
                  <c:v>75.215462446976034</c:v>
                </c:pt>
                <c:pt idx="5">
                  <c:v>74.303649879023027</c:v>
                </c:pt>
                <c:pt idx="6">
                  <c:v>74.484151797314951</c:v>
                </c:pt>
              </c:numCache>
            </c:numRef>
          </c:val>
          <c:smooth val="0"/>
          <c:extLst>
            <c:ext xmlns:c16="http://schemas.microsoft.com/office/drawing/2014/chart" uri="{C3380CC4-5D6E-409C-BE32-E72D297353CC}">
              <c16:uniqueId val="{00000000-F425-4D28-B150-C0EFE4D4EF11}"/>
            </c:ext>
          </c:extLst>
        </c:ser>
        <c:ser>
          <c:idx val="1"/>
          <c:order val="1"/>
          <c:tx>
            <c:strRef>
              <c:f>'Coerrelation of knee&amp;hamstring&amp;'!$C$3</c:f>
              <c:strCache>
                <c:ptCount val="1"/>
                <c:pt idx="0">
                  <c:v>Average of Hamstring_Flexibility</c:v>
                </c:pt>
              </c:strCache>
            </c:strRef>
          </c:tx>
          <c:spPr>
            <a:ln w="41275" cap="rnd">
              <a:solidFill>
                <a:schemeClr val="accent1">
                  <a:lumMod val="50000"/>
                </a:schemeClr>
              </a:solidFill>
              <a:round/>
            </a:ln>
            <a:effectLst/>
          </c:spPr>
          <c:marker>
            <c:symbol val="diamond"/>
            <c:size val="7"/>
            <c:spPr>
              <a:solidFill>
                <a:schemeClr val="accent1">
                  <a:lumMod val="20000"/>
                  <a:lumOff val="80000"/>
                </a:schemeClr>
              </a:solidFill>
              <a:ln w="22225">
                <a:solidFill>
                  <a:schemeClr val="accent2"/>
                </a:solidFill>
              </a:ln>
              <a:effectLst/>
            </c:spPr>
          </c:marker>
          <c:dPt>
            <c:idx val="2"/>
            <c:marker>
              <c:symbol val="diamond"/>
              <c:size val="7"/>
              <c:spPr>
                <a:solidFill>
                  <a:schemeClr val="accent1">
                    <a:lumMod val="20000"/>
                    <a:lumOff val="80000"/>
                  </a:schemeClr>
                </a:solidFill>
                <a:ln w="22225">
                  <a:solidFill>
                    <a:schemeClr val="accent2"/>
                  </a:solidFill>
                </a:ln>
                <a:effectLst/>
              </c:spPr>
            </c:marker>
            <c:bubble3D val="0"/>
            <c:extLst>
              <c:ext xmlns:c16="http://schemas.microsoft.com/office/drawing/2014/chart" uri="{C3380CC4-5D6E-409C-BE32-E72D297353CC}">
                <c16:uniqueId val="{00000001-31A0-42F3-87A0-E582BF1908D5}"/>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'Coerrelation of knee&amp;hamstring&amp;'!$A$4:$A$11</c:f>
              <c:strCache>
                <c:ptCount val="7"/>
                <c:pt idx="0">
                  <c:v>18 years</c:v>
                </c:pt>
                <c:pt idx="1">
                  <c:v>19 years</c:v>
                </c:pt>
                <c:pt idx="2">
                  <c:v>20 years</c:v>
                </c:pt>
                <c:pt idx="3">
                  <c:v>21 years</c:v>
                </c:pt>
                <c:pt idx="4">
                  <c:v>22 years</c:v>
                </c:pt>
                <c:pt idx="5">
                  <c:v>23 years</c:v>
                </c:pt>
                <c:pt idx="6">
                  <c:v>24 years</c:v>
                </c:pt>
              </c:strCache>
            </c:strRef>
          </c:cat>
          <c:val>
            <c:numRef>
              <c:f>'Coerrelation of knee&amp;hamstring&amp;'!$C$4:$C$11</c:f>
              <c:numCache>
                <c:formatCode>0.00</c:formatCode>
                <c:ptCount val="7"/>
                <c:pt idx="0">
                  <c:v>79.435365013598542</c:v>
                </c:pt>
                <c:pt idx="1">
                  <c:v>79.222286242222935</c:v>
                </c:pt>
                <c:pt idx="2">
                  <c:v>79.34534586795931</c:v>
                </c:pt>
                <c:pt idx="3">
                  <c:v>78.616480861251233</c:v>
                </c:pt>
                <c:pt idx="4">
                  <c:v>79.00706633425736</c:v>
                </c:pt>
                <c:pt idx="5">
                  <c:v>79.510030196042919</c:v>
                </c:pt>
                <c:pt idx="6">
                  <c:v>79.046119773332549</c:v>
                </c:pt>
              </c:numCache>
            </c:numRef>
          </c:val>
          <c:smooth val="0"/>
          <c:extLst>
            <c:ext xmlns:c16="http://schemas.microsoft.com/office/drawing/2014/chart" uri="{C3380CC4-5D6E-409C-BE32-E72D297353CC}">
              <c16:uniqueId val="{00000001-F425-4D28-B150-C0EFE4D4EF11}"/>
            </c:ext>
          </c:extLst>
        </c:ser>
        <c:dLbls>
          <c:dLblPos val="t"/>
          <c:showLegendKey val="0"/>
          <c:showVal val="1"/>
          <c:showCatName val="0"/>
          <c:showSerName val="0"/>
          <c:showPercent val="0"/>
          <c:showBubbleSize val="0"/>
        </c:dLbls>
        <c:marker val="1"/>
        <c:smooth val="0"/>
        <c:axId val="621739840"/>
        <c:axId val="343433168"/>
      </c:lineChart>
      <c:catAx>
        <c:axId val="621739840"/>
        <c:scaling>
          <c:orientation val="minMax"/>
        </c:scaling>
        <c:delete val="0"/>
        <c:axPos val="b"/>
        <c:numFmt formatCode="0&quot; years&quot;"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mn-lt"/>
                <a:ea typeface="+mn-ea"/>
                <a:cs typeface="+mn-cs"/>
              </a:defRPr>
            </a:pPr>
            <a:endParaRPr lang="en-NG"/>
          </a:p>
        </c:txPr>
        <c:crossAx val="343433168"/>
        <c:crosses val="autoZero"/>
        <c:auto val="0"/>
        <c:lblAlgn val="ctr"/>
        <c:lblOffset val="100"/>
        <c:noMultiLvlLbl val="0"/>
      </c:catAx>
      <c:valAx>
        <c:axId val="343433168"/>
        <c:scaling>
          <c:orientation val="minMax"/>
        </c:scaling>
        <c:delete val="1"/>
        <c:axPos val="l"/>
        <c:numFmt formatCode="0.00" sourceLinked="1"/>
        <c:majorTickMark val="none"/>
        <c:minorTickMark val="none"/>
        <c:tickLblPos val="nextTo"/>
        <c:crossAx val="621739840"/>
        <c:crosses val="autoZero"/>
        <c:crossBetween val="between"/>
      </c:valAx>
      <c:spPr>
        <a:noFill/>
        <a:ln>
          <a:noFill/>
        </a:ln>
        <a:effectLst/>
      </c:spPr>
    </c:plotArea>
    <c:legend>
      <c:legendPos val="t"/>
      <c:layout>
        <c:manualLayout>
          <c:xMode val="edge"/>
          <c:yMode val="edge"/>
          <c:x val="5.2247997303776834E-2"/>
          <c:y val="0.1199537037037037"/>
          <c:w val="0.89999989379373047"/>
          <c:h val="9.4923082531350247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accent1">
                  <a:lumMod val="50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dataset.xlsx]Routine Status!PivotTable1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baseline="0">
                <a:solidFill>
                  <a:schemeClr val="accent1">
                    <a:lumMod val="50000"/>
                  </a:schemeClr>
                </a:solidFill>
                <a:latin typeface="Georgia" panose="02040502050405020303" pitchFamily="18" charset="0"/>
              </a:rPr>
              <a:t>Warmup Routine Status </a:t>
            </a:r>
          </a:p>
          <a:p>
            <a:pPr>
              <a:defRPr/>
            </a:pPr>
            <a:r>
              <a:rPr lang="en-US" sz="1400" b="1" baseline="0">
                <a:solidFill>
                  <a:schemeClr val="accent1">
                    <a:lumMod val="50000"/>
                  </a:schemeClr>
                </a:solidFill>
                <a:latin typeface="Georgia" panose="02040502050405020303" pitchFamily="18" charset="0"/>
              </a:rPr>
              <a:t>Analysis </a:t>
            </a:r>
            <a:endParaRPr lang="en-NG" sz="1400" b="1">
              <a:solidFill>
                <a:schemeClr val="accent1">
                  <a:lumMod val="50000"/>
                </a:schemeClr>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lumMod val="50000"/>
            </a:schemeClr>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50000"/>
            </a:schemeClr>
          </a:solidFill>
          <a:ln w="19050">
            <a:noFill/>
          </a:ln>
          <a:effectLst/>
        </c:spPr>
        <c:dLbl>
          <c:idx val="0"/>
          <c:layout>
            <c:manualLayout>
              <c:x val="0.11944444444444434"/>
              <c:y val="-6.4814814814814894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60000"/>
              <a:lumOff val="40000"/>
            </a:schemeClr>
          </a:solidFill>
          <a:ln w="19050">
            <a:noFill/>
          </a:ln>
          <a:effectLst/>
        </c:spPr>
        <c:dLbl>
          <c:idx val="0"/>
          <c:layout>
            <c:manualLayout>
              <c:x val="-0.1111111111111111"/>
              <c:y val="-9.2592592592592629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408333333333334"/>
          <c:y val="0.18918635170603673"/>
          <c:w val="0.45794466316710408"/>
          <c:h val="0.76324110527850675"/>
        </c:manualLayout>
      </c:layout>
      <c:doughnutChart>
        <c:varyColors val="1"/>
        <c:ser>
          <c:idx val="0"/>
          <c:order val="0"/>
          <c:tx>
            <c:strRef>
              <c:f>'Routine Status'!$B$3</c:f>
              <c:strCache>
                <c:ptCount val="1"/>
                <c:pt idx="0">
                  <c:v>Total</c:v>
                </c:pt>
              </c:strCache>
            </c:strRef>
          </c:tx>
          <c:spPr>
            <a:solidFill>
              <a:schemeClr val="accent1">
                <a:lumMod val="50000"/>
              </a:schemeClr>
            </a:solidFill>
            <a:ln>
              <a:noFill/>
            </a:ln>
          </c:spPr>
          <c:dPt>
            <c:idx val="0"/>
            <c:bubble3D val="0"/>
            <c:spPr>
              <a:solidFill>
                <a:schemeClr val="accent1">
                  <a:lumMod val="50000"/>
                </a:schemeClr>
              </a:solidFill>
              <a:ln w="19050">
                <a:noFill/>
              </a:ln>
              <a:effectLst/>
            </c:spPr>
            <c:extLst>
              <c:ext xmlns:c16="http://schemas.microsoft.com/office/drawing/2014/chart" uri="{C3380CC4-5D6E-409C-BE32-E72D297353CC}">
                <c16:uniqueId val="{00000001-C43C-49D6-80E1-26C89F9E8DCA}"/>
              </c:ext>
            </c:extLst>
          </c:dPt>
          <c:dPt>
            <c:idx val="1"/>
            <c:bubble3D val="0"/>
            <c:spPr>
              <a:solidFill>
                <a:schemeClr val="accent1">
                  <a:lumMod val="60000"/>
                  <a:lumOff val="40000"/>
                </a:schemeClr>
              </a:solidFill>
              <a:ln w="19050">
                <a:noFill/>
              </a:ln>
              <a:effectLst/>
            </c:spPr>
            <c:extLst>
              <c:ext xmlns:c16="http://schemas.microsoft.com/office/drawing/2014/chart" uri="{C3380CC4-5D6E-409C-BE32-E72D297353CC}">
                <c16:uniqueId val="{00000003-C43C-49D6-80E1-26C89F9E8DCA}"/>
              </c:ext>
            </c:extLst>
          </c:dPt>
          <c:dLbls>
            <c:dLbl>
              <c:idx val="0"/>
              <c:layout>
                <c:manualLayout>
                  <c:x val="0.11944444444444434"/>
                  <c:y val="-6.481481481481489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43C-49D6-80E1-26C89F9E8DCA}"/>
                </c:ext>
              </c:extLst>
            </c:dLbl>
            <c:dLbl>
              <c:idx val="1"/>
              <c:layout>
                <c:manualLayout>
                  <c:x val="-0.1111111111111111"/>
                  <c:y val="-9.259259259259262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43C-49D6-80E1-26C89F9E8DCA}"/>
                </c:ext>
              </c:extLst>
            </c:dLbl>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'Routine Status'!$A$4:$A$6</c:f>
              <c:strCache>
                <c:ptCount val="2"/>
                <c:pt idx="0">
                  <c:v>Adherent</c:v>
                </c:pt>
                <c:pt idx="1">
                  <c:v>Non-Adherent</c:v>
                </c:pt>
              </c:strCache>
            </c:strRef>
          </c:cat>
          <c:val>
            <c:numRef>
              <c:f>'Routine Status'!$B$4:$B$6</c:f>
              <c:numCache>
                <c:formatCode>General</c:formatCode>
                <c:ptCount val="2"/>
                <c:pt idx="0">
                  <c:v>478</c:v>
                </c:pt>
                <c:pt idx="1">
                  <c:v>322</c:v>
                </c:pt>
              </c:numCache>
            </c:numRef>
          </c:val>
          <c:extLst>
            <c:ext xmlns:c16="http://schemas.microsoft.com/office/drawing/2014/chart" uri="{C3380CC4-5D6E-409C-BE32-E72D297353CC}">
              <c16:uniqueId val="{00000000-C3F7-4026-8E14-5F071D8C2313}"/>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accent1">
                  <a:lumMod val="50000"/>
                </a:schemeClr>
              </a:solidFill>
              <a:latin typeface="Georgia" panose="020405020504050203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dataset.xlsx]Injury status!PivotTable1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1">
                    <a:lumMod val="50000"/>
                  </a:schemeClr>
                </a:solidFill>
                <a:latin typeface="Georgia" panose="02040502050405020303" pitchFamily="18" charset="0"/>
              </a:rPr>
              <a:t>Injury Status Distribution</a:t>
            </a:r>
            <a:endParaRPr lang="en-NG" sz="1400" b="1">
              <a:solidFill>
                <a:schemeClr val="accent1">
                  <a:lumMod val="50000"/>
                </a:schemeClr>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50000"/>
            </a:schemeClr>
          </a:solidFill>
          <a:ln w="19050">
            <a:solidFill>
              <a:schemeClr val="lt1"/>
            </a:solidFill>
          </a:ln>
          <a:effectLst/>
        </c:spPr>
        <c:dLbl>
          <c:idx val="0"/>
          <c:layout>
            <c:manualLayout>
              <c:x val="9.7484276729559755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lumMod val="60000"/>
              <a:lumOff val="40000"/>
            </a:schemeClr>
          </a:solidFill>
          <a:ln w="19050">
            <a:solidFill>
              <a:schemeClr val="lt1"/>
            </a:solidFill>
          </a:ln>
          <a:effectLst/>
        </c:spPr>
        <c:dLbl>
          <c:idx val="0"/>
          <c:layout>
            <c:manualLayout>
              <c:x val="-0.12893081761006292"/>
              <c:y val="-0.152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'Injury status'!$B$3</c:f>
              <c:strCache>
                <c:ptCount val="1"/>
                <c:pt idx="0">
                  <c:v>Total</c:v>
                </c:pt>
              </c:strCache>
            </c:strRef>
          </c:tx>
          <c:explosion val="1"/>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2018-43C6-9AEE-D63AFFCD0F75}"/>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2018-43C6-9AEE-D63AFFCD0F75}"/>
              </c:ext>
            </c:extLst>
          </c:dPt>
          <c:dLbls>
            <c:dLbl>
              <c:idx val="0"/>
              <c:layout>
                <c:manualLayout>
                  <c:x val="9.7484276729559755E-2"/>
                  <c:y val="-2.77777777777777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018-43C6-9AEE-D63AFFCD0F75}"/>
                </c:ext>
              </c:extLst>
            </c:dLbl>
            <c:dLbl>
              <c:idx val="1"/>
              <c:layout>
                <c:manualLayout>
                  <c:x val="-0.12893081761006292"/>
                  <c:y val="-0.1527777777777777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018-43C6-9AEE-D63AFFCD0F75}"/>
                </c:ext>
              </c:extLst>
            </c:dLbl>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'Injury status'!$A$4:$A$6</c:f>
              <c:strCache>
                <c:ptCount val="2"/>
                <c:pt idx="0">
                  <c:v>Injury</c:v>
                </c:pt>
                <c:pt idx="1">
                  <c:v>No Injury</c:v>
                </c:pt>
              </c:strCache>
            </c:strRef>
          </c:cat>
          <c:val>
            <c:numRef>
              <c:f>'Injury status'!$B$4:$B$6</c:f>
              <c:numCache>
                <c:formatCode>General</c:formatCode>
                <c:ptCount val="2"/>
                <c:pt idx="0">
                  <c:v>400</c:v>
                </c:pt>
                <c:pt idx="1">
                  <c:v>400</c:v>
                </c:pt>
              </c:numCache>
            </c:numRef>
          </c:val>
          <c:extLst>
            <c:ext xmlns:c16="http://schemas.microsoft.com/office/drawing/2014/chart" uri="{C3380CC4-5D6E-409C-BE32-E72D297353CC}">
              <c16:uniqueId val="{00000004-2018-43C6-9AEE-D63AFFCD0F75}"/>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accent1">
                  <a:lumMod val="50000"/>
                </a:schemeClr>
              </a:solidFill>
              <a:latin typeface="Georgia" panose="020405020504050203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dataset.xlsx]Reaction time by age!PivotTable1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1">
                    <a:lumMod val="50000"/>
                  </a:schemeClr>
                </a:solidFill>
                <a:latin typeface="Georgia" panose="02040502050405020303" pitchFamily="18" charset="0"/>
              </a:rPr>
              <a:t>Average Reaction</a:t>
            </a:r>
            <a:r>
              <a:rPr lang="en-US" sz="1400" b="1" baseline="0">
                <a:solidFill>
                  <a:schemeClr val="accent1">
                    <a:lumMod val="50000"/>
                  </a:schemeClr>
                </a:solidFill>
                <a:latin typeface="Georgia" panose="02040502050405020303" pitchFamily="18" charset="0"/>
              </a:rPr>
              <a:t> Time Performance By Age </a:t>
            </a:r>
            <a:endParaRPr lang="en-NG" sz="1400" b="1">
              <a:solidFill>
                <a:schemeClr val="accent1">
                  <a:lumMod val="50000"/>
                </a:schemeClr>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noFill/>
          </a:ln>
          <a:effectLst/>
        </c:spPr>
        <c:dLbl>
          <c:idx val="0"/>
          <c:layout>
            <c:manualLayout>
              <c:x val="-1.6544272124127504E-16"/>
              <c:y val="-0.231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noFill/>
          </a:ln>
          <a:effectLst/>
        </c:spPr>
        <c:dLbl>
          <c:idx val="0"/>
          <c:layout>
            <c:manualLayout>
              <c:x val="-4.5121263395375075E-3"/>
              <c:y val="-0.402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noFill/>
          </a:ln>
          <a:effectLst/>
        </c:spPr>
        <c:dLbl>
          <c:idx val="0"/>
          <c:layout>
            <c:manualLayout>
              <c:x val="0"/>
              <c:y val="-0.37037037037037035"/>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noFill/>
          </a:ln>
          <a:effectLst/>
        </c:spPr>
        <c:dLbl>
          <c:idx val="0"/>
          <c:layout>
            <c:manualLayout>
              <c:x val="0"/>
              <c:y val="-0.41203703703703703"/>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noFill/>
          </a:ln>
          <a:effectLst/>
        </c:spPr>
        <c:dLbl>
          <c:idx val="0"/>
          <c:layout>
            <c:manualLayout>
              <c:x val="-6.768189509306302E-3"/>
              <c:y val="-0.3425925925925926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noFill/>
          </a:ln>
          <a:effectLst/>
        </c:spPr>
        <c:dLbl>
          <c:idx val="0"/>
          <c:layout>
            <c:manualLayout>
              <c:x val="-1.1280315848843767E-2"/>
              <c:y val="-0.30555555555555558"/>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noFill/>
          </a:ln>
          <a:effectLst/>
        </c:spPr>
        <c:dLbl>
          <c:idx val="0"/>
          <c:layout>
            <c:manualLayout>
              <c:x val="2.2560631697687537E-3"/>
              <c:y val="-0.277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noFill/>
          </a:ln>
          <a:effectLst/>
        </c:spPr>
        <c:dLbl>
          <c:idx val="0"/>
          <c:layout>
            <c:manualLayout>
              <c:x val="-2.2560631697687949E-3"/>
              <c:y val="-0.2638888888888889"/>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noFill/>
          </a:ln>
          <a:effectLst/>
        </c:spPr>
        <c:dLbl>
          <c:idx val="0"/>
          <c:layout>
            <c:manualLayout>
              <c:x val="-2.4816694867456288E-2"/>
              <c:y val="-0.33333333333333337"/>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noFill/>
          </a:ln>
          <a:effectLst/>
        </c:spPr>
        <c:dLbl>
          <c:idx val="0"/>
          <c:layout>
            <c:manualLayout>
              <c:x val="-1.1280315848843767E-2"/>
              <c:y val="-0.38425925925925924"/>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noFill/>
          </a:ln>
          <a:effectLst/>
        </c:spPr>
        <c:dLbl>
          <c:idx val="0"/>
          <c:layout>
            <c:manualLayout>
              <c:x val="-6.7681895093063436E-3"/>
              <c:y val="-0.33333333333333337"/>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noFill/>
          </a:ln>
          <a:effectLst/>
        </c:spPr>
        <c:dLbl>
          <c:idx val="0"/>
          <c:layout>
            <c:manualLayout>
              <c:x val="0"/>
              <c:y val="-0.35648148148148151"/>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noFill/>
          </a:ln>
          <a:effectLst/>
        </c:spPr>
        <c:dLbl>
          <c:idx val="0"/>
          <c:layout>
            <c:manualLayout>
              <c:x val="2.2560631697687371E-2"/>
              <c:y val="-0.22685185185185186"/>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noFill/>
          </a:ln>
          <a:effectLst/>
        </c:spPr>
        <c:dLbl>
          <c:idx val="0"/>
          <c:layout>
            <c:manualLayout>
              <c:x val="-5.1700850387898449E-18"/>
              <c:y val="-0.2638888888888889"/>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'Reaction time by age'!$B$3</c:f>
              <c:strCache>
                <c:ptCount val="1"/>
                <c:pt idx="0">
                  <c:v>Total</c:v>
                </c:pt>
              </c:strCache>
            </c:strRef>
          </c:tx>
          <c:spPr>
            <a:solidFill>
              <a:schemeClr val="accent1"/>
            </a:solidFill>
            <a:ln w="19050">
              <a:noFill/>
            </a:ln>
            <a:effectLst/>
          </c:spPr>
          <c:dPt>
            <c:idx val="0"/>
            <c:bubble3D val="0"/>
            <c:extLst>
              <c:ext xmlns:c16="http://schemas.microsoft.com/office/drawing/2014/chart" uri="{C3380CC4-5D6E-409C-BE32-E72D297353CC}">
                <c16:uniqueId val="{00000001-DF36-4A69-9035-83F8D7CE2F24}"/>
              </c:ext>
            </c:extLst>
          </c:dPt>
          <c:dPt>
            <c:idx val="1"/>
            <c:bubble3D val="0"/>
            <c:extLst>
              <c:ext xmlns:c16="http://schemas.microsoft.com/office/drawing/2014/chart" uri="{C3380CC4-5D6E-409C-BE32-E72D297353CC}">
                <c16:uniqueId val="{00000003-DF36-4A69-9035-83F8D7CE2F24}"/>
              </c:ext>
            </c:extLst>
          </c:dPt>
          <c:dPt>
            <c:idx val="2"/>
            <c:bubble3D val="0"/>
            <c:extLst>
              <c:ext xmlns:c16="http://schemas.microsoft.com/office/drawing/2014/chart" uri="{C3380CC4-5D6E-409C-BE32-E72D297353CC}">
                <c16:uniqueId val="{0000000B-DF36-4A69-9035-83F8D7CE2F24}"/>
              </c:ext>
            </c:extLst>
          </c:dPt>
          <c:dPt>
            <c:idx val="3"/>
            <c:bubble3D val="0"/>
            <c:extLst>
              <c:ext xmlns:c16="http://schemas.microsoft.com/office/drawing/2014/chart" uri="{C3380CC4-5D6E-409C-BE32-E72D297353CC}">
                <c16:uniqueId val="{0000000A-DF36-4A69-9035-83F8D7CE2F24}"/>
              </c:ext>
            </c:extLst>
          </c:dPt>
          <c:dPt>
            <c:idx val="4"/>
            <c:bubble3D val="0"/>
            <c:extLst>
              <c:ext xmlns:c16="http://schemas.microsoft.com/office/drawing/2014/chart" uri="{C3380CC4-5D6E-409C-BE32-E72D297353CC}">
                <c16:uniqueId val="{00000009-DF36-4A69-9035-83F8D7CE2F24}"/>
              </c:ext>
            </c:extLst>
          </c:dPt>
          <c:dPt>
            <c:idx val="5"/>
            <c:bubble3D val="0"/>
            <c:extLst>
              <c:ext xmlns:c16="http://schemas.microsoft.com/office/drawing/2014/chart" uri="{C3380CC4-5D6E-409C-BE32-E72D297353CC}">
                <c16:uniqueId val="{00000008-DF36-4A69-9035-83F8D7CE2F24}"/>
              </c:ext>
            </c:extLst>
          </c:dPt>
          <c:dPt>
            <c:idx val="6"/>
            <c:bubble3D val="0"/>
            <c:extLst>
              <c:ext xmlns:c16="http://schemas.microsoft.com/office/drawing/2014/chart" uri="{C3380CC4-5D6E-409C-BE32-E72D297353CC}">
                <c16:uniqueId val="{00000007-DF36-4A69-9035-83F8D7CE2F24}"/>
              </c:ext>
            </c:extLst>
          </c:dPt>
          <c:dLbls>
            <c:dLbl>
              <c:idx val="0"/>
              <c:layout>
                <c:manualLayout>
                  <c:x val="-5.1700850387898449E-18"/>
                  <c:y val="-0.263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36-4A69-9035-83F8D7CE2F24}"/>
                </c:ext>
              </c:extLst>
            </c:dLbl>
            <c:dLbl>
              <c:idx val="1"/>
              <c:layout>
                <c:manualLayout>
                  <c:x val="-2.2560631697687949E-3"/>
                  <c:y val="-0.263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F36-4A69-9035-83F8D7CE2F24}"/>
                </c:ext>
              </c:extLst>
            </c:dLbl>
            <c:dLbl>
              <c:idx val="2"/>
              <c:layout>
                <c:manualLayout>
                  <c:x val="-2.4816694867456288E-2"/>
                  <c:y val="-0.333333333333333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F36-4A69-9035-83F8D7CE2F24}"/>
                </c:ext>
              </c:extLst>
            </c:dLbl>
            <c:dLbl>
              <c:idx val="3"/>
              <c:layout>
                <c:manualLayout>
                  <c:x val="-1.1280315848843767E-2"/>
                  <c:y val="-0.384259259259259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F36-4A69-9035-83F8D7CE2F24}"/>
                </c:ext>
              </c:extLst>
            </c:dLbl>
            <c:dLbl>
              <c:idx val="4"/>
              <c:layout>
                <c:manualLayout>
                  <c:x val="-6.7681895093063436E-3"/>
                  <c:y val="-0.333333333333333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F36-4A69-9035-83F8D7CE2F24}"/>
                </c:ext>
              </c:extLst>
            </c:dLbl>
            <c:dLbl>
              <c:idx val="5"/>
              <c:layout>
                <c:manualLayout>
                  <c:x val="0"/>
                  <c:y val="-0.356481481481481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F36-4A69-9035-83F8D7CE2F24}"/>
                </c:ext>
              </c:extLst>
            </c:dLbl>
            <c:dLbl>
              <c:idx val="6"/>
              <c:layout>
                <c:manualLayout>
                  <c:x val="2.2560631697687371E-2"/>
                  <c:y val="-0.22685185185185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F36-4A69-9035-83F8D7CE2F24}"/>
                </c:ext>
              </c:extLst>
            </c:dLbl>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'Reaction time by age'!$A$4:$A$11</c:f>
              <c:strCache>
                <c:ptCount val="7"/>
                <c:pt idx="0">
                  <c:v>18 years</c:v>
                </c:pt>
                <c:pt idx="1">
                  <c:v>19 years</c:v>
                </c:pt>
                <c:pt idx="2">
                  <c:v>20 years</c:v>
                </c:pt>
                <c:pt idx="3">
                  <c:v>21 years</c:v>
                </c:pt>
                <c:pt idx="4">
                  <c:v>22 years</c:v>
                </c:pt>
                <c:pt idx="5">
                  <c:v>23 years</c:v>
                </c:pt>
                <c:pt idx="6">
                  <c:v>24 years</c:v>
                </c:pt>
              </c:strCache>
            </c:strRef>
          </c:cat>
          <c:val>
            <c:numRef>
              <c:f>'Reaction time by age'!$B$4:$B$11</c:f>
              <c:numCache>
                <c:formatCode>0"ms"</c:formatCode>
                <c:ptCount val="7"/>
                <c:pt idx="0">
                  <c:v>247.36265430630155</c:v>
                </c:pt>
                <c:pt idx="1">
                  <c:v>247.35725223135179</c:v>
                </c:pt>
                <c:pt idx="2">
                  <c:v>250.02808233905452</c:v>
                </c:pt>
                <c:pt idx="3">
                  <c:v>253.99189136925196</c:v>
                </c:pt>
                <c:pt idx="4">
                  <c:v>249.64075283275162</c:v>
                </c:pt>
                <c:pt idx="5">
                  <c:v>252.62701819289572</c:v>
                </c:pt>
                <c:pt idx="6">
                  <c:v>244.98174411146539</c:v>
                </c:pt>
              </c:numCache>
            </c:numRef>
          </c:val>
          <c:extLst>
            <c:ext xmlns:c16="http://schemas.microsoft.com/office/drawing/2014/chart" uri="{C3380CC4-5D6E-409C-BE32-E72D297353CC}">
              <c16:uniqueId val="{00000004-DF36-4A69-9035-83F8D7CE2F24}"/>
            </c:ext>
          </c:extLst>
        </c:ser>
        <c:dLbls>
          <c:showLegendKey val="0"/>
          <c:showVal val="0"/>
          <c:showCatName val="0"/>
          <c:showSerName val="0"/>
          <c:showPercent val="0"/>
          <c:showBubbleSize val="0"/>
        </c:dLbls>
        <c:axId val="211863936"/>
        <c:axId val="211883616"/>
      </c:areaChart>
      <c:catAx>
        <c:axId val="211863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crossAx val="211883616"/>
        <c:crosses val="autoZero"/>
        <c:auto val="1"/>
        <c:lblAlgn val="ctr"/>
        <c:lblOffset val="100"/>
        <c:noMultiLvlLbl val="0"/>
      </c:catAx>
      <c:valAx>
        <c:axId val="211883616"/>
        <c:scaling>
          <c:orientation val="minMax"/>
        </c:scaling>
        <c:delete val="1"/>
        <c:axPos val="l"/>
        <c:numFmt formatCode="0&quot;ms&quot;" sourceLinked="1"/>
        <c:majorTickMark val="out"/>
        <c:minorTickMark val="none"/>
        <c:tickLblPos val="nextTo"/>
        <c:crossAx val="2118639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dataset.xlsx]Agility and nutrition analysis!PivotTable1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1">
                    <a:lumMod val="50000"/>
                  </a:schemeClr>
                </a:solidFill>
                <a:latin typeface="Georgia" panose="02040502050405020303" pitchFamily="18" charset="0"/>
              </a:rPr>
              <a:t>Performance</a:t>
            </a:r>
            <a:r>
              <a:rPr lang="en-US" sz="1400" b="1" baseline="0">
                <a:solidFill>
                  <a:schemeClr val="accent1">
                    <a:lumMod val="50000"/>
                  </a:schemeClr>
                </a:solidFill>
                <a:latin typeface="Georgia" panose="02040502050405020303" pitchFamily="18" charset="0"/>
              </a:rPr>
              <a:t> Of Nutrition Score On Agility Score </a:t>
            </a:r>
            <a:endParaRPr lang="en-NG" sz="1400" b="1">
              <a:solidFill>
                <a:schemeClr val="accent1">
                  <a:lumMod val="50000"/>
                </a:schemeClr>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noFill/>
          </a:ln>
          <a:effectLst/>
        </c:spPr>
        <c:dLbl>
          <c:idx val="0"/>
          <c:layout>
            <c:manualLayout>
              <c:x val="-1.6544272124127504E-16"/>
              <c:y val="-0.231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noFill/>
          </a:ln>
          <a:effectLst/>
        </c:spPr>
        <c:dLbl>
          <c:idx val="0"/>
          <c:layout>
            <c:manualLayout>
              <c:x val="-4.5121263395375075E-3"/>
              <c:y val="-0.402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noFill/>
          </a:ln>
          <a:effectLst/>
        </c:spPr>
        <c:dLbl>
          <c:idx val="0"/>
          <c:layout>
            <c:manualLayout>
              <c:x val="0"/>
              <c:y val="-0.3703703703703703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noFill/>
          </a:ln>
          <a:effectLst/>
        </c:spPr>
        <c:dLbl>
          <c:idx val="0"/>
          <c:layout>
            <c:manualLayout>
              <c:x val="0"/>
              <c:y val="-0.4120370370370370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noFill/>
          </a:ln>
          <a:effectLst/>
        </c:spPr>
        <c:dLbl>
          <c:idx val="0"/>
          <c:layout>
            <c:manualLayout>
              <c:x val="-6.768189509306302E-3"/>
              <c:y val="-0.3425925925925926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noFill/>
          </a:ln>
          <a:effectLst/>
        </c:spPr>
        <c:dLbl>
          <c:idx val="0"/>
          <c:layout>
            <c:manualLayout>
              <c:x val="-1.1280315848843767E-2"/>
              <c:y val="-0.3055555555555555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noFill/>
          </a:ln>
          <a:effectLst/>
        </c:spPr>
        <c:dLbl>
          <c:idx val="0"/>
          <c:layout>
            <c:manualLayout>
              <c:x val="2.2560631697687537E-3"/>
              <c:y val="-0.277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dLbl>
          <c:idx val="0"/>
          <c:layout>
            <c:manualLayout>
              <c:x val="2.2560631697687537E-3"/>
              <c:y val="-0.277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dLbl>
          <c:idx val="0"/>
          <c:layout>
            <c:manualLayout>
              <c:x val="-1.1280315848843767E-2"/>
              <c:y val="-0.3055555555555555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dLbl>
          <c:idx val="0"/>
          <c:layout>
            <c:manualLayout>
              <c:x val="-6.768189509306302E-3"/>
              <c:y val="-0.3425925925925926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dLbl>
          <c:idx val="0"/>
          <c:layout>
            <c:manualLayout>
              <c:x val="0"/>
              <c:y val="-0.4120370370370370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dLbl>
          <c:idx val="0"/>
          <c:layout>
            <c:manualLayout>
              <c:x val="0"/>
              <c:y val="-0.3703703703703703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dLbl>
          <c:idx val="0"/>
          <c:layout>
            <c:manualLayout>
              <c:x val="-4.5121263395375075E-3"/>
              <c:y val="-0.402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dLbl>
          <c:idx val="0"/>
          <c:layout>
            <c:manualLayout>
              <c:x val="-1.6544272124127504E-16"/>
              <c:y val="-0.231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lumMod val="60000"/>
              <a:lumOff val="4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861333333333336E-2"/>
          <c:y val="0.21886961667340157"/>
          <c:w val="0.9336106666666667"/>
          <c:h val="0.66947192418428125"/>
        </c:manualLayout>
      </c:layout>
      <c:barChart>
        <c:barDir val="col"/>
        <c:grouping val="clustered"/>
        <c:varyColors val="0"/>
        <c:ser>
          <c:idx val="0"/>
          <c:order val="0"/>
          <c:tx>
            <c:strRef>
              <c:f>'Agility and nutrition analysis'!$B$3</c:f>
              <c:strCache>
                <c:ptCount val="1"/>
                <c:pt idx="0">
                  <c:v>Average of Agility_Score</c:v>
                </c:pt>
              </c:strCache>
            </c:strRef>
          </c:tx>
          <c:spPr>
            <a:solidFill>
              <a:schemeClr val="accent1">
                <a:lumMod val="50000"/>
              </a:schemeClr>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'Agility and nutrition analysis'!$A$4:$A$11</c:f>
              <c:strCache>
                <c:ptCount val="7"/>
                <c:pt idx="0">
                  <c:v>18 years</c:v>
                </c:pt>
                <c:pt idx="1">
                  <c:v>19 years</c:v>
                </c:pt>
                <c:pt idx="2">
                  <c:v>20 years</c:v>
                </c:pt>
                <c:pt idx="3">
                  <c:v>21 years</c:v>
                </c:pt>
                <c:pt idx="4">
                  <c:v>22 years</c:v>
                </c:pt>
                <c:pt idx="5">
                  <c:v>23 years</c:v>
                </c:pt>
                <c:pt idx="6">
                  <c:v>24 years</c:v>
                </c:pt>
              </c:strCache>
            </c:strRef>
          </c:cat>
          <c:val>
            <c:numRef>
              <c:f>'Agility and nutrition analysis'!$B$4:$B$11</c:f>
              <c:numCache>
                <c:formatCode>0.00</c:formatCode>
                <c:ptCount val="7"/>
                <c:pt idx="0">
                  <c:v>77.795255581926767</c:v>
                </c:pt>
                <c:pt idx="1">
                  <c:v>78.670816110664148</c:v>
                </c:pt>
                <c:pt idx="2">
                  <c:v>79.994663549407463</c:v>
                </c:pt>
                <c:pt idx="3">
                  <c:v>77.643622713553995</c:v>
                </c:pt>
                <c:pt idx="4">
                  <c:v>77.037739208352605</c:v>
                </c:pt>
                <c:pt idx="5">
                  <c:v>79.322834106170873</c:v>
                </c:pt>
                <c:pt idx="6">
                  <c:v>78.091036943270993</c:v>
                </c:pt>
              </c:numCache>
            </c:numRef>
          </c:val>
          <c:extLst>
            <c:ext xmlns:c16="http://schemas.microsoft.com/office/drawing/2014/chart" uri="{C3380CC4-5D6E-409C-BE32-E72D297353CC}">
              <c16:uniqueId val="{00000007-9213-4EBC-AB92-7222AAFEC697}"/>
            </c:ext>
          </c:extLst>
        </c:ser>
        <c:ser>
          <c:idx val="1"/>
          <c:order val="1"/>
          <c:tx>
            <c:strRef>
              <c:f>'Agility and nutrition analysis'!$C$3</c:f>
              <c:strCache>
                <c:ptCount val="1"/>
                <c:pt idx="0">
                  <c:v>Average of Nutrition_Quality_Score</c:v>
                </c:pt>
              </c:strCache>
            </c:strRef>
          </c:tx>
          <c:spPr>
            <a:solidFill>
              <a:schemeClr val="accent1">
                <a:lumMod val="60000"/>
                <a:lumOff val="40000"/>
              </a:schemeClr>
            </a:solidFill>
            <a:ln w="25400">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'Agility and nutrition analysis'!$A$4:$A$11</c:f>
              <c:strCache>
                <c:ptCount val="7"/>
                <c:pt idx="0">
                  <c:v>18 years</c:v>
                </c:pt>
                <c:pt idx="1">
                  <c:v>19 years</c:v>
                </c:pt>
                <c:pt idx="2">
                  <c:v>20 years</c:v>
                </c:pt>
                <c:pt idx="3">
                  <c:v>21 years</c:v>
                </c:pt>
                <c:pt idx="4">
                  <c:v>22 years</c:v>
                </c:pt>
                <c:pt idx="5">
                  <c:v>23 years</c:v>
                </c:pt>
                <c:pt idx="6">
                  <c:v>24 years</c:v>
                </c:pt>
              </c:strCache>
            </c:strRef>
          </c:cat>
          <c:val>
            <c:numRef>
              <c:f>'Agility and nutrition analysis'!$C$4:$C$11</c:f>
              <c:numCache>
                <c:formatCode>0.00</c:formatCode>
                <c:ptCount val="7"/>
                <c:pt idx="0">
                  <c:v>73.65146868032005</c:v>
                </c:pt>
                <c:pt idx="1">
                  <c:v>74.967194531366403</c:v>
                </c:pt>
                <c:pt idx="2">
                  <c:v>75.229321471425948</c:v>
                </c:pt>
                <c:pt idx="3">
                  <c:v>74.262310120739315</c:v>
                </c:pt>
                <c:pt idx="4">
                  <c:v>74.279952714288797</c:v>
                </c:pt>
                <c:pt idx="5">
                  <c:v>74.361514017794264</c:v>
                </c:pt>
                <c:pt idx="6">
                  <c:v>73.955102296840266</c:v>
                </c:pt>
              </c:numCache>
            </c:numRef>
          </c:val>
          <c:extLst>
            <c:ext xmlns:c16="http://schemas.microsoft.com/office/drawing/2014/chart" uri="{C3380CC4-5D6E-409C-BE32-E72D297353CC}">
              <c16:uniqueId val="{0000000B-9213-4EBC-AB92-7222AAFEC697}"/>
            </c:ext>
          </c:extLst>
        </c:ser>
        <c:dLbls>
          <c:dLblPos val="outEnd"/>
          <c:showLegendKey val="0"/>
          <c:showVal val="1"/>
          <c:showCatName val="0"/>
          <c:showSerName val="0"/>
          <c:showPercent val="0"/>
          <c:showBubbleSize val="0"/>
        </c:dLbls>
        <c:gapWidth val="20"/>
        <c:axId val="211863936"/>
        <c:axId val="211883616"/>
      </c:barChart>
      <c:catAx>
        <c:axId val="211863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crossAx val="211883616"/>
        <c:crosses val="autoZero"/>
        <c:auto val="1"/>
        <c:lblAlgn val="ctr"/>
        <c:lblOffset val="100"/>
        <c:noMultiLvlLbl val="0"/>
      </c:catAx>
      <c:valAx>
        <c:axId val="211883616"/>
        <c:scaling>
          <c:orientation val="minMax"/>
        </c:scaling>
        <c:delete val="1"/>
        <c:axPos val="l"/>
        <c:numFmt formatCode="0.00" sourceLinked="1"/>
        <c:majorTickMark val="out"/>
        <c:minorTickMark val="none"/>
        <c:tickLblPos val="nextTo"/>
        <c:crossAx val="211863936"/>
        <c:crosses val="autoZero"/>
        <c:crossBetween val="between"/>
      </c:valAx>
      <c:spPr>
        <a:noFill/>
        <a:ln>
          <a:noFill/>
        </a:ln>
        <a:effectLst/>
      </c:spPr>
    </c:plotArea>
    <c:legend>
      <c:legendPos val="b"/>
      <c:layout>
        <c:manualLayout>
          <c:xMode val="edge"/>
          <c:yMode val="edge"/>
          <c:x val="1.7173087075163764E-2"/>
          <c:y val="8.6401111922463095E-2"/>
          <c:w val="0.95600261723658464"/>
          <c:h val="0.1767386648971500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accent1">
                  <a:lumMod val="50000"/>
                </a:schemeClr>
              </a:solidFill>
              <a:latin typeface="Georgia" panose="020405020504050203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dataset.xlsx]Nurtition grade!PivotTable1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1">
                    <a:lumMod val="50000"/>
                  </a:schemeClr>
                </a:solidFill>
                <a:latin typeface="Georgia" panose="02040502050405020303" pitchFamily="18" charset="0"/>
              </a:rPr>
              <a:t>Performance Of Nutrition Grade By Average Future Injury</a:t>
            </a:r>
            <a:endParaRPr lang="en-NG" sz="1400" b="1">
              <a:solidFill>
                <a:schemeClr val="accent1">
                  <a:lumMod val="50000"/>
                </a:schemeClr>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noFill/>
          </a:ln>
          <a:effectLst/>
        </c:spPr>
        <c:dLbl>
          <c:idx val="0"/>
          <c:layout>
            <c:manualLayout>
              <c:x val="-1.6544272124127504E-16"/>
              <c:y val="-0.231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noFill/>
          </a:ln>
          <a:effectLst/>
        </c:spPr>
        <c:dLbl>
          <c:idx val="0"/>
          <c:layout>
            <c:manualLayout>
              <c:x val="-4.5121263395375075E-3"/>
              <c:y val="-0.402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noFill/>
          </a:ln>
          <a:effectLst/>
        </c:spPr>
        <c:dLbl>
          <c:idx val="0"/>
          <c:layout>
            <c:manualLayout>
              <c:x val="0"/>
              <c:y val="-0.3703703703703703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noFill/>
          </a:ln>
          <a:effectLst/>
        </c:spPr>
        <c:dLbl>
          <c:idx val="0"/>
          <c:layout>
            <c:manualLayout>
              <c:x val="0"/>
              <c:y val="-0.4120370370370370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noFill/>
          </a:ln>
          <a:effectLst/>
        </c:spPr>
        <c:dLbl>
          <c:idx val="0"/>
          <c:layout>
            <c:manualLayout>
              <c:x val="-6.768189509306302E-3"/>
              <c:y val="-0.3425925925925926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noFill/>
          </a:ln>
          <a:effectLst/>
        </c:spPr>
        <c:dLbl>
          <c:idx val="0"/>
          <c:layout>
            <c:manualLayout>
              <c:x val="-1.1280315848843767E-2"/>
              <c:y val="-0.3055555555555555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noFill/>
          </a:ln>
          <a:effectLst/>
        </c:spPr>
        <c:dLbl>
          <c:idx val="0"/>
          <c:layout>
            <c:manualLayout>
              <c:x val="2.2560631697687537E-3"/>
              <c:y val="-0.277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dLbl>
          <c:idx val="0"/>
          <c:layout>
            <c:manualLayout>
              <c:x val="2.2560631697687537E-3"/>
              <c:y val="-0.277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dLbl>
          <c:idx val="0"/>
          <c:layout>
            <c:manualLayout>
              <c:x val="-1.1280315848843767E-2"/>
              <c:y val="-0.3055555555555555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dLbl>
          <c:idx val="0"/>
          <c:layout>
            <c:manualLayout>
              <c:x val="-6.768189509306302E-3"/>
              <c:y val="-0.3425925925925926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dLbl>
          <c:idx val="0"/>
          <c:layout>
            <c:manualLayout>
              <c:x val="0"/>
              <c:y val="-0.4120370370370370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dLbl>
          <c:idx val="0"/>
          <c:layout>
            <c:manualLayout>
              <c:x val="0"/>
              <c:y val="-0.3703703703703703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dLbl>
          <c:idx val="0"/>
          <c:layout>
            <c:manualLayout>
              <c:x val="-4.5121263395375075E-3"/>
              <c:y val="-0.402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dLbl>
          <c:idx val="0"/>
          <c:layout>
            <c:manualLayout>
              <c:x val="-1.6544272124127504E-16"/>
              <c:y val="-0.231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75000"/>
            </a:schemeClr>
          </a:solidFill>
          <a:ln w="19050">
            <a:noFill/>
          </a:ln>
          <a:effectLst/>
        </c:spPr>
      </c:pivotFmt>
      <c:pivotFmt>
        <c:idx val="35"/>
        <c:spPr>
          <a:solidFill>
            <a:schemeClr val="accent1">
              <a:lumMod val="60000"/>
              <a:lumOff val="40000"/>
            </a:schemeClr>
          </a:solidFill>
          <a:ln w="19050">
            <a:no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lumMod val="50000"/>
            </a:schemeClr>
          </a:solidFill>
          <a:ln w="19050">
            <a:solidFill>
              <a:schemeClr val="lt1"/>
            </a:solidFill>
          </a:ln>
          <a:effectLst/>
        </c:spPr>
      </c:pivotFmt>
      <c:pivotFmt>
        <c:idx val="39"/>
        <c:spPr>
          <a:solidFill>
            <a:schemeClr val="accent1">
              <a:lumMod val="75000"/>
            </a:schemeClr>
          </a:solidFill>
          <a:ln w="19050">
            <a:solidFill>
              <a:schemeClr val="lt1"/>
            </a:solidFill>
          </a:ln>
          <a:effectLst/>
        </c:spPr>
      </c:pivotFmt>
      <c:pivotFmt>
        <c:idx val="40"/>
        <c:spPr>
          <a:solidFill>
            <a:schemeClr val="accent1">
              <a:lumMod val="60000"/>
              <a:lumOff val="40000"/>
            </a:schemeClr>
          </a:solidFill>
          <a:ln w="19050">
            <a:solidFill>
              <a:schemeClr val="lt1"/>
            </a:solidFill>
          </a:ln>
          <a:effectLst/>
        </c:spPr>
      </c:pivotFmt>
    </c:pivotFmts>
    <c:plotArea>
      <c:layout>
        <c:manualLayout>
          <c:layoutTarget val="inner"/>
          <c:xMode val="edge"/>
          <c:yMode val="edge"/>
          <c:x val="0.21092710826026947"/>
          <c:y val="0.1388888888888889"/>
          <c:w val="0.76654493219873365"/>
          <c:h val="0.81889690871974341"/>
        </c:manualLayout>
      </c:layout>
      <c:barChart>
        <c:barDir val="bar"/>
        <c:grouping val="clustered"/>
        <c:varyColors val="0"/>
        <c:ser>
          <c:idx val="0"/>
          <c:order val="0"/>
          <c:tx>
            <c:strRef>
              <c:f>'Nurtition grade'!$B$3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5-BC06-47A2-B4E9-B303F24B8519}"/>
              </c:ext>
            </c:extLst>
          </c:dPt>
          <c:dPt>
            <c:idx val="1"/>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0-BC06-47A2-B4E9-B303F24B8519}"/>
              </c:ext>
            </c:extLst>
          </c:dPt>
          <c:dPt>
            <c:idx val="2"/>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BC06-47A2-B4E9-B303F24B8519}"/>
              </c:ext>
            </c:extLst>
          </c:dPt>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'Nurtition grade'!$A$4:$A$7</c:f>
              <c:strCache>
                <c:ptCount val="3"/>
                <c:pt idx="0">
                  <c:v>Poor Nutrition</c:v>
                </c:pt>
                <c:pt idx="1">
                  <c:v>Average Nutrition</c:v>
                </c:pt>
                <c:pt idx="2">
                  <c:v>Good Nutrition</c:v>
                </c:pt>
              </c:strCache>
            </c:strRef>
          </c:cat>
          <c:val>
            <c:numRef>
              <c:f>'Nurtition grade'!$B$4:$B$7</c:f>
              <c:numCache>
                <c:formatCode>0.00</c:formatCode>
                <c:ptCount val="3"/>
                <c:pt idx="0">
                  <c:v>0.7441860465116279</c:v>
                </c:pt>
                <c:pt idx="1">
                  <c:v>0.59668508287292821</c:v>
                </c:pt>
                <c:pt idx="2">
                  <c:v>0.20560747663551401</c:v>
                </c:pt>
              </c:numCache>
            </c:numRef>
          </c:val>
          <c:extLst>
            <c:ext xmlns:c16="http://schemas.microsoft.com/office/drawing/2014/chart" uri="{C3380CC4-5D6E-409C-BE32-E72D297353CC}">
              <c16:uniqueId val="{00000003-7F9A-4B3D-881E-BAB1979C7068}"/>
            </c:ext>
          </c:extLst>
        </c:ser>
        <c:dLbls>
          <c:dLblPos val="outEnd"/>
          <c:showLegendKey val="0"/>
          <c:showVal val="1"/>
          <c:showCatName val="0"/>
          <c:showSerName val="0"/>
          <c:showPercent val="0"/>
          <c:showBubbleSize val="0"/>
        </c:dLbls>
        <c:gapWidth val="20"/>
        <c:axId val="211863936"/>
        <c:axId val="211883616"/>
      </c:barChart>
      <c:catAx>
        <c:axId val="21186393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crossAx val="211883616"/>
        <c:crosses val="autoZero"/>
        <c:auto val="1"/>
        <c:lblAlgn val="ctr"/>
        <c:lblOffset val="100"/>
        <c:noMultiLvlLbl val="0"/>
      </c:catAx>
      <c:valAx>
        <c:axId val="211883616"/>
        <c:scaling>
          <c:orientation val="minMax"/>
        </c:scaling>
        <c:delete val="1"/>
        <c:axPos val="t"/>
        <c:numFmt formatCode="0.00" sourceLinked="1"/>
        <c:majorTickMark val="out"/>
        <c:minorTickMark val="none"/>
        <c:tickLblPos val="nextTo"/>
        <c:crossAx val="21186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dataset.xlsx]matches analysis!PivotTable1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1">
                    <a:lumMod val="50000"/>
                  </a:schemeClr>
                </a:solidFill>
                <a:latin typeface="Georgia" panose="02040502050405020303" pitchFamily="18" charset="0"/>
              </a:rPr>
              <a:t>Weekly Training Hours By Total Matches Played</a:t>
            </a:r>
            <a:endParaRPr lang="en-NG" sz="1400" b="1">
              <a:solidFill>
                <a:schemeClr val="accent1">
                  <a:lumMod val="50000"/>
                </a:schemeClr>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noFill/>
          </a:ln>
          <a:effectLst/>
        </c:spPr>
        <c:dLbl>
          <c:idx val="0"/>
          <c:layout>
            <c:manualLayout>
              <c:x val="-1.6544272124127504E-16"/>
              <c:y val="-0.231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noFill/>
          </a:ln>
          <a:effectLst/>
        </c:spPr>
        <c:dLbl>
          <c:idx val="0"/>
          <c:layout>
            <c:manualLayout>
              <c:x val="-4.5121263395375075E-3"/>
              <c:y val="-0.402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noFill/>
          </a:ln>
          <a:effectLst/>
        </c:spPr>
        <c:dLbl>
          <c:idx val="0"/>
          <c:layout>
            <c:manualLayout>
              <c:x val="0"/>
              <c:y val="-0.3703703703703703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noFill/>
          </a:ln>
          <a:effectLst/>
        </c:spPr>
        <c:dLbl>
          <c:idx val="0"/>
          <c:layout>
            <c:manualLayout>
              <c:x val="0"/>
              <c:y val="-0.4120370370370370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noFill/>
          </a:ln>
          <a:effectLst/>
        </c:spPr>
        <c:dLbl>
          <c:idx val="0"/>
          <c:layout>
            <c:manualLayout>
              <c:x val="-6.768189509306302E-3"/>
              <c:y val="-0.3425925925925926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noFill/>
          </a:ln>
          <a:effectLst/>
        </c:spPr>
        <c:dLbl>
          <c:idx val="0"/>
          <c:layout>
            <c:manualLayout>
              <c:x val="-1.1280315848843767E-2"/>
              <c:y val="-0.3055555555555555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noFill/>
          </a:ln>
          <a:effectLst/>
        </c:spPr>
        <c:dLbl>
          <c:idx val="0"/>
          <c:layout>
            <c:manualLayout>
              <c:x val="2.2560631697687537E-3"/>
              <c:y val="-0.277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dLbl>
          <c:idx val="0"/>
          <c:layout>
            <c:manualLayout>
              <c:x val="2.2560631697687537E-3"/>
              <c:y val="-0.277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dLbl>
          <c:idx val="0"/>
          <c:layout>
            <c:manualLayout>
              <c:x val="-1.1280315848843767E-2"/>
              <c:y val="-0.3055555555555555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dLbl>
          <c:idx val="0"/>
          <c:layout>
            <c:manualLayout>
              <c:x val="-6.768189509306302E-3"/>
              <c:y val="-0.3425925925925926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dLbl>
          <c:idx val="0"/>
          <c:layout>
            <c:manualLayout>
              <c:x val="0"/>
              <c:y val="-0.4120370370370370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dLbl>
          <c:idx val="0"/>
          <c:layout>
            <c:manualLayout>
              <c:x val="0"/>
              <c:y val="-0.3703703703703703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dLbl>
          <c:idx val="0"/>
          <c:layout>
            <c:manualLayout>
              <c:x val="-4.5121263395375075E-3"/>
              <c:y val="-0.402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dLbl>
          <c:idx val="0"/>
          <c:layout>
            <c:manualLayout>
              <c:x val="-1.6544272124127504E-16"/>
              <c:y val="-0.231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lumMod val="50000"/>
            </a:schemeClr>
          </a:solidFill>
          <a:ln w="19050">
            <a:noFill/>
          </a:ln>
          <a:effectLst/>
        </c:spPr>
      </c:pivotFmt>
      <c:pivotFmt>
        <c:idx val="37"/>
        <c:spPr>
          <a:solidFill>
            <a:schemeClr val="accent1">
              <a:lumMod val="75000"/>
            </a:schemeClr>
          </a:solidFill>
          <a:ln w="19050">
            <a:noFill/>
          </a:ln>
          <a:effectLst/>
        </c:spPr>
      </c:pivotFmt>
      <c:pivotFmt>
        <c:idx val="38"/>
        <c:spPr>
          <a:solidFill>
            <a:schemeClr val="accent1">
              <a:lumMod val="60000"/>
              <a:lumOff val="40000"/>
            </a:schemeClr>
          </a:solidFill>
          <a:ln w="19050">
            <a:noFill/>
          </a:ln>
          <a:effectLst/>
        </c:spPr>
      </c:pivotFmt>
      <c:pivotFmt>
        <c:idx val="39"/>
        <c:spPr>
          <a:solidFill>
            <a:schemeClr val="accent1">
              <a:lumMod val="40000"/>
              <a:lumOff val="60000"/>
            </a:schemeClr>
          </a:solidFill>
          <a:ln w="19050">
            <a:noFill/>
          </a:ln>
          <a:effectLst/>
        </c:spPr>
      </c:pivotFmt>
      <c:pivotFmt>
        <c:idx val="40"/>
        <c:spPr>
          <a:solidFill>
            <a:schemeClr val="accent1">
              <a:lumMod val="20000"/>
              <a:lumOff val="80000"/>
            </a:schemeClr>
          </a:solidFill>
          <a:ln w="19050">
            <a:noFill/>
          </a:ln>
          <a:effectLst/>
        </c:spPr>
      </c:pivotFmt>
    </c:pivotFmts>
    <c:plotArea>
      <c:layout>
        <c:manualLayout>
          <c:layoutTarget val="inner"/>
          <c:xMode val="edge"/>
          <c:yMode val="edge"/>
          <c:x val="0.10166146809445287"/>
          <c:y val="0.18055555555555552"/>
          <c:w val="0.89833853522134488"/>
          <c:h val="0.79111913094196562"/>
        </c:manualLayout>
      </c:layout>
      <c:barChart>
        <c:barDir val="bar"/>
        <c:grouping val="clustered"/>
        <c:varyColors val="0"/>
        <c:ser>
          <c:idx val="0"/>
          <c:order val="0"/>
          <c:tx>
            <c:strRef>
              <c:f>'matches analysis'!$B$3</c:f>
              <c:strCache>
                <c:ptCount val="1"/>
                <c:pt idx="0">
                  <c:v>Total</c:v>
                </c:pt>
              </c:strCache>
            </c:strRef>
          </c:tx>
          <c:spPr>
            <a:solidFill>
              <a:schemeClr val="accent1"/>
            </a:solidFill>
            <a:ln w="19050">
              <a:noFill/>
            </a:ln>
            <a:effectLst/>
          </c:spPr>
          <c:invertIfNegative val="0"/>
          <c:dPt>
            <c:idx val="0"/>
            <c:invertIfNegative val="0"/>
            <c:bubble3D val="0"/>
            <c:spPr>
              <a:solidFill>
                <a:schemeClr val="accent1">
                  <a:lumMod val="50000"/>
                </a:schemeClr>
              </a:solidFill>
              <a:ln w="19050">
                <a:noFill/>
              </a:ln>
              <a:effectLst/>
            </c:spPr>
            <c:extLst>
              <c:ext xmlns:c16="http://schemas.microsoft.com/office/drawing/2014/chart" uri="{C3380CC4-5D6E-409C-BE32-E72D297353CC}">
                <c16:uniqueId val="{00000006-60F0-4385-BB72-8C44E3505185}"/>
              </c:ext>
            </c:extLst>
          </c:dPt>
          <c:dPt>
            <c:idx val="1"/>
            <c:invertIfNegative val="0"/>
            <c:bubble3D val="0"/>
            <c:spPr>
              <a:solidFill>
                <a:schemeClr val="accent1">
                  <a:lumMod val="75000"/>
                </a:schemeClr>
              </a:solidFill>
              <a:ln w="19050">
                <a:noFill/>
              </a:ln>
              <a:effectLst/>
            </c:spPr>
            <c:extLst>
              <c:ext xmlns:c16="http://schemas.microsoft.com/office/drawing/2014/chart" uri="{C3380CC4-5D6E-409C-BE32-E72D297353CC}">
                <c16:uniqueId val="{00000007-60F0-4385-BB72-8C44E3505185}"/>
              </c:ext>
            </c:extLst>
          </c:dPt>
          <c:dPt>
            <c:idx val="2"/>
            <c:invertIfNegative val="0"/>
            <c:bubble3D val="0"/>
            <c:spPr>
              <a:solidFill>
                <a:schemeClr val="accent1">
                  <a:lumMod val="60000"/>
                  <a:lumOff val="40000"/>
                </a:schemeClr>
              </a:solidFill>
              <a:ln w="19050">
                <a:noFill/>
              </a:ln>
              <a:effectLst/>
            </c:spPr>
            <c:extLst>
              <c:ext xmlns:c16="http://schemas.microsoft.com/office/drawing/2014/chart" uri="{C3380CC4-5D6E-409C-BE32-E72D297353CC}">
                <c16:uniqueId val="{00000008-60F0-4385-BB72-8C44E3505185}"/>
              </c:ext>
            </c:extLst>
          </c:dPt>
          <c:dPt>
            <c:idx val="3"/>
            <c:invertIfNegative val="0"/>
            <c:bubble3D val="0"/>
            <c:spPr>
              <a:solidFill>
                <a:schemeClr val="accent1">
                  <a:lumMod val="40000"/>
                  <a:lumOff val="60000"/>
                </a:schemeClr>
              </a:solidFill>
              <a:ln w="19050">
                <a:noFill/>
              </a:ln>
              <a:effectLst/>
            </c:spPr>
            <c:extLst>
              <c:ext xmlns:c16="http://schemas.microsoft.com/office/drawing/2014/chart" uri="{C3380CC4-5D6E-409C-BE32-E72D297353CC}">
                <c16:uniqueId val="{00000009-60F0-4385-BB72-8C44E3505185}"/>
              </c:ext>
            </c:extLst>
          </c:dPt>
          <c:dPt>
            <c:idx val="4"/>
            <c:invertIfNegative val="0"/>
            <c:bubble3D val="0"/>
            <c:spPr>
              <a:solidFill>
                <a:schemeClr val="accent1">
                  <a:lumMod val="20000"/>
                  <a:lumOff val="80000"/>
                </a:schemeClr>
              </a:solidFill>
              <a:ln w="19050">
                <a:noFill/>
              </a:ln>
              <a:effectLst/>
            </c:spPr>
            <c:extLst>
              <c:ext xmlns:c16="http://schemas.microsoft.com/office/drawing/2014/chart" uri="{C3380CC4-5D6E-409C-BE32-E72D297353CC}">
                <c16:uniqueId val="{0000000A-60F0-4385-BB72-8C44E3505185}"/>
              </c:ext>
            </c:extLst>
          </c:dPt>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analysis'!$A$4:$A$9</c:f>
              <c:strCache>
                <c:ptCount val="5"/>
                <c:pt idx="0">
                  <c:v>10-11</c:v>
                </c:pt>
                <c:pt idx="1">
                  <c:v>9-10</c:v>
                </c:pt>
                <c:pt idx="2">
                  <c:v>11-12</c:v>
                </c:pt>
                <c:pt idx="3">
                  <c:v>8-9</c:v>
                </c:pt>
                <c:pt idx="4">
                  <c:v>7-8</c:v>
                </c:pt>
              </c:strCache>
            </c:strRef>
          </c:cat>
          <c:val>
            <c:numRef>
              <c:f>'matches analysis'!$B$4:$B$9</c:f>
              <c:numCache>
                <c:formatCode>General</c:formatCode>
                <c:ptCount val="5"/>
                <c:pt idx="0">
                  <c:v>127</c:v>
                </c:pt>
                <c:pt idx="1">
                  <c:v>118</c:v>
                </c:pt>
                <c:pt idx="2">
                  <c:v>105</c:v>
                </c:pt>
                <c:pt idx="3">
                  <c:v>104</c:v>
                </c:pt>
                <c:pt idx="4">
                  <c:v>84</c:v>
                </c:pt>
              </c:numCache>
            </c:numRef>
          </c:val>
          <c:extLst>
            <c:ext xmlns:c16="http://schemas.microsoft.com/office/drawing/2014/chart" uri="{C3380CC4-5D6E-409C-BE32-E72D297353CC}">
              <c16:uniqueId val="{00000001-46A2-405E-B7A8-E4EB19657A8F}"/>
            </c:ext>
          </c:extLst>
        </c:ser>
        <c:dLbls>
          <c:dLblPos val="outEnd"/>
          <c:showLegendKey val="0"/>
          <c:showVal val="1"/>
          <c:showCatName val="0"/>
          <c:showSerName val="0"/>
          <c:showPercent val="0"/>
          <c:showBubbleSize val="0"/>
        </c:dLbls>
        <c:gapWidth val="20"/>
        <c:axId val="211863936"/>
        <c:axId val="211883616"/>
      </c:barChart>
      <c:catAx>
        <c:axId val="21186393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crossAx val="211883616"/>
        <c:crosses val="autoZero"/>
        <c:auto val="1"/>
        <c:lblAlgn val="ctr"/>
        <c:lblOffset val="100"/>
        <c:noMultiLvlLbl val="0"/>
      </c:catAx>
      <c:valAx>
        <c:axId val="211883616"/>
        <c:scaling>
          <c:orientation val="minMax"/>
        </c:scaling>
        <c:delete val="1"/>
        <c:axPos val="t"/>
        <c:numFmt formatCode="General" sourceLinked="1"/>
        <c:majorTickMark val="out"/>
        <c:minorTickMark val="none"/>
        <c:tickLblPos val="nextTo"/>
        <c:crossAx val="21186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dataset.xlsx]Position analysis!PivotTable1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1">
                    <a:lumMod val="50000"/>
                  </a:schemeClr>
                </a:solidFill>
                <a:latin typeface="Georgia" panose="02040502050405020303" pitchFamily="18" charset="0"/>
              </a:rPr>
              <a:t>Position</a:t>
            </a:r>
            <a:r>
              <a:rPr lang="en-US" sz="1400" b="1" baseline="0">
                <a:solidFill>
                  <a:schemeClr val="accent1">
                    <a:lumMod val="50000"/>
                  </a:schemeClr>
                </a:solidFill>
                <a:latin typeface="Georgia" panose="02040502050405020303" pitchFamily="18" charset="0"/>
              </a:rPr>
              <a:t> </a:t>
            </a:r>
            <a:r>
              <a:rPr lang="en-US" sz="1400" b="1">
                <a:solidFill>
                  <a:schemeClr val="accent1">
                    <a:lumMod val="50000"/>
                  </a:schemeClr>
                </a:solidFill>
                <a:latin typeface="Georgia" panose="02040502050405020303" pitchFamily="18" charset="0"/>
              </a:rPr>
              <a:t>Distribution</a:t>
            </a:r>
            <a:endParaRPr lang="en-NG" sz="1400" b="1">
              <a:solidFill>
                <a:schemeClr val="accent1">
                  <a:lumMod val="50000"/>
                </a:schemeClr>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6544272124127504E-16"/>
              <c:y val="-0.23148148148148148"/>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4.5121263395375075E-3"/>
              <c:y val="-0.40277777777777779"/>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
              <c:y val="-0.37037037037037035"/>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
              <c:y val="-0.41203703703703703"/>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6.768189509306302E-3"/>
              <c:y val="-0.34259259259259262"/>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1.1280315848843767E-2"/>
              <c:y val="-0.30555555555555558"/>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2.2560631697687537E-3"/>
              <c:y val="-0.27777777777777779"/>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2.2560631697687537E-3"/>
              <c:y val="-0.27777777777777779"/>
            </c:manualLayout>
          </c:layout>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1.1280315848843767E-2"/>
              <c:y val="-0.30555555555555558"/>
            </c:manualLayout>
          </c:layout>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6.768189509306302E-3"/>
              <c:y val="-0.34259259259259262"/>
            </c:manualLayout>
          </c:layout>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
              <c:y val="-0.41203703703703703"/>
            </c:manualLayout>
          </c:layout>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0"/>
              <c:y val="-0.37037037037037035"/>
            </c:manualLayout>
          </c:layout>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4.5121263395375075E-3"/>
              <c:y val="-0.40277777777777779"/>
            </c:manualLayout>
          </c:layout>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1.6544272124127504E-16"/>
              <c:y val="-0.23148148148148148"/>
            </c:manualLayout>
          </c:layout>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dLbl>
          <c:idx val="0"/>
          <c:showLegendKey val="0"/>
          <c:showVal val="1"/>
          <c:showCatName val="0"/>
          <c:showSerName val="0"/>
          <c:showPercent val="0"/>
          <c:showBubbleSize val="0"/>
          <c:extLst>
            <c:ext xmlns:c15="http://schemas.microsoft.com/office/drawing/2012/chart" uri="{CE6537A1-D6FC-4f65-9D91-7224C49458BB}"/>
          </c:extLst>
        </c:dLbl>
      </c:pivotFmt>
      <c:pivotFmt>
        <c:idx val="30"/>
        <c:dLbl>
          <c:idx val="0"/>
          <c:showLegendKey val="0"/>
          <c:showVal val="1"/>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ln w="44450" cap="rnd">
            <a:solidFill>
              <a:schemeClr val="accent1">
                <a:lumMod val="50000"/>
              </a:schemeClr>
            </a:solidFill>
            <a:round/>
          </a:ln>
          <a:effectLst/>
        </c:spPr>
        <c:marker>
          <c:symbol val="diamond"/>
          <c:size val="8"/>
          <c:spPr>
            <a:solidFill>
              <a:schemeClr val="bg1"/>
            </a:solidFill>
            <a:ln w="12700">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6"/>
        <c:spPr>
          <a:ln w="44450" cap="rnd">
            <a:solidFill>
              <a:schemeClr val="accent1">
                <a:lumMod val="50000"/>
              </a:schemeClr>
            </a:solidFill>
            <a:round/>
          </a:ln>
          <a:effectLst/>
        </c:spPr>
        <c:marker>
          <c:symbol val="diamond"/>
          <c:size val="8"/>
          <c:spPr>
            <a:solidFill>
              <a:schemeClr val="bg1"/>
            </a:solidFill>
            <a:ln w="12700">
              <a:solidFill>
                <a:schemeClr val="accent1">
                  <a:lumMod val="50000"/>
                </a:schemeClr>
              </a:solidFill>
            </a:ln>
            <a:effectLst/>
          </c:spPr>
        </c:marker>
        <c:dLbl>
          <c:idx val="0"/>
          <c:layout>
            <c:manualLayout>
              <c:x val="1.4886492254804235E-3"/>
              <c:y val="-0.125"/>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7"/>
        <c:spPr>
          <a:ln w="44450" cap="rnd">
            <a:solidFill>
              <a:schemeClr val="accent1">
                <a:lumMod val="50000"/>
              </a:schemeClr>
            </a:solidFill>
            <a:round/>
          </a:ln>
          <a:effectLst/>
        </c:spPr>
        <c:marker>
          <c:symbol val="diamond"/>
          <c:size val="8"/>
          <c:spPr>
            <a:solidFill>
              <a:schemeClr val="bg1"/>
            </a:solidFill>
            <a:ln w="12700">
              <a:solidFill>
                <a:schemeClr val="accent1">
                  <a:lumMod val="50000"/>
                </a:schemeClr>
              </a:solidFill>
            </a:ln>
            <a:effectLst/>
          </c:spPr>
        </c:marker>
        <c:dLbl>
          <c:idx val="0"/>
          <c:layout>
            <c:manualLayout>
              <c:x val="-3.8704879862491007E-2"/>
              <c:y val="-0.14814814814814814"/>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8"/>
        <c:spPr>
          <a:ln w="44450" cap="rnd">
            <a:solidFill>
              <a:schemeClr val="accent1">
                <a:lumMod val="50000"/>
              </a:schemeClr>
            </a:solidFill>
            <a:round/>
          </a:ln>
          <a:effectLst/>
        </c:spPr>
        <c:marker>
          <c:symbol val="diamond"/>
          <c:size val="8"/>
          <c:spPr>
            <a:solidFill>
              <a:schemeClr val="bg1"/>
            </a:solidFill>
            <a:ln w="12700">
              <a:solidFill>
                <a:schemeClr val="accent1">
                  <a:lumMod val="50000"/>
                </a:schemeClr>
              </a:solidFill>
            </a:ln>
            <a:effectLst/>
          </c:spPr>
        </c:marker>
        <c:dLbl>
          <c:idx val="0"/>
          <c:layout>
            <c:manualLayout>
              <c:x val="5.3591372117295241E-2"/>
              <c:y val="-2.3148148148148157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9"/>
        <c:spPr>
          <a:ln w="44450" cap="rnd">
            <a:solidFill>
              <a:schemeClr val="accent1">
                <a:lumMod val="50000"/>
              </a:schemeClr>
            </a:solidFill>
            <a:round/>
          </a:ln>
          <a:effectLst/>
        </c:spPr>
        <c:marker>
          <c:symbol val="diamond"/>
          <c:size val="8"/>
          <c:spPr>
            <a:solidFill>
              <a:schemeClr val="bg1"/>
            </a:solidFill>
            <a:ln w="12700">
              <a:solidFill>
                <a:schemeClr val="accent1">
                  <a:lumMod val="50000"/>
                </a:schemeClr>
              </a:solidFill>
            </a:ln>
            <a:effectLst/>
          </c:spPr>
        </c:marker>
        <c:dLbl>
          <c:idx val="0"/>
          <c:layout>
            <c:manualLayout>
              <c:x val="-0.12767514349587822"/>
              <c:y val="5.5555555555555469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608570943494973"/>
          <c:y val="0.18548993875765535"/>
          <c:w val="0.41365276963709841"/>
          <c:h val="0.69899642752989211"/>
        </c:manualLayout>
      </c:layout>
      <c:radarChart>
        <c:radarStyle val="marker"/>
        <c:varyColors val="0"/>
        <c:ser>
          <c:idx val="0"/>
          <c:order val="0"/>
          <c:tx>
            <c:strRef>
              <c:f>'Position analysis'!$B$3</c:f>
              <c:strCache>
                <c:ptCount val="1"/>
                <c:pt idx="0">
                  <c:v>Total</c:v>
                </c:pt>
              </c:strCache>
            </c:strRef>
          </c:tx>
          <c:spPr>
            <a:ln w="44450" cap="rnd">
              <a:solidFill>
                <a:schemeClr val="accent1">
                  <a:lumMod val="50000"/>
                </a:schemeClr>
              </a:solidFill>
              <a:round/>
            </a:ln>
            <a:effectLst/>
          </c:spPr>
          <c:marker>
            <c:symbol val="diamond"/>
            <c:size val="8"/>
            <c:spPr>
              <a:solidFill>
                <a:schemeClr val="bg1"/>
              </a:solidFill>
              <a:ln w="12700">
                <a:solidFill>
                  <a:schemeClr val="accent1">
                    <a:lumMod val="50000"/>
                  </a:schemeClr>
                </a:solidFill>
              </a:ln>
              <a:effectLst/>
            </c:spPr>
          </c:marker>
          <c:dPt>
            <c:idx val="0"/>
            <c:marker>
              <c:symbol val="diamond"/>
              <c:size val="8"/>
              <c:spPr>
                <a:solidFill>
                  <a:schemeClr val="bg1"/>
                </a:solidFill>
                <a:ln w="12700">
                  <a:solidFill>
                    <a:schemeClr val="accent1">
                      <a:lumMod val="50000"/>
                    </a:schemeClr>
                  </a:solidFill>
                </a:ln>
                <a:effectLst/>
              </c:spPr>
            </c:marker>
            <c:bubble3D val="0"/>
            <c:spPr>
              <a:ln w="44450" cap="rnd">
                <a:solidFill>
                  <a:schemeClr val="accent1">
                    <a:lumMod val="50000"/>
                  </a:schemeClr>
                </a:solidFill>
                <a:round/>
              </a:ln>
              <a:effectLst/>
            </c:spPr>
            <c:extLst>
              <c:ext xmlns:c16="http://schemas.microsoft.com/office/drawing/2014/chart" uri="{C3380CC4-5D6E-409C-BE32-E72D297353CC}">
                <c16:uniqueId val="{00000002-1C74-4CE2-9088-C85B41C30263}"/>
              </c:ext>
            </c:extLst>
          </c:dPt>
          <c:dPt>
            <c:idx val="1"/>
            <c:marker>
              <c:symbol val="diamond"/>
              <c:size val="8"/>
              <c:spPr>
                <a:solidFill>
                  <a:schemeClr val="bg1"/>
                </a:solidFill>
                <a:ln w="12700">
                  <a:solidFill>
                    <a:schemeClr val="accent1">
                      <a:lumMod val="50000"/>
                    </a:schemeClr>
                  </a:solidFill>
                </a:ln>
                <a:effectLst/>
              </c:spPr>
            </c:marker>
            <c:bubble3D val="0"/>
            <c:spPr>
              <a:ln w="44450" cap="rnd">
                <a:solidFill>
                  <a:schemeClr val="accent1">
                    <a:lumMod val="50000"/>
                  </a:schemeClr>
                </a:solidFill>
                <a:round/>
              </a:ln>
              <a:effectLst/>
            </c:spPr>
            <c:extLst>
              <c:ext xmlns:c16="http://schemas.microsoft.com/office/drawing/2014/chart" uri="{C3380CC4-5D6E-409C-BE32-E72D297353CC}">
                <c16:uniqueId val="{00000001-1C74-4CE2-9088-C85B41C30263}"/>
              </c:ext>
            </c:extLst>
          </c:dPt>
          <c:dPt>
            <c:idx val="2"/>
            <c:marker>
              <c:symbol val="diamond"/>
              <c:size val="8"/>
              <c:spPr>
                <a:solidFill>
                  <a:schemeClr val="bg1"/>
                </a:solidFill>
                <a:ln w="12700">
                  <a:solidFill>
                    <a:schemeClr val="accent1">
                      <a:lumMod val="50000"/>
                    </a:schemeClr>
                  </a:solidFill>
                </a:ln>
                <a:effectLst/>
              </c:spPr>
            </c:marker>
            <c:bubble3D val="0"/>
            <c:spPr>
              <a:ln w="44450" cap="rnd">
                <a:solidFill>
                  <a:schemeClr val="accent1">
                    <a:lumMod val="50000"/>
                  </a:schemeClr>
                </a:solidFill>
                <a:round/>
              </a:ln>
              <a:effectLst/>
            </c:spPr>
            <c:extLst>
              <c:ext xmlns:c16="http://schemas.microsoft.com/office/drawing/2014/chart" uri="{C3380CC4-5D6E-409C-BE32-E72D297353CC}">
                <c16:uniqueId val="{00000003-1C74-4CE2-9088-C85B41C30263}"/>
              </c:ext>
            </c:extLst>
          </c:dPt>
          <c:dPt>
            <c:idx val="3"/>
            <c:marker>
              <c:symbol val="diamond"/>
              <c:size val="8"/>
              <c:spPr>
                <a:solidFill>
                  <a:schemeClr val="bg1"/>
                </a:solidFill>
                <a:ln w="12700">
                  <a:solidFill>
                    <a:schemeClr val="accent1">
                      <a:lumMod val="50000"/>
                    </a:schemeClr>
                  </a:solidFill>
                </a:ln>
                <a:effectLst/>
              </c:spPr>
            </c:marker>
            <c:bubble3D val="0"/>
            <c:spPr>
              <a:ln w="44450" cap="rnd">
                <a:solidFill>
                  <a:schemeClr val="accent1">
                    <a:lumMod val="50000"/>
                  </a:schemeClr>
                </a:solidFill>
                <a:round/>
              </a:ln>
              <a:effectLst/>
            </c:spPr>
            <c:extLst>
              <c:ext xmlns:c16="http://schemas.microsoft.com/office/drawing/2014/chart" uri="{C3380CC4-5D6E-409C-BE32-E72D297353CC}">
                <c16:uniqueId val="{00000000-1C74-4CE2-9088-C85B41C30263}"/>
              </c:ext>
            </c:extLst>
          </c:dPt>
          <c:dLbls>
            <c:dLbl>
              <c:idx val="0"/>
              <c:layout>
                <c:manualLayout>
                  <c:x val="5.3591372117295241E-2"/>
                  <c:y val="-2.31481481481481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C74-4CE2-9088-C85B41C30263}"/>
                </c:ext>
              </c:extLst>
            </c:dLbl>
            <c:dLbl>
              <c:idx val="1"/>
              <c:layout>
                <c:manualLayout>
                  <c:x val="-3.8704879862491007E-2"/>
                  <c:y val="-0.1481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C74-4CE2-9088-C85B41C30263}"/>
                </c:ext>
              </c:extLst>
            </c:dLbl>
            <c:dLbl>
              <c:idx val="2"/>
              <c:layout>
                <c:manualLayout>
                  <c:x val="-0.12767514349587822"/>
                  <c:y val="5.55555555555554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C74-4CE2-9088-C85B41C30263}"/>
                </c:ext>
              </c:extLst>
            </c:dLbl>
            <c:dLbl>
              <c:idx val="3"/>
              <c:layout>
                <c:manualLayout>
                  <c:x val="1.4886492254804235E-3"/>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C74-4CE2-9088-C85B41C30263}"/>
                </c:ext>
              </c:extLst>
            </c:dLbl>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accent1">
                          <a:lumMod val="50000"/>
                        </a:schemeClr>
                      </a:solidFill>
                      <a:round/>
                    </a:ln>
                    <a:effectLst/>
                  </c:spPr>
                </c15:leaderLines>
              </c:ext>
            </c:extLst>
          </c:dLbls>
          <c:cat>
            <c:strRef>
              <c:f>'Position analysis'!$A$4:$A$8</c:f>
              <c:strCache>
                <c:ptCount val="4"/>
                <c:pt idx="0">
                  <c:v>Defender</c:v>
                </c:pt>
                <c:pt idx="1">
                  <c:v>Forward</c:v>
                </c:pt>
                <c:pt idx="2">
                  <c:v>Goalkeeper</c:v>
                </c:pt>
                <c:pt idx="3">
                  <c:v>Midfielder</c:v>
                </c:pt>
              </c:strCache>
            </c:strRef>
          </c:cat>
          <c:val>
            <c:numRef>
              <c:f>'Position analysis'!$B$4:$B$8</c:f>
              <c:numCache>
                <c:formatCode>General</c:formatCode>
                <c:ptCount val="4"/>
                <c:pt idx="0">
                  <c:v>204</c:v>
                </c:pt>
                <c:pt idx="1">
                  <c:v>197</c:v>
                </c:pt>
                <c:pt idx="2">
                  <c:v>186</c:v>
                </c:pt>
                <c:pt idx="3">
                  <c:v>213</c:v>
                </c:pt>
              </c:numCache>
            </c:numRef>
          </c:val>
          <c:extLst>
            <c:ext xmlns:c16="http://schemas.microsoft.com/office/drawing/2014/chart" uri="{C3380CC4-5D6E-409C-BE32-E72D297353CC}">
              <c16:uniqueId val="{00000001-A529-432C-8CF7-51A65736F79F}"/>
            </c:ext>
          </c:extLst>
        </c:ser>
        <c:dLbls>
          <c:showLegendKey val="0"/>
          <c:showVal val="1"/>
          <c:showCatName val="0"/>
          <c:showSerName val="0"/>
          <c:showPercent val="0"/>
          <c:showBubbleSize val="0"/>
        </c:dLbls>
        <c:axId val="211863936"/>
        <c:axId val="211883616"/>
      </c:radarChart>
      <c:catAx>
        <c:axId val="21186393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crossAx val="211883616"/>
        <c:crosses val="autoZero"/>
        <c:auto val="1"/>
        <c:lblAlgn val="ctr"/>
        <c:lblOffset val="100"/>
        <c:noMultiLvlLbl val="0"/>
      </c:catAx>
      <c:valAx>
        <c:axId val="211883616"/>
        <c:scaling>
          <c:orientation val="minMax"/>
        </c:scaling>
        <c:delete val="1"/>
        <c:axPos val="l"/>
        <c:majorGridlines>
          <c:spPr>
            <a:ln w="15875" cap="flat" cmpd="sng" algn="ctr">
              <a:solidFill>
                <a:schemeClr val="accent1">
                  <a:lumMod val="20000"/>
                  <a:lumOff val="80000"/>
                </a:schemeClr>
              </a:solidFill>
              <a:round/>
            </a:ln>
            <a:effectLst/>
          </c:spPr>
        </c:majorGridlines>
        <c:numFmt formatCode="General" sourceLinked="1"/>
        <c:majorTickMark val="none"/>
        <c:minorTickMark val="none"/>
        <c:tickLblPos val="nextTo"/>
        <c:crossAx val="21186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[football dataset.xlsx]Stress level analysis!PivotTable1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1">
                    <a:lumMod val="50000"/>
                  </a:schemeClr>
                </a:solidFill>
                <a:latin typeface="Georgia" panose="02040502050405020303" pitchFamily="18" charset="0"/>
              </a:rPr>
              <a:t>Daily Sleep Hours By Average Stress Level Score</a:t>
            </a:r>
            <a:endParaRPr lang="en-NG" sz="1400" b="1">
              <a:solidFill>
                <a:schemeClr val="accent1">
                  <a:lumMod val="50000"/>
                </a:schemeClr>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noFill/>
          </a:ln>
          <a:effectLst/>
        </c:spPr>
        <c:dLbl>
          <c:idx val="0"/>
          <c:layout>
            <c:manualLayout>
              <c:x val="-1.6544272124127504E-16"/>
              <c:y val="-0.231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noFill/>
          </a:ln>
          <a:effectLst/>
        </c:spPr>
        <c:dLbl>
          <c:idx val="0"/>
          <c:layout>
            <c:manualLayout>
              <c:x val="-4.5121263395375075E-3"/>
              <c:y val="-0.402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noFill/>
          </a:ln>
          <a:effectLst/>
        </c:spPr>
        <c:dLbl>
          <c:idx val="0"/>
          <c:layout>
            <c:manualLayout>
              <c:x val="0"/>
              <c:y val="-0.3703703703703703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noFill/>
          </a:ln>
          <a:effectLst/>
        </c:spPr>
        <c:dLbl>
          <c:idx val="0"/>
          <c:layout>
            <c:manualLayout>
              <c:x val="0"/>
              <c:y val="-0.4120370370370370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noFill/>
          </a:ln>
          <a:effectLst/>
        </c:spPr>
        <c:dLbl>
          <c:idx val="0"/>
          <c:layout>
            <c:manualLayout>
              <c:x val="-6.768189509306302E-3"/>
              <c:y val="-0.3425925925925926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noFill/>
          </a:ln>
          <a:effectLst/>
        </c:spPr>
        <c:dLbl>
          <c:idx val="0"/>
          <c:layout>
            <c:manualLayout>
              <c:x val="-1.1280315848843767E-2"/>
              <c:y val="-0.3055555555555555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noFill/>
          </a:ln>
          <a:effectLst/>
        </c:spPr>
        <c:dLbl>
          <c:idx val="0"/>
          <c:layout>
            <c:manualLayout>
              <c:x val="2.2560631697687537E-3"/>
              <c:y val="-0.277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dLbl>
          <c:idx val="0"/>
          <c:layout>
            <c:manualLayout>
              <c:x val="2.2560631697687537E-3"/>
              <c:y val="-0.277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dLbl>
          <c:idx val="0"/>
          <c:layout>
            <c:manualLayout>
              <c:x val="-1.1280315848843767E-2"/>
              <c:y val="-0.3055555555555555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dLbl>
          <c:idx val="0"/>
          <c:layout>
            <c:manualLayout>
              <c:x val="-6.768189509306302E-3"/>
              <c:y val="-0.3425925925925926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dLbl>
          <c:idx val="0"/>
          <c:layout>
            <c:manualLayout>
              <c:x val="0"/>
              <c:y val="-0.4120370370370370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dLbl>
          <c:idx val="0"/>
          <c:layout>
            <c:manualLayout>
              <c:x val="0"/>
              <c:y val="-0.3703703703703703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dLbl>
          <c:idx val="0"/>
          <c:layout>
            <c:manualLayout>
              <c:x val="-4.5121263395375075E-3"/>
              <c:y val="-0.402777777777777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dLbl>
          <c:idx val="0"/>
          <c:layout>
            <c:manualLayout>
              <c:x val="-1.6544272124127504E-16"/>
              <c:y val="-0.231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lumMod val="50000"/>
            </a:schemeClr>
          </a:solidFill>
          <a:ln w="25400">
            <a:no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25400">
            <a:noFill/>
          </a:ln>
          <a:effectLst/>
        </c:spPr>
        <c:dLbl>
          <c:idx val="0"/>
          <c:layout>
            <c:manualLayout>
              <c:x val="4.9633389734912568E-2"/>
              <c:y val="-0.4814814814814815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25400">
            <a:noFill/>
          </a:ln>
          <a:effectLst/>
        </c:spPr>
        <c:dLbl>
          <c:idx val="0"/>
          <c:layout>
            <c:manualLayout>
              <c:x val="4.5121263395375075E-3"/>
              <c:y val="-0.4120370370370371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25400">
            <a:noFill/>
          </a:ln>
          <a:effectLst/>
        </c:spPr>
        <c:dLbl>
          <c:idx val="0"/>
          <c:layout>
            <c:manualLayout>
              <c:x val="1.3536379018612521E-2"/>
              <c:y val="-0.3009259259259259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25400">
            <a:noFill/>
          </a:ln>
          <a:effectLst/>
        </c:spPr>
        <c:dLbl>
          <c:idx val="0"/>
          <c:layout>
            <c:manualLayout>
              <c:x val="-8.2721360620637518E-17"/>
              <c:y val="-0.268518518518518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25400">
            <a:noFill/>
          </a:ln>
          <a:effectLst/>
        </c:spPr>
        <c:dLbl>
          <c:idx val="0"/>
          <c:layout>
            <c:manualLayout>
              <c:x val="2.2560631697687537E-3"/>
              <c:y val="-0.2916666666666666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lumMod val="50000"/>
            </a:schemeClr>
          </a:solidFill>
          <a:ln w="25400">
            <a:noFill/>
          </a:ln>
          <a:effectLst/>
        </c:spPr>
        <c:dLbl>
          <c:idx val="0"/>
          <c:layout>
            <c:manualLayout>
              <c:x val="6.7681895093062603E-3"/>
              <c:y val="-0.43518518518518529"/>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lumMod val="50000"/>
            </a:schemeClr>
          </a:solidFill>
          <a:ln w="25400">
            <a:noFill/>
          </a:ln>
          <a:effectLst/>
        </c:spPr>
        <c:dLbl>
          <c:idx val="0"/>
          <c:layout>
            <c:manualLayout>
              <c:x val="-6.7681895093062603E-3"/>
              <c:y val="-0.37962962962962971"/>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lumMod val="50000"/>
            </a:schemeClr>
          </a:solidFill>
          <a:ln w="25400">
            <a:noFill/>
          </a:ln>
          <a:effectLst/>
        </c:spPr>
        <c:dLbl>
          <c:idx val="0"/>
          <c:layout>
            <c:manualLayout>
              <c:x val="-2.2560631697687537E-3"/>
              <c:y val="-0.34722222222222227"/>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lumMod val="50000"/>
            </a:schemeClr>
          </a:solidFill>
          <a:ln w="25400">
            <a:noFill/>
          </a:ln>
          <a:effectLst/>
        </c:spPr>
        <c:dLbl>
          <c:idx val="0"/>
          <c:layout>
            <c:manualLayout>
              <c:x val="-9.0242526790750965E-3"/>
              <c:y val="-0.30555555555555564"/>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lumMod val="50000"/>
            </a:schemeClr>
          </a:solidFill>
          <a:ln w="25400">
            <a:noFill/>
          </a:ln>
          <a:effectLst/>
        </c:spPr>
        <c:dLbl>
          <c:idx val="0"/>
          <c:layout>
            <c:manualLayout>
              <c:x val="-1.1280315848843767E-2"/>
              <c:y val="-0.30555555555555564"/>
            </c:manualLayout>
          </c:layout>
          <c:spPr>
            <a:noFill/>
            <a:ln>
              <a:noFill/>
            </a:ln>
            <a:effectLst/>
          </c:spPr>
          <c:txPr>
            <a:bodyPr rot="0" spcFirstLastPara="1" vertOverflow="clip" horzOverflow="clip"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3.5544364061091356E-2"/>
          <c:y val="0.125"/>
          <c:w val="0.92090224762513828"/>
          <c:h val="0.75707531350247881"/>
        </c:manualLayout>
      </c:layout>
      <c:areaChart>
        <c:grouping val="standard"/>
        <c:varyColors val="0"/>
        <c:ser>
          <c:idx val="0"/>
          <c:order val="0"/>
          <c:tx>
            <c:strRef>
              <c:f>'Stress level analysis'!$B$3</c:f>
              <c:strCache>
                <c:ptCount val="1"/>
                <c:pt idx="0">
                  <c:v>Total</c:v>
                </c:pt>
              </c:strCache>
            </c:strRef>
          </c:tx>
          <c:spPr>
            <a:solidFill>
              <a:schemeClr val="accent1">
                <a:lumMod val="50000"/>
              </a:schemeClr>
            </a:solidFill>
            <a:ln w="25400">
              <a:noFill/>
            </a:ln>
            <a:effectLst/>
          </c:spPr>
          <c:dPt>
            <c:idx val="0"/>
            <c:bubble3D val="0"/>
            <c:extLst>
              <c:ext xmlns:c16="http://schemas.microsoft.com/office/drawing/2014/chart" uri="{C3380CC4-5D6E-409C-BE32-E72D297353CC}">
                <c16:uniqueId val="{0000000A-E453-4EA0-93C8-AEF87D5CA32C}"/>
              </c:ext>
            </c:extLst>
          </c:dPt>
          <c:dPt>
            <c:idx val="1"/>
            <c:bubble3D val="0"/>
            <c:extLst>
              <c:ext xmlns:c16="http://schemas.microsoft.com/office/drawing/2014/chart" uri="{C3380CC4-5D6E-409C-BE32-E72D297353CC}">
                <c16:uniqueId val="{0000000B-E453-4EA0-93C8-AEF87D5CA32C}"/>
              </c:ext>
            </c:extLst>
          </c:dPt>
          <c:dPt>
            <c:idx val="2"/>
            <c:bubble3D val="0"/>
            <c:extLst>
              <c:ext xmlns:c16="http://schemas.microsoft.com/office/drawing/2014/chart" uri="{C3380CC4-5D6E-409C-BE32-E72D297353CC}">
                <c16:uniqueId val="{0000000C-E453-4EA0-93C8-AEF87D5CA32C}"/>
              </c:ext>
            </c:extLst>
          </c:dPt>
          <c:dPt>
            <c:idx val="3"/>
            <c:bubble3D val="0"/>
            <c:extLst>
              <c:ext xmlns:c16="http://schemas.microsoft.com/office/drawing/2014/chart" uri="{C3380CC4-5D6E-409C-BE32-E72D297353CC}">
                <c16:uniqueId val="{0000000D-E453-4EA0-93C8-AEF87D5CA32C}"/>
              </c:ext>
            </c:extLst>
          </c:dPt>
          <c:dPt>
            <c:idx val="4"/>
            <c:bubble3D val="0"/>
            <c:extLst>
              <c:ext xmlns:c16="http://schemas.microsoft.com/office/drawing/2014/chart" uri="{C3380CC4-5D6E-409C-BE32-E72D297353CC}">
                <c16:uniqueId val="{0000000E-E453-4EA0-93C8-AEF87D5CA32C}"/>
              </c:ext>
            </c:extLst>
          </c:dPt>
          <c:dLbls>
            <c:dLbl>
              <c:idx val="0"/>
              <c:layout>
                <c:manualLayout>
                  <c:x val="6.7681895093062603E-3"/>
                  <c:y val="-0.435185185185185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453-4EA0-93C8-AEF87D5CA32C}"/>
                </c:ext>
              </c:extLst>
            </c:dLbl>
            <c:dLbl>
              <c:idx val="1"/>
              <c:layout>
                <c:manualLayout>
                  <c:x val="-6.7681895093062603E-3"/>
                  <c:y val="-0.379629629629629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453-4EA0-93C8-AEF87D5CA32C}"/>
                </c:ext>
              </c:extLst>
            </c:dLbl>
            <c:dLbl>
              <c:idx val="2"/>
              <c:layout>
                <c:manualLayout>
                  <c:x val="-2.2560631697687537E-3"/>
                  <c:y val="-0.347222222222222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453-4EA0-93C8-AEF87D5CA32C}"/>
                </c:ext>
              </c:extLst>
            </c:dLbl>
            <c:dLbl>
              <c:idx val="3"/>
              <c:layout>
                <c:manualLayout>
                  <c:x val="-9.0242526790750965E-3"/>
                  <c:y val="-0.305555555555555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453-4EA0-93C8-AEF87D5CA32C}"/>
                </c:ext>
              </c:extLst>
            </c:dLbl>
            <c:dLbl>
              <c:idx val="4"/>
              <c:layout>
                <c:manualLayout>
                  <c:x val="-1.1280315848843767E-2"/>
                  <c:y val="-0.305555555555555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453-4EA0-93C8-AEF87D5CA32C}"/>
                </c:ext>
              </c:extLst>
            </c:dLbl>
            <c:spPr>
              <a:noFill/>
              <a:ln>
                <a:noFill/>
              </a:ln>
              <a:effectLst/>
            </c:spPr>
            <c:txPr>
              <a:bodyPr rot="0" spcFirstLastPara="1" vertOverflow="clip" horzOverflow="clip" vert="horz" wrap="square" lIns="38100" tIns="19050" rIns="38100" bIns="19050" anchor="ctr" anchorCtr="0">
                <a:spAutoFit/>
              </a:bodyPr>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'Stress level analysis'!$A$4:$A$9</c:f>
              <c:strCache>
                <c:ptCount val="5"/>
                <c:pt idx="0">
                  <c:v>5-6</c:v>
                </c:pt>
                <c:pt idx="1">
                  <c:v>6-7</c:v>
                </c:pt>
                <c:pt idx="2">
                  <c:v>7-8</c:v>
                </c:pt>
                <c:pt idx="3">
                  <c:v>8-9</c:v>
                </c:pt>
                <c:pt idx="4">
                  <c:v>9-10</c:v>
                </c:pt>
              </c:strCache>
            </c:strRef>
          </c:cat>
          <c:val>
            <c:numRef>
              <c:f>'Stress level analysis'!$B$4:$B$9</c:f>
              <c:numCache>
                <c:formatCode>0</c:formatCode>
                <c:ptCount val="5"/>
                <c:pt idx="0">
                  <c:v>60.054651998995858</c:v>
                </c:pt>
                <c:pt idx="1">
                  <c:v>57.323042332482238</c:v>
                </c:pt>
                <c:pt idx="2">
                  <c:v>53.425380083446079</c:v>
                </c:pt>
                <c:pt idx="3">
                  <c:v>50.513471864154617</c:v>
                </c:pt>
                <c:pt idx="4">
                  <c:v>51.528060962588235</c:v>
                </c:pt>
              </c:numCache>
            </c:numRef>
          </c:val>
          <c:extLst>
            <c:ext xmlns:c16="http://schemas.microsoft.com/office/drawing/2014/chart" uri="{C3380CC4-5D6E-409C-BE32-E72D297353CC}">
              <c16:uniqueId val="{00000008-E453-4EA0-93C8-AEF87D5CA32C}"/>
            </c:ext>
          </c:extLst>
        </c:ser>
        <c:dLbls>
          <c:showLegendKey val="0"/>
          <c:showVal val="0"/>
          <c:showCatName val="0"/>
          <c:showSerName val="0"/>
          <c:showPercent val="0"/>
          <c:showBubbleSize val="0"/>
        </c:dLbls>
        <c:axId val="211863936"/>
        <c:axId val="211883616"/>
      </c:areaChart>
      <c:catAx>
        <c:axId val="211863936"/>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accent1">
                    <a:lumMod val="50000"/>
                  </a:schemeClr>
                </a:solidFill>
                <a:latin typeface="Georgia" panose="02040502050405020303" pitchFamily="18" charset="0"/>
                <a:ea typeface="+mn-ea"/>
                <a:cs typeface="+mn-cs"/>
              </a:defRPr>
            </a:pPr>
            <a:endParaRPr lang="en-NG"/>
          </a:p>
        </c:txPr>
        <c:crossAx val="211883616"/>
        <c:crosses val="autoZero"/>
        <c:auto val="1"/>
        <c:lblAlgn val="ctr"/>
        <c:lblOffset val="100"/>
        <c:noMultiLvlLbl val="0"/>
      </c:catAx>
      <c:valAx>
        <c:axId val="211883616"/>
        <c:scaling>
          <c:orientation val="minMax"/>
        </c:scaling>
        <c:delete val="1"/>
        <c:axPos val="l"/>
        <c:numFmt formatCode="0" sourceLinked="1"/>
        <c:majorTickMark val="out"/>
        <c:minorTickMark val="none"/>
        <c:tickLblPos val="nextTo"/>
        <c:crossAx val="2118639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3" Type="http://schemas.openxmlformats.org/officeDocument/2006/relationships/image" Target="../media/image3.svg"/><Relationship Id="rId18" Type="http://schemas.openxmlformats.org/officeDocument/2006/relationships/image" Target="../media/image8.png"/><Relationship Id="rId26" Type="http://schemas.openxmlformats.org/officeDocument/2006/relationships/hyperlink" Target="mailto:dorcasoyibo2000@gmail.com?subject=Enquiry%20about%20Dashboard" TargetMode="External"/><Relationship Id="rId3" Type="http://schemas.openxmlformats.org/officeDocument/2006/relationships/chart" Target="../charts/chart3.xml"/><Relationship Id="rId21" Type="http://schemas.openxmlformats.org/officeDocument/2006/relationships/image" Target="../media/image10.png"/><Relationship Id="rId7" Type="http://schemas.openxmlformats.org/officeDocument/2006/relationships/chart" Target="../charts/chart5.xml"/><Relationship Id="rId12" Type="http://schemas.openxmlformats.org/officeDocument/2006/relationships/image" Target="../media/image2.png"/><Relationship Id="rId17" Type="http://schemas.openxmlformats.org/officeDocument/2006/relationships/image" Target="../media/image7.svg"/><Relationship Id="rId25" Type="http://schemas.openxmlformats.org/officeDocument/2006/relationships/image" Target="../media/image13.svg"/><Relationship Id="rId33" Type="http://schemas.openxmlformats.org/officeDocument/2006/relationships/image" Target="../media/image19.svg"/><Relationship Id="rId2" Type="http://schemas.openxmlformats.org/officeDocument/2006/relationships/chart" Target="../charts/chart2.xml"/><Relationship Id="rId16" Type="http://schemas.openxmlformats.org/officeDocument/2006/relationships/image" Target="../media/image6.png"/><Relationship Id="rId20" Type="http://schemas.openxmlformats.org/officeDocument/2006/relationships/hyperlink" Target="#cleaned_data!A1"/><Relationship Id="rId29" Type="http://schemas.openxmlformats.org/officeDocument/2006/relationships/hyperlink" Target="#'Post-analysis Board'!A1"/><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chart" Target="../charts/chart9.xml"/><Relationship Id="rId24" Type="http://schemas.openxmlformats.org/officeDocument/2006/relationships/image" Target="../media/image12.png"/><Relationship Id="rId32" Type="http://schemas.openxmlformats.org/officeDocument/2006/relationships/image" Target="../media/image18.png"/><Relationship Id="rId5" Type="http://schemas.microsoft.com/office/2007/relationships/hdphoto" Target="../media/hdphoto1.wdp"/><Relationship Id="rId15" Type="http://schemas.openxmlformats.org/officeDocument/2006/relationships/image" Target="../media/image5.svg"/><Relationship Id="rId23" Type="http://schemas.openxmlformats.org/officeDocument/2006/relationships/hyperlink" Target="#'In-analysis Board'!A1"/><Relationship Id="rId28" Type="http://schemas.openxmlformats.org/officeDocument/2006/relationships/image" Target="../media/image15.svg"/><Relationship Id="rId10" Type="http://schemas.openxmlformats.org/officeDocument/2006/relationships/chart" Target="../charts/chart8.xml"/><Relationship Id="rId19" Type="http://schemas.openxmlformats.org/officeDocument/2006/relationships/image" Target="../media/image9.svg"/><Relationship Id="rId31" Type="http://schemas.openxmlformats.org/officeDocument/2006/relationships/image" Target="../media/image17.svg"/><Relationship Id="rId4" Type="http://schemas.openxmlformats.org/officeDocument/2006/relationships/image" Target="../media/image1.png"/><Relationship Id="rId9" Type="http://schemas.openxmlformats.org/officeDocument/2006/relationships/chart" Target="../charts/chart7.xml"/><Relationship Id="rId14" Type="http://schemas.openxmlformats.org/officeDocument/2006/relationships/image" Target="../media/image4.png"/><Relationship Id="rId22" Type="http://schemas.openxmlformats.org/officeDocument/2006/relationships/image" Target="../media/image11.svg"/><Relationship Id="rId27" Type="http://schemas.openxmlformats.org/officeDocument/2006/relationships/image" Target="../media/image14.png"/><Relationship Id="rId30" Type="http://schemas.openxmlformats.org/officeDocument/2006/relationships/image" Target="../media/image16.png"/><Relationship Id="rId8"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330992</xdr:colOff>
      <xdr:row>0</xdr:row>
      <xdr:rowOff>71437</xdr:rowOff>
    </xdr:from>
    <xdr:to>
      <xdr:col>9</xdr:col>
      <xdr:colOff>190499</xdr:colOff>
      <xdr:row>25</xdr:row>
      <xdr:rowOff>47625</xdr:rowOff>
    </xdr:to>
    <xdr:sp macro="" textlink="">
      <xdr:nvSpPr>
        <xdr:cNvPr id="2" name="Rectangle: Rounded Corners 1">
          <a:extLst>
            <a:ext uri="{FF2B5EF4-FFF2-40B4-BE49-F238E27FC236}">
              <a16:creationId xmlns:a16="http://schemas.microsoft.com/office/drawing/2014/main" id="{BB0A0D19-C782-22A2-1BDF-3EDCC18E3EC6}"/>
            </a:ext>
          </a:extLst>
        </xdr:cNvPr>
        <xdr:cNvSpPr/>
      </xdr:nvSpPr>
      <xdr:spPr>
        <a:xfrm>
          <a:off x="330992" y="71437"/>
          <a:ext cx="5288757" cy="4738688"/>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bg1"/>
              </a:solidFill>
            </a:rPr>
            <a:t>PROJECT</a:t>
          </a:r>
          <a:r>
            <a:rPr lang="en-US" sz="1100" b="1" baseline="0">
              <a:solidFill>
                <a:schemeClr val="bg1"/>
              </a:solidFill>
            </a:rPr>
            <a:t> SPLIT</a:t>
          </a:r>
        </a:p>
        <a:p>
          <a:pPr algn="l"/>
          <a:r>
            <a:rPr lang="en-US" sz="1100" baseline="0">
              <a:solidFill>
                <a:schemeClr val="bg1"/>
              </a:solidFill>
            </a:rPr>
            <a:t>Category1: Independent values</a:t>
          </a:r>
        </a:p>
        <a:p>
          <a:pPr algn="l"/>
          <a:r>
            <a:rPr lang="en-US" sz="1100" baseline="0">
              <a:solidFill>
                <a:schemeClr val="bg1"/>
              </a:solidFill>
            </a:rPr>
            <a:t>1. Position</a:t>
          </a:r>
        </a:p>
        <a:p>
          <a:pPr algn="l"/>
          <a:r>
            <a:rPr lang="en-US" sz="1100" baseline="0">
              <a:solidFill>
                <a:schemeClr val="bg1"/>
              </a:solidFill>
            </a:rPr>
            <a:t>2. Age</a:t>
          </a:r>
        </a:p>
        <a:p>
          <a:pPr algn="l"/>
          <a:r>
            <a:rPr lang="en-US" sz="1100" baseline="0">
              <a:solidFill>
                <a:schemeClr val="bg1"/>
              </a:solidFill>
            </a:rPr>
            <a:t>3. Training hours per week</a:t>
          </a:r>
        </a:p>
        <a:p>
          <a:pPr algn="l"/>
          <a:r>
            <a:rPr lang="en-US" sz="1100" baseline="0">
              <a:solidFill>
                <a:schemeClr val="bg1"/>
              </a:solidFill>
            </a:rPr>
            <a:t>4. Sleep hours per night</a:t>
          </a:r>
        </a:p>
        <a:p>
          <a:pPr algn="l"/>
          <a:endParaRPr lang="en-US" sz="1100" baseline="0">
            <a:solidFill>
              <a:schemeClr val="bg1"/>
            </a:solidFill>
          </a:endParaRPr>
        </a:p>
        <a:p>
          <a:pPr algn="l"/>
          <a:r>
            <a:rPr lang="en-US" sz="1100" baseline="0">
              <a:solidFill>
                <a:schemeClr val="bg1"/>
              </a:solidFill>
            </a:rPr>
            <a:t>Category2: Dependent values</a:t>
          </a:r>
        </a:p>
        <a:p>
          <a:pPr algn="l"/>
          <a:r>
            <a:rPr lang="en-US" sz="1100" baseline="0">
              <a:solidFill>
                <a:schemeClr val="bg1"/>
              </a:solidFill>
            </a:rPr>
            <a:t>1. Height</a:t>
          </a:r>
        </a:p>
        <a:p>
          <a:pPr algn="l"/>
          <a:r>
            <a:rPr lang="en-US" sz="1100" baseline="0">
              <a:solidFill>
                <a:schemeClr val="bg1"/>
              </a:solidFill>
            </a:rPr>
            <a:t>2. Weight</a:t>
          </a:r>
        </a:p>
        <a:p>
          <a:pPr algn="l"/>
          <a:r>
            <a:rPr lang="en-US" sz="1100" baseline="0">
              <a:solidFill>
                <a:schemeClr val="bg1"/>
              </a:solidFill>
            </a:rPr>
            <a:t>3. Matches played per season</a:t>
          </a:r>
        </a:p>
        <a:p>
          <a:pPr algn="l"/>
          <a:r>
            <a:rPr lang="en-US" sz="1100" baseline="0">
              <a:solidFill>
                <a:schemeClr val="bg1"/>
              </a:solidFill>
            </a:rPr>
            <a:t>4. Previous injury count</a:t>
          </a:r>
        </a:p>
        <a:p>
          <a:pPr algn="l"/>
          <a:r>
            <a:rPr lang="en-US" sz="1100" baseline="0">
              <a:solidFill>
                <a:schemeClr val="bg1"/>
              </a:solidFill>
            </a:rPr>
            <a:t>5. Knee strength score</a:t>
          </a:r>
          <a:endParaRPr lang="en-US" sz="1100" b="1" i="0" u="none" strike="noStrike" baseline="0">
            <a:solidFill>
              <a:schemeClr val="lt1"/>
            </a:solidFill>
            <a:effectLst/>
            <a:latin typeface="+mn-lt"/>
            <a:ea typeface="+mn-ea"/>
            <a:cs typeface="+mn-cs"/>
          </a:endParaRPr>
        </a:p>
        <a:p>
          <a:pPr algn="l"/>
          <a:r>
            <a:rPr lang="en-US" sz="1100" b="0" i="0" u="none" strike="noStrike" baseline="0">
              <a:solidFill>
                <a:schemeClr val="lt1"/>
              </a:solidFill>
              <a:effectLst/>
              <a:latin typeface="+mn-lt"/>
              <a:ea typeface="+mn-ea"/>
              <a:cs typeface="+mn-cs"/>
            </a:rPr>
            <a:t>6. Hamstring flexibility</a:t>
          </a:r>
        </a:p>
        <a:p>
          <a:pPr algn="l"/>
          <a:r>
            <a:rPr lang="en-US" sz="1100" b="0" i="0" u="none" strike="noStrike" baseline="0">
              <a:solidFill>
                <a:schemeClr val="lt1"/>
              </a:solidFill>
              <a:effectLst/>
              <a:latin typeface="+mn-lt"/>
              <a:ea typeface="+mn-ea"/>
              <a:cs typeface="+mn-cs"/>
            </a:rPr>
            <a:t>7. Reaction time ms</a:t>
          </a:r>
        </a:p>
        <a:p>
          <a:pPr algn="l"/>
          <a:r>
            <a:rPr lang="en-US" sz="1100" b="0" i="0" u="none" strike="noStrike" baseline="0">
              <a:solidFill>
                <a:schemeClr val="lt1"/>
              </a:solidFill>
              <a:effectLst/>
              <a:latin typeface="+mn-lt"/>
              <a:ea typeface="+mn-ea"/>
              <a:cs typeface="+mn-cs"/>
            </a:rPr>
            <a:t>8. Balance test score</a:t>
          </a:r>
        </a:p>
        <a:p>
          <a:pPr algn="l"/>
          <a:r>
            <a:rPr lang="en-US" sz="1100" b="0" i="0" u="none" strike="noStrike" baseline="0">
              <a:solidFill>
                <a:schemeClr val="lt1"/>
              </a:solidFill>
              <a:effectLst/>
              <a:latin typeface="+mn-lt"/>
              <a:ea typeface="+mn-ea"/>
              <a:cs typeface="+mn-cs"/>
            </a:rPr>
            <a:t>9. Agility score</a:t>
          </a:r>
        </a:p>
        <a:p>
          <a:pPr algn="l"/>
          <a:r>
            <a:rPr lang="en-US" sz="1100" b="0" i="0" u="none" strike="noStrike" baseline="0">
              <a:solidFill>
                <a:schemeClr val="lt1"/>
              </a:solidFill>
              <a:effectLst/>
              <a:latin typeface="+mn-lt"/>
              <a:ea typeface="+mn-ea"/>
              <a:cs typeface="+mn-cs"/>
            </a:rPr>
            <a:t>10. Sprint speed</a:t>
          </a:r>
        </a:p>
        <a:p>
          <a:pPr algn="l"/>
          <a:r>
            <a:rPr lang="en-US" sz="1100" b="0" i="0" u="none" strike="noStrike" baseline="0">
              <a:solidFill>
                <a:schemeClr val="lt1"/>
              </a:solidFill>
              <a:effectLst/>
              <a:latin typeface="+mn-lt"/>
              <a:ea typeface="+mn-ea"/>
              <a:cs typeface="+mn-cs"/>
            </a:rPr>
            <a:t>11. stress level score</a:t>
          </a:r>
        </a:p>
        <a:p>
          <a:pPr algn="l"/>
          <a:r>
            <a:rPr lang="en-US" sz="1100" b="0" i="0" u="none" strike="noStrike" baseline="0">
              <a:solidFill>
                <a:schemeClr val="lt1"/>
              </a:solidFill>
              <a:effectLst/>
              <a:latin typeface="+mn-lt"/>
              <a:ea typeface="+mn-ea"/>
              <a:cs typeface="+mn-cs"/>
            </a:rPr>
            <a:t>12. Nutrition quality score</a:t>
          </a:r>
        </a:p>
        <a:p>
          <a:pPr algn="l"/>
          <a:r>
            <a:rPr lang="en-US" sz="1100" b="0" i="0" u="none" strike="noStrike" baseline="0">
              <a:solidFill>
                <a:schemeClr val="lt1"/>
              </a:solidFill>
              <a:effectLst/>
              <a:latin typeface="+mn-lt"/>
              <a:ea typeface="+mn-ea"/>
              <a:cs typeface="+mn-cs"/>
            </a:rPr>
            <a:t>13. Warmup routine adherence</a:t>
          </a:r>
        </a:p>
        <a:p>
          <a:pPr algn="l"/>
          <a:r>
            <a:rPr lang="en-US" sz="1100" b="0" i="0" u="none" strike="noStrike" baseline="0">
              <a:solidFill>
                <a:schemeClr val="lt1"/>
              </a:solidFill>
              <a:effectLst/>
              <a:latin typeface="+mn-lt"/>
              <a:ea typeface="+mn-ea"/>
              <a:cs typeface="+mn-cs"/>
            </a:rPr>
            <a:t>14. Injury next season</a:t>
          </a:r>
          <a:endParaRPr lang="en-NG" sz="1100" b="0">
            <a:solidFill>
              <a:schemeClr val="bg1"/>
            </a:solidFill>
          </a:endParaRPr>
        </a:p>
      </xdr:txBody>
    </xdr:sp>
    <xdr:clientData/>
  </xdr:twoCellAnchor>
  <xdr:twoCellAnchor>
    <xdr:from>
      <xdr:col>9</xdr:col>
      <xdr:colOff>486833</xdr:colOff>
      <xdr:row>0</xdr:row>
      <xdr:rowOff>111124</xdr:rowOff>
    </xdr:from>
    <xdr:to>
      <xdr:col>18</xdr:col>
      <xdr:colOff>328084</xdr:colOff>
      <xdr:row>25</xdr:row>
      <xdr:rowOff>31749</xdr:rowOff>
    </xdr:to>
    <xdr:sp macro="" textlink="">
      <xdr:nvSpPr>
        <xdr:cNvPr id="3" name="Rectangle: Rounded Corners 2">
          <a:extLst>
            <a:ext uri="{FF2B5EF4-FFF2-40B4-BE49-F238E27FC236}">
              <a16:creationId xmlns:a16="http://schemas.microsoft.com/office/drawing/2014/main" id="{8DA091CD-6CF1-53B4-0AF6-1AFC34188014}"/>
            </a:ext>
          </a:extLst>
        </xdr:cNvPr>
        <xdr:cNvSpPr/>
      </xdr:nvSpPr>
      <xdr:spPr>
        <a:xfrm>
          <a:off x="6011333" y="111124"/>
          <a:ext cx="5365751" cy="4683125"/>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accent1">
                  <a:lumMod val="50000"/>
                </a:schemeClr>
              </a:solidFill>
            </a:rPr>
            <a:t>POTENTIAL</a:t>
          </a:r>
          <a:r>
            <a:rPr lang="en-US" sz="1100" b="1" baseline="0">
              <a:solidFill>
                <a:schemeClr val="accent1">
                  <a:lumMod val="50000"/>
                </a:schemeClr>
              </a:solidFill>
            </a:rPr>
            <a:t> ANALYSIS/QUESTIONS</a:t>
          </a:r>
        </a:p>
        <a:p>
          <a:pPr algn="l"/>
          <a:r>
            <a:rPr lang="en-US" sz="1100" baseline="0">
              <a:solidFill>
                <a:schemeClr val="accent1">
                  <a:lumMod val="50000"/>
                </a:schemeClr>
              </a:solidFill>
            </a:rPr>
            <a:t>1. What is the percentage of footballers that adhere to the warmup routine?</a:t>
          </a:r>
        </a:p>
        <a:p>
          <a:pPr algn="l"/>
          <a:r>
            <a:rPr lang="en-US" sz="1100" baseline="0">
              <a:solidFill>
                <a:schemeClr val="accent1">
                  <a:lumMod val="50000"/>
                </a:schemeClr>
              </a:solidFill>
            </a:rPr>
            <a:t>2. What is the percentage of footballers by their injury status?</a:t>
          </a:r>
        </a:p>
        <a:p>
          <a:pPr algn="l"/>
          <a:r>
            <a:rPr lang="en-US" sz="1100" baseline="0">
              <a:solidFill>
                <a:schemeClr val="accent1">
                  <a:lumMod val="50000"/>
                </a:schemeClr>
              </a:solidFill>
            </a:rPr>
            <a:t>3. How does the reaction time differ by age?</a:t>
          </a:r>
        </a:p>
        <a:p>
          <a:pPr algn="l"/>
          <a:r>
            <a:rPr lang="en-US" sz="1100" baseline="0">
              <a:solidFill>
                <a:schemeClr val="accent1">
                  <a:lumMod val="50000"/>
                </a:schemeClr>
              </a:solidFill>
            </a:rPr>
            <a:t>4. How does sleep hours per night affect stress levels? </a:t>
          </a:r>
        </a:p>
        <a:p>
          <a:pPr algn="l"/>
          <a:r>
            <a:rPr lang="en-US" sz="1100" baseline="0">
              <a:solidFill>
                <a:schemeClr val="accent1">
                  <a:lumMod val="50000"/>
                </a:schemeClr>
              </a:solidFill>
            </a:rPr>
            <a:t>5. What is the correlation between agility score and nutrition quality score across all ages?</a:t>
          </a:r>
        </a:p>
        <a:p>
          <a:pPr algn="l"/>
          <a:r>
            <a:rPr lang="en-US" sz="1100" baseline="0">
              <a:solidFill>
                <a:schemeClr val="accent1">
                  <a:lumMod val="50000"/>
                </a:schemeClr>
              </a:solidFill>
            </a:rPr>
            <a:t>6. Which nutrition quality category is more prone to injury or not?</a:t>
          </a:r>
        </a:p>
        <a:p>
          <a:pPr algn="l"/>
          <a:r>
            <a:rPr lang="en-US" sz="1100" baseline="0">
              <a:solidFill>
                <a:schemeClr val="accent1">
                  <a:lumMod val="50000"/>
                </a:schemeClr>
              </a:solidFill>
            </a:rPr>
            <a:t>7. Which footballer position is more than the other and not?</a:t>
          </a:r>
        </a:p>
        <a:p>
          <a:pPr algn="l"/>
          <a:r>
            <a:rPr lang="en-US" sz="1100" baseline="0">
              <a:solidFill>
                <a:schemeClr val="accent1">
                  <a:lumMod val="50000"/>
                </a:schemeClr>
              </a:solidFill>
            </a:rPr>
            <a:t>8. How does weekly training hours per week affect matches played passed season?</a:t>
          </a:r>
        </a:p>
        <a:p>
          <a:pPr algn="l"/>
          <a:r>
            <a:rPr lang="en-US" sz="1100" baseline="0">
              <a:solidFill>
                <a:schemeClr val="accent1">
                  <a:lumMod val="50000"/>
                </a:schemeClr>
              </a:solidFill>
            </a:rPr>
            <a:t>9. what is the coerrelation between average knee and arm strength scores by age? </a:t>
          </a:r>
        </a:p>
        <a:p>
          <a:pPr algn="l"/>
          <a:endParaRPr lang="en-US" sz="1100" baseline="0">
            <a:solidFill>
              <a:schemeClr val="accent1">
                <a:lumMod val="50000"/>
              </a:schemeClr>
            </a:solidFill>
          </a:endParaRPr>
        </a:p>
        <a:p>
          <a:pPr algn="l"/>
          <a:endParaRPr lang="en-US" sz="1100" baseline="0">
            <a:solidFill>
              <a:schemeClr val="accent1">
                <a:lumMod val="50000"/>
              </a:schemeClr>
            </a:solidFill>
          </a:endParaRPr>
        </a:p>
        <a:p>
          <a:pPr algn="l"/>
          <a:endParaRPr lang="en-US" sz="1100" baseline="0">
            <a:solidFill>
              <a:schemeClr val="accent1">
                <a:lumMod val="50000"/>
              </a:schemeClr>
            </a:solidFill>
          </a:endParaRPr>
        </a:p>
        <a:p>
          <a:pPr algn="ctr"/>
          <a:r>
            <a:rPr lang="en-US" sz="1100" b="1" baseline="0">
              <a:solidFill>
                <a:schemeClr val="accent1">
                  <a:lumMod val="50000"/>
                </a:schemeClr>
              </a:solidFill>
            </a:rPr>
            <a:t>COLUMNS TO APPEND</a:t>
          </a:r>
        </a:p>
        <a:p>
          <a:pPr algn="l"/>
          <a:r>
            <a:rPr lang="en-US" sz="1100" baseline="0">
              <a:solidFill>
                <a:schemeClr val="accent1">
                  <a:lumMod val="50000"/>
                </a:schemeClr>
              </a:solidFill>
            </a:rPr>
            <a:t>1. Injury_Status</a:t>
          </a:r>
        </a:p>
        <a:p>
          <a:pPr algn="l"/>
          <a:r>
            <a:rPr lang="en-US" sz="1100" baseline="0">
              <a:solidFill>
                <a:schemeClr val="accent1">
                  <a:lumMod val="50000"/>
                </a:schemeClr>
              </a:solidFill>
            </a:rPr>
            <a:t>2. Routine_Status</a:t>
          </a:r>
        </a:p>
        <a:p>
          <a:pPr algn="l"/>
          <a:r>
            <a:rPr lang="en-US" sz="1100" baseline="0">
              <a:solidFill>
                <a:schemeClr val="accent1">
                  <a:lumMod val="50000"/>
                </a:schemeClr>
              </a:solidFill>
            </a:rPr>
            <a:t>3. Nutrition grade</a:t>
          </a:r>
        </a:p>
        <a:p>
          <a:pPr algn="l"/>
          <a:r>
            <a:rPr lang="en-US" sz="1100" baseline="0">
              <a:solidFill>
                <a:schemeClr val="accent1">
                  <a:lumMod val="50000"/>
                </a:schemeClr>
              </a:solidFill>
            </a:rPr>
            <a:t>4. Age years</a:t>
          </a:r>
        </a:p>
        <a:p>
          <a:pPr algn="l"/>
          <a:endParaRPr lang="en-US" sz="1100" baseline="0">
            <a:solidFill>
              <a:schemeClr val="accent1">
                <a:lumMod val="50000"/>
              </a:schemeClr>
            </a:solidFill>
          </a:endParaRPr>
        </a:p>
        <a:p>
          <a:pPr algn="l"/>
          <a:endParaRPr lang="en-US" sz="1100" baseline="0">
            <a:solidFill>
              <a:schemeClr val="accent1">
                <a:lumMod val="50000"/>
              </a:schemeClr>
            </a:solidFill>
          </a:endParaRPr>
        </a:p>
        <a:p>
          <a:pPr algn="l"/>
          <a:endParaRPr lang="en-US" sz="1100" baseline="0">
            <a:solidFill>
              <a:schemeClr val="accent1">
                <a:lumMod val="50000"/>
              </a:schemeClr>
            </a:solidFill>
          </a:endParaRPr>
        </a:p>
      </xdr:txBody>
    </xdr:sp>
    <xdr:clientData/>
  </xdr:twoCellAnchor>
  <xdr:twoCellAnchor>
    <xdr:from>
      <xdr:col>0</xdr:col>
      <xdr:colOff>157958</xdr:colOff>
      <xdr:row>26</xdr:row>
      <xdr:rowOff>95816</xdr:rowOff>
    </xdr:from>
    <xdr:to>
      <xdr:col>9</xdr:col>
      <xdr:colOff>206375</xdr:colOff>
      <xdr:row>52</xdr:row>
      <xdr:rowOff>63499</xdr:rowOff>
    </xdr:to>
    <xdr:sp macro="" textlink="">
      <xdr:nvSpPr>
        <xdr:cNvPr id="4" name="Rectangle: Rounded Corners 3">
          <a:extLst>
            <a:ext uri="{FF2B5EF4-FFF2-40B4-BE49-F238E27FC236}">
              <a16:creationId xmlns:a16="http://schemas.microsoft.com/office/drawing/2014/main" id="{D8B10EF0-7448-2EE5-E89E-77734844652F}"/>
            </a:ext>
          </a:extLst>
        </xdr:cNvPr>
        <xdr:cNvSpPr/>
      </xdr:nvSpPr>
      <xdr:spPr>
        <a:xfrm>
          <a:off x="157958" y="5048816"/>
          <a:ext cx="5477667" cy="4920683"/>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accent1">
                  <a:lumMod val="50000"/>
                </a:schemeClr>
              </a:solidFill>
            </a:rPr>
            <a:t>INDUSTRY TYPE</a:t>
          </a:r>
        </a:p>
        <a:p>
          <a:pPr algn="l"/>
          <a:r>
            <a:rPr lang="en-US" sz="1100">
              <a:solidFill>
                <a:schemeClr val="accent1">
                  <a:lumMod val="50000"/>
                </a:schemeClr>
              </a:solidFill>
            </a:rPr>
            <a:t>Tsinghua University football players</a:t>
          </a:r>
        </a:p>
        <a:p>
          <a:pPr algn="l"/>
          <a:endParaRPr lang="en-US" sz="1100">
            <a:solidFill>
              <a:schemeClr val="accent1">
                <a:lumMod val="50000"/>
              </a:schemeClr>
            </a:solidFill>
          </a:endParaRPr>
        </a:p>
        <a:p>
          <a:pPr algn="ctr"/>
          <a:r>
            <a:rPr lang="en-US" sz="1100" b="1">
              <a:solidFill>
                <a:schemeClr val="accent1">
                  <a:lumMod val="50000"/>
                </a:schemeClr>
              </a:solidFill>
            </a:rPr>
            <a:t>STORY OF DATA</a:t>
          </a:r>
        </a:p>
        <a:p>
          <a:pPr algn="l"/>
          <a:r>
            <a:rPr lang="en-US" sz="1100">
              <a:solidFill>
                <a:schemeClr val="accent1">
                  <a:lumMod val="50000"/>
                </a:schemeClr>
              </a:solidFill>
            </a:rPr>
            <a:t>This dataset contains comprehensive data from 800 Chinese university football players participating in collegiate and provincial leagues. The dataset is consisting</a:t>
          </a:r>
          <a:r>
            <a:rPr lang="en-US" sz="1100" baseline="0">
              <a:solidFill>
                <a:schemeClr val="accent1">
                  <a:lumMod val="50000"/>
                </a:schemeClr>
              </a:solidFill>
            </a:rPr>
            <a:t> of some physical characteristics, football specific metrics, lifestyle factors, and training complaince.</a:t>
          </a:r>
        </a:p>
        <a:p>
          <a:pPr algn="l"/>
          <a:endParaRPr lang="en-US" sz="1100" baseline="0">
            <a:solidFill>
              <a:schemeClr val="accent1">
                <a:lumMod val="50000"/>
              </a:schemeClr>
            </a:solidFill>
          </a:endParaRPr>
        </a:p>
        <a:p>
          <a:pPr algn="ctr"/>
          <a:r>
            <a:rPr lang="en-US" sz="1100" b="1" baseline="0">
              <a:solidFill>
                <a:schemeClr val="accent1">
                  <a:lumMod val="50000"/>
                </a:schemeClr>
              </a:solidFill>
            </a:rPr>
            <a:t>STAKEHOLDERS OF PROJECT</a:t>
          </a:r>
        </a:p>
        <a:p>
          <a:pPr algn="l"/>
          <a:r>
            <a:rPr lang="en-US" sz="1100" baseline="0">
              <a:solidFill>
                <a:schemeClr val="accent1">
                  <a:lumMod val="50000"/>
                </a:schemeClr>
              </a:solidFill>
            </a:rPr>
            <a:t>Coaches and Training Staff, Athletic Department, Players and IT and Data Management Teams.</a:t>
          </a:r>
        </a:p>
        <a:p>
          <a:pPr algn="l"/>
          <a:endParaRPr lang="en-US" sz="1100" baseline="0">
            <a:solidFill>
              <a:schemeClr val="accent1">
                <a:lumMod val="50000"/>
              </a:schemeClr>
            </a:solidFill>
          </a:endParaRPr>
        </a:p>
        <a:p>
          <a:pPr algn="ctr"/>
          <a:r>
            <a:rPr lang="en-US" sz="1100" b="1" baseline="0">
              <a:solidFill>
                <a:schemeClr val="accent1">
                  <a:lumMod val="50000"/>
                </a:schemeClr>
              </a:solidFill>
            </a:rPr>
            <a:t>WHAT SUCCESS MEANS TO THIS INDUSTRY</a:t>
          </a:r>
        </a:p>
        <a:p>
          <a:pPr algn="l"/>
          <a:r>
            <a:rPr lang="en-US" sz="1100" baseline="0">
              <a:solidFill>
                <a:schemeClr val="accent1">
                  <a:lumMod val="50000"/>
                </a:schemeClr>
              </a:solidFill>
            </a:rPr>
            <a:t> The goal is to predict whether a player will suffer an injury in the next academic season and plan towards minizing the factors that would increase injury and increase the factors that would help the football players acheive success in each game.</a:t>
          </a:r>
          <a:endParaRPr lang="en-NG" sz="1100" b="0">
            <a:solidFill>
              <a:schemeClr val="accent1">
                <a:lumMod val="50000"/>
              </a:schemeClr>
            </a:solidFill>
          </a:endParaRPr>
        </a:p>
      </xdr:txBody>
    </xdr:sp>
    <xdr:clientData/>
  </xdr:twoCellAnchor>
  <xdr:twoCellAnchor>
    <xdr:from>
      <xdr:col>9</xdr:col>
      <xdr:colOff>542923</xdr:colOff>
      <xdr:row>26</xdr:row>
      <xdr:rowOff>95250</xdr:rowOff>
    </xdr:from>
    <xdr:to>
      <xdr:col>18</xdr:col>
      <xdr:colOff>539750</xdr:colOff>
      <xdr:row>51</xdr:row>
      <xdr:rowOff>158749</xdr:rowOff>
    </xdr:to>
    <xdr:sp macro="" textlink="">
      <xdr:nvSpPr>
        <xdr:cNvPr id="5" name="Rectangle: Rounded Corners 4">
          <a:extLst>
            <a:ext uri="{FF2B5EF4-FFF2-40B4-BE49-F238E27FC236}">
              <a16:creationId xmlns:a16="http://schemas.microsoft.com/office/drawing/2014/main" id="{A99215FD-3C88-C4AA-9827-E6282D31C0B2}"/>
            </a:ext>
          </a:extLst>
        </xdr:cNvPr>
        <xdr:cNvSpPr/>
      </xdr:nvSpPr>
      <xdr:spPr>
        <a:xfrm>
          <a:off x="5972173" y="5048250"/>
          <a:ext cx="5426077" cy="4825999"/>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bg1"/>
              </a:solidFill>
            </a:rPr>
            <a:t>POTENTIAL</a:t>
          </a:r>
          <a:r>
            <a:rPr lang="en-US" sz="1100" b="1" baseline="0">
              <a:solidFill>
                <a:schemeClr val="bg1"/>
              </a:solidFill>
            </a:rPr>
            <a:t> INSIGHTS</a:t>
          </a:r>
        </a:p>
        <a:p>
          <a:pPr algn="l"/>
          <a:r>
            <a:rPr lang="en-US" sz="1100" b="0">
              <a:solidFill>
                <a:schemeClr val="bg1"/>
              </a:solidFill>
            </a:rPr>
            <a:t>1. Finetune the largest and smallest</a:t>
          </a:r>
          <a:r>
            <a:rPr lang="en-US" sz="1100" b="0" baseline="0">
              <a:solidFill>
                <a:schemeClr val="bg1"/>
              </a:solidFill>
            </a:rPr>
            <a:t> percentage of footballers that adhere to the warmup routines and uncover how it affects the rate of injury.</a:t>
          </a:r>
        </a:p>
        <a:p>
          <a:pPr algn="l"/>
          <a:r>
            <a:rPr lang="en-US" sz="1100" b="0" baseline="0">
              <a:solidFill>
                <a:schemeClr val="bg1"/>
              </a:solidFill>
            </a:rPr>
            <a:t>2. Finetune the percentage of footballers based on their injury status and dive deeper to uncover whether other factors, such as stress levels, have an effect on injury occurrence.</a:t>
          </a:r>
        </a:p>
        <a:p>
          <a:pPr algn="l"/>
          <a:r>
            <a:rPr lang="en-US" sz="1100" b="0" baseline="0">
              <a:solidFill>
                <a:schemeClr val="bg1"/>
              </a:solidFill>
            </a:rPr>
            <a:t>3. Finetune how reaction time differs across various age groups. Identify the average reaction time for each age and determine which age group reacts the fastest. This will help uncover potential factors influencing reaction time by age.</a:t>
          </a:r>
        </a:p>
        <a:p>
          <a:pPr algn="l"/>
          <a:r>
            <a:rPr lang="en-US" sz="1100" b="0" baseline="0">
              <a:solidFill>
                <a:schemeClr val="bg1"/>
              </a:solidFill>
            </a:rPr>
            <a:t>4. Finetune how the average number of sleeping hours per night affects stress levels, and further explore other factors that might influence stress levels.</a:t>
          </a:r>
        </a:p>
        <a:p>
          <a:pPr algn="l"/>
          <a:r>
            <a:rPr lang="en-US" sz="1100" b="0" baseline="0">
              <a:solidFill>
                <a:schemeClr val="bg1"/>
              </a:solidFill>
            </a:rPr>
            <a:t>5. Finetune the correlation between average agility scores and nutrition quality scores across all ages. This analysis will help determine whether agility performance is influenced by nutrition quality, and identify the highest and lowest agility scores.</a:t>
          </a:r>
        </a:p>
        <a:p>
          <a:pPr algn="l"/>
          <a:r>
            <a:rPr lang="en-US" sz="1100" b="0" baseline="0">
              <a:solidFill>
                <a:schemeClr val="bg1"/>
              </a:solidFill>
            </a:rPr>
            <a:t>6. Finetune the best-performing and least-performing nutrition quality categories, and analyze which category is more or less prone to injury.</a:t>
          </a:r>
        </a:p>
        <a:p>
          <a:pPr algn="l"/>
          <a:r>
            <a:rPr lang="en-US" sz="1100" b="0" baseline="0">
              <a:solidFill>
                <a:schemeClr val="bg1"/>
              </a:solidFill>
            </a:rPr>
            <a:t>7. Finetune the positions of footballers who are more frequently active on the field compared to others, and investigate whether injury status has any influence on this.</a:t>
          </a:r>
        </a:p>
        <a:p>
          <a:pPr algn="l"/>
          <a:r>
            <a:rPr lang="en-US" sz="1100" b="0" baseline="0">
              <a:solidFill>
                <a:schemeClr val="bg1"/>
              </a:solidFill>
            </a:rPr>
            <a:t>8. Finetune the best and worst weekly training hour ranges, and assess how these affect the number of matches played in the past season.</a:t>
          </a:r>
        </a:p>
        <a:p>
          <a:pPr algn="l"/>
          <a:r>
            <a:rPr lang="en-US" sz="1100" b="0" baseline="0">
              <a:solidFill>
                <a:schemeClr val="bg1"/>
              </a:solidFill>
            </a:rPr>
            <a:t>9. Finetune the relationship between average knee strength and arm strength scores across different ages. Identify how these scores vary by age and uncover potential patterns, such as whether agility scores influence the average knee and arm strength results.</a:t>
          </a:r>
          <a:endParaRPr lang="en-NG" sz="1100" b="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330993</xdr:colOff>
      <xdr:row>0</xdr:row>
      <xdr:rowOff>71437</xdr:rowOff>
    </xdr:from>
    <xdr:to>
      <xdr:col>7</xdr:col>
      <xdr:colOff>464343</xdr:colOff>
      <xdr:row>24</xdr:row>
      <xdr:rowOff>104775</xdr:rowOff>
    </xdr:to>
    <xdr:sp macro="" textlink="">
      <xdr:nvSpPr>
        <xdr:cNvPr id="2" name="Rectangle: Rounded Corners 1">
          <a:extLst>
            <a:ext uri="{FF2B5EF4-FFF2-40B4-BE49-F238E27FC236}">
              <a16:creationId xmlns:a16="http://schemas.microsoft.com/office/drawing/2014/main" id="{627E4911-E296-47A5-8CF6-1AE76FDBA104}"/>
            </a:ext>
          </a:extLst>
        </xdr:cNvPr>
        <xdr:cNvSpPr/>
      </xdr:nvSpPr>
      <xdr:spPr>
        <a:xfrm>
          <a:off x="330993" y="71437"/>
          <a:ext cx="4400550" cy="4605338"/>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bg1"/>
              </a:solidFill>
            </a:rPr>
            <a:t>ANALYSIS:</a:t>
          </a:r>
          <a:r>
            <a:rPr lang="en-US" sz="1100" b="0" baseline="0">
              <a:solidFill>
                <a:schemeClr val="bg1"/>
              </a:solidFill>
            </a:rPr>
            <a:t> Average Reaction time performance by Age</a:t>
          </a:r>
        </a:p>
        <a:p>
          <a:pPr algn="l"/>
          <a:endParaRPr lang="en-US" sz="1100" b="0" baseline="0">
            <a:solidFill>
              <a:schemeClr val="bg1"/>
            </a:solidFill>
          </a:endParaRPr>
        </a:p>
        <a:p>
          <a:pPr algn="l"/>
          <a:r>
            <a:rPr lang="en-US" sz="1100" b="0" baseline="0">
              <a:solidFill>
                <a:schemeClr val="bg1"/>
              </a:solidFill>
            </a:rPr>
            <a:t>OBSERVATIONS:</a:t>
          </a:r>
        </a:p>
        <a:p>
          <a:pPr algn="l"/>
          <a:r>
            <a:rPr lang="en-US" sz="1100" b="0" baseline="0">
              <a:solidFill>
                <a:schemeClr val="bg1"/>
              </a:solidFill>
            </a:rPr>
            <a:t>1. 21 years old footballers have the highest average reaction time of 254ms.</a:t>
          </a:r>
        </a:p>
        <a:p>
          <a:pPr algn="l"/>
          <a:r>
            <a:rPr lang="en-US" sz="1100" b="0" baseline="0">
              <a:solidFill>
                <a:schemeClr val="bg1"/>
              </a:solidFill>
            </a:rPr>
            <a:t>2. 23 years old footballers have the second highest  reaction time of 253 ms.</a:t>
          </a:r>
        </a:p>
        <a:p>
          <a:pPr algn="l"/>
          <a:r>
            <a:rPr lang="en-US" sz="1100" b="0" baseline="0">
              <a:solidFill>
                <a:schemeClr val="bg1"/>
              </a:solidFill>
            </a:rPr>
            <a:t>3. 18 years old footballers have the lowest reaction time of 247ms.</a:t>
          </a:r>
        </a:p>
        <a:p>
          <a:pPr algn="l"/>
          <a:endParaRPr lang="en-US" sz="1100" b="0" baseline="0">
            <a:solidFill>
              <a:schemeClr val="bg1"/>
            </a:solidFill>
          </a:endParaRPr>
        </a:p>
        <a:p>
          <a:pPr algn="l"/>
          <a:r>
            <a:rPr lang="en-US" sz="1100" b="0" baseline="0">
              <a:solidFill>
                <a:schemeClr val="bg1"/>
              </a:solidFill>
            </a:rPr>
            <a:t>PRE-INSIGHTS: </a:t>
          </a:r>
        </a:p>
        <a:p>
          <a:pPr algn="l"/>
          <a:r>
            <a:rPr lang="en-US" sz="1100" b="0" baseline="0">
              <a:solidFill>
                <a:schemeClr val="bg1"/>
              </a:solidFill>
            </a:rPr>
            <a:t>1. Further study can be carried out to discover if there is a small number of footballers around the age of 18 years in the football team, this could pose a potential adherence for younger footballers.</a:t>
          </a:r>
        </a:p>
        <a:p>
          <a:pPr algn="l"/>
          <a:r>
            <a:rPr lang="en-US" sz="1100" b="0" baseline="0">
              <a:solidFill>
                <a:schemeClr val="bg1"/>
              </a:solidFill>
            </a:rPr>
            <a:t>2. Studies should be amde on the reason behind the high reaction time of 21 years old over 23 years to discover the factors that promote their stimuli during games.</a:t>
          </a:r>
        </a:p>
        <a:p>
          <a:pPr algn="l"/>
          <a:r>
            <a:rPr lang="en-US" sz="1100" b="0" baseline="0">
              <a:solidFill>
                <a:schemeClr val="bg1"/>
              </a:solidFill>
            </a:rPr>
            <a:t>3. Proper test should be carried out on the 23 years old footballers to uncover if their high reaction time is based on high nutrition quality score or not.</a:t>
          </a:r>
        </a:p>
        <a:p>
          <a:pPr algn="l"/>
          <a:r>
            <a:rPr lang="en-US" sz="1100" b="0" baseline="0">
              <a:solidFill>
                <a:schemeClr val="bg1"/>
              </a:solidFill>
            </a:rPr>
            <a:t>4.  The coaches and IT Department can work together and implement new training schedule that involves a tech savvy training which matches each age group with a common goal to increase reaction time.</a:t>
          </a:r>
          <a:endParaRPr lang="en-NG" sz="1100" b="0">
            <a:solidFill>
              <a:schemeClr val="bg1"/>
            </a:solidFill>
          </a:endParaRPr>
        </a:p>
      </xdr:txBody>
    </xdr:sp>
    <xdr:clientData/>
  </xdr:twoCellAnchor>
  <xdr:twoCellAnchor>
    <xdr:from>
      <xdr:col>8</xdr:col>
      <xdr:colOff>171450</xdr:colOff>
      <xdr:row>0</xdr:row>
      <xdr:rowOff>95249</xdr:rowOff>
    </xdr:from>
    <xdr:to>
      <xdr:col>15</xdr:col>
      <xdr:colOff>304800</xdr:colOff>
      <xdr:row>24</xdr:row>
      <xdr:rowOff>104774</xdr:rowOff>
    </xdr:to>
    <xdr:sp macro="" textlink="">
      <xdr:nvSpPr>
        <xdr:cNvPr id="3" name="Rectangle: Rounded Corners 2">
          <a:extLst>
            <a:ext uri="{FF2B5EF4-FFF2-40B4-BE49-F238E27FC236}">
              <a16:creationId xmlns:a16="http://schemas.microsoft.com/office/drawing/2014/main" id="{6EF7A835-6AB6-46BE-9127-58FA67D9314C}"/>
            </a:ext>
          </a:extLst>
        </xdr:cNvPr>
        <xdr:cNvSpPr/>
      </xdr:nvSpPr>
      <xdr:spPr>
        <a:xfrm>
          <a:off x="5048250" y="95249"/>
          <a:ext cx="4400550" cy="4581525"/>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chemeClr val="accent1">
                  <a:lumMod val="50000"/>
                </a:schemeClr>
              </a:solidFill>
              <a:effectLst/>
              <a:latin typeface="+mn-lt"/>
              <a:ea typeface="+mn-ea"/>
              <a:cs typeface="+mn-cs"/>
            </a:rPr>
            <a:t>ANALYSIS:</a:t>
          </a:r>
          <a:r>
            <a:rPr lang="en-US" sz="1100" b="0" baseline="0">
              <a:solidFill>
                <a:schemeClr val="accent1">
                  <a:lumMod val="50000"/>
                </a:schemeClr>
              </a:solidFill>
              <a:effectLst/>
              <a:latin typeface="+mn-lt"/>
              <a:ea typeface="+mn-ea"/>
              <a:cs typeface="+mn-cs"/>
            </a:rPr>
            <a:t> Warm-up Routine Status Analysis</a:t>
          </a:r>
        </a:p>
        <a:p>
          <a:endParaRPr lang="en-NG">
            <a:solidFill>
              <a:schemeClr val="accent1">
                <a:lumMod val="50000"/>
              </a:schemeClr>
            </a:solidFill>
            <a:effectLst/>
          </a:endParaRPr>
        </a:p>
        <a:p>
          <a:r>
            <a:rPr lang="en-US" sz="1100" b="0" baseline="0">
              <a:solidFill>
                <a:schemeClr val="accent1">
                  <a:lumMod val="50000"/>
                </a:schemeClr>
              </a:solidFill>
              <a:effectLst/>
              <a:latin typeface="+mn-lt"/>
              <a:ea typeface="+mn-ea"/>
              <a:cs typeface="+mn-cs"/>
            </a:rPr>
            <a:t>OBSERVATIONS:</a:t>
          </a:r>
          <a:endParaRPr lang="en-NG">
            <a:solidFill>
              <a:schemeClr val="accent1">
                <a:lumMod val="50000"/>
              </a:schemeClr>
            </a:solidFill>
            <a:effectLst/>
          </a:endParaRPr>
        </a:p>
        <a:p>
          <a:r>
            <a:rPr lang="en-US" sz="1100" b="0" baseline="0">
              <a:solidFill>
                <a:schemeClr val="accent1">
                  <a:lumMod val="50000"/>
                </a:schemeClr>
              </a:solidFill>
              <a:effectLst/>
              <a:latin typeface="+mn-lt"/>
              <a:ea typeface="+mn-ea"/>
              <a:cs typeface="+mn-cs"/>
            </a:rPr>
            <a:t>1. 40% are adherent to warm-up routine.</a:t>
          </a:r>
        </a:p>
        <a:p>
          <a:r>
            <a:rPr lang="en-US">
              <a:solidFill>
                <a:schemeClr val="accent1">
                  <a:lumMod val="50000"/>
                </a:schemeClr>
              </a:solidFill>
              <a:effectLst/>
            </a:rPr>
            <a:t>2. 60% are non-adherent to warm-up routine.</a:t>
          </a:r>
        </a:p>
        <a:p>
          <a:endParaRPr lang="en-NG">
            <a:solidFill>
              <a:schemeClr val="accent1">
                <a:lumMod val="50000"/>
              </a:schemeClr>
            </a:solidFill>
            <a:effectLst/>
          </a:endParaRPr>
        </a:p>
        <a:p>
          <a:r>
            <a:rPr lang="en-US" sz="1100" b="0" baseline="0">
              <a:solidFill>
                <a:schemeClr val="accent1">
                  <a:lumMod val="50000"/>
                </a:schemeClr>
              </a:solidFill>
              <a:effectLst/>
              <a:latin typeface="+mn-lt"/>
              <a:ea typeface="+mn-ea"/>
              <a:cs typeface="+mn-cs"/>
            </a:rPr>
            <a:t>PRE-INSIGHTS: </a:t>
          </a:r>
          <a:endParaRPr lang="en-NG">
            <a:solidFill>
              <a:schemeClr val="accent1">
                <a:lumMod val="50000"/>
              </a:schemeClr>
            </a:solidFill>
            <a:effectLst/>
          </a:endParaRPr>
        </a:p>
        <a:p>
          <a:pPr algn="l"/>
          <a:r>
            <a:rPr lang="en-US" sz="1100" baseline="0">
              <a:solidFill>
                <a:schemeClr val="accent1">
                  <a:lumMod val="50000"/>
                </a:schemeClr>
              </a:solidFill>
            </a:rPr>
            <a:t>1. Coaches should make sure that all age groups adhere to warm-up routine and not skip it. Proper follow-up on the daily activities of each footballer should be closely monitored and rules should be implemented.</a:t>
          </a:r>
        </a:p>
        <a:p>
          <a:pPr algn="l"/>
          <a:r>
            <a:rPr lang="en-US" sz="1100" baseline="0">
              <a:solidFill>
                <a:schemeClr val="accent1">
                  <a:lumMod val="50000"/>
                </a:schemeClr>
              </a:solidFill>
            </a:rPr>
            <a:t>2. The althelic department team should consider improving their warm-up exercises and complexity inorder to reduce the 60% of footballers that are not adherent to the warm-up routine.</a:t>
          </a:r>
        </a:p>
        <a:p>
          <a:pPr algn="l"/>
          <a:r>
            <a:rPr lang="en-US" sz="1100" baseline="0">
              <a:solidFill>
                <a:schemeClr val="accent1">
                  <a:lumMod val="50000"/>
                </a:schemeClr>
              </a:solidFill>
            </a:rPr>
            <a:t>3. For proper decision making the data management team should ensure that complete, accurate, reliable and timely data is collected during warm-up routines and during matches inorder to check other factors such as mental fatigue, boredom and perceived inefficiency and poor understanding of each football players.</a:t>
          </a:r>
        </a:p>
        <a:p>
          <a:pPr algn="l"/>
          <a:r>
            <a:rPr lang="en-US" sz="1100" baseline="0">
              <a:solidFill>
                <a:schemeClr val="accent1">
                  <a:lumMod val="50000"/>
                </a:schemeClr>
              </a:solidFill>
            </a:rPr>
            <a:t>4. The Data Management team can also check if BMI, height, weight and other factors affect their attitude towards warm-up routine and implement appropriate measures. </a:t>
          </a:r>
        </a:p>
        <a:p>
          <a:pPr algn="l"/>
          <a:endParaRPr lang="en-US" sz="1100" baseline="0">
            <a:solidFill>
              <a:schemeClr val="accent1">
                <a:lumMod val="50000"/>
              </a:schemeClr>
            </a:solidFill>
          </a:endParaRPr>
        </a:p>
      </xdr:txBody>
    </xdr:sp>
    <xdr:clientData/>
  </xdr:twoCellAnchor>
  <xdr:twoCellAnchor>
    <xdr:from>
      <xdr:col>16</xdr:col>
      <xdr:colOff>19049</xdr:colOff>
      <xdr:row>0</xdr:row>
      <xdr:rowOff>59530</xdr:rowOff>
    </xdr:from>
    <xdr:to>
      <xdr:col>23</xdr:col>
      <xdr:colOff>238125</xdr:colOff>
      <xdr:row>24</xdr:row>
      <xdr:rowOff>95250</xdr:rowOff>
    </xdr:to>
    <xdr:sp macro="" textlink="">
      <xdr:nvSpPr>
        <xdr:cNvPr id="5" name="Rectangle: Rounded Corners 4">
          <a:extLst>
            <a:ext uri="{FF2B5EF4-FFF2-40B4-BE49-F238E27FC236}">
              <a16:creationId xmlns:a16="http://schemas.microsoft.com/office/drawing/2014/main" id="{A23736AD-F256-49BC-9F42-D84D3C1EC0DF}"/>
            </a:ext>
          </a:extLst>
        </xdr:cNvPr>
        <xdr:cNvSpPr/>
      </xdr:nvSpPr>
      <xdr:spPr>
        <a:xfrm>
          <a:off x="9772649" y="59530"/>
          <a:ext cx="4486276" cy="4607720"/>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ANALYSIS:</a:t>
          </a:r>
          <a:r>
            <a:rPr lang="en-US" sz="1100" b="0" baseline="0">
              <a:solidFill>
                <a:schemeClr val="lt1"/>
              </a:solidFill>
              <a:effectLst/>
              <a:latin typeface="+mn-lt"/>
              <a:ea typeface="+mn-ea"/>
              <a:cs typeface="+mn-cs"/>
            </a:rPr>
            <a:t> Weekly Training Hours By Total Matches Played</a:t>
          </a:r>
          <a:endParaRPr lang="en-NG">
            <a:effectLst/>
          </a:endParaRPr>
        </a:p>
        <a:p>
          <a:r>
            <a:rPr lang="en-US" sz="1100" b="0" baseline="0">
              <a:solidFill>
                <a:schemeClr val="lt1"/>
              </a:solidFill>
              <a:effectLst/>
              <a:latin typeface="+mn-lt"/>
              <a:ea typeface="+mn-ea"/>
              <a:cs typeface="+mn-cs"/>
            </a:rPr>
            <a:t>OBSERVATIONS:</a:t>
          </a:r>
          <a:endParaRPr lang="en-NG">
            <a:effectLst/>
          </a:endParaRPr>
        </a:p>
        <a:p>
          <a:r>
            <a:rPr lang="en-US" sz="1100" b="0" baseline="0">
              <a:solidFill>
                <a:schemeClr val="lt1"/>
              </a:solidFill>
              <a:effectLst/>
              <a:latin typeface="+mn-lt"/>
              <a:ea typeface="+mn-ea"/>
              <a:cs typeface="+mn-cs"/>
            </a:rPr>
            <a:t>1. Weekly training of 10-11 hours  is the 1st ranked with a total of 127 played matches.</a:t>
          </a:r>
        </a:p>
        <a:p>
          <a:pPr marL="0" marR="0" lvl="0" indent="0" defTabSz="914400" eaLnBrk="1" fontAlgn="auto" latinLnBrk="0" hangingPunct="1">
            <a:lnSpc>
              <a:spcPct val="100000"/>
            </a:lnSpc>
            <a:spcBef>
              <a:spcPts val="0"/>
            </a:spcBef>
            <a:spcAft>
              <a:spcPts val="0"/>
            </a:spcAft>
            <a:buClrTx/>
            <a:buSzTx/>
            <a:buFontTx/>
            <a:buNone/>
            <a:tabLst/>
            <a:defRPr/>
          </a:pPr>
          <a:r>
            <a:rPr lang="en-US">
              <a:effectLst/>
            </a:rPr>
            <a:t>2. </a:t>
          </a:r>
          <a:r>
            <a:rPr lang="en-US" sz="1100" b="0" baseline="0">
              <a:solidFill>
                <a:schemeClr val="lt1"/>
              </a:solidFill>
              <a:effectLst/>
              <a:latin typeface="+mn-lt"/>
              <a:ea typeface="+mn-ea"/>
              <a:cs typeface="+mn-cs"/>
            </a:rPr>
            <a:t>. Weekly training of 9-10 hours  is the 2nd ranked with a total of 118 played matches.</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chemeClr val="lt1"/>
              </a:solidFill>
              <a:effectLst/>
              <a:latin typeface="+mn-lt"/>
              <a:ea typeface="+mn-ea"/>
              <a:cs typeface="+mn-cs"/>
            </a:rPr>
            <a:t>3. Weekly training of 7-8 hours  is the last ranked with a total of 84 played matches.</a:t>
          </a:r>
        </a:p>
        <a:p>
          <a:pPr marL="0" marR="0" lvl="0" indent="0" defTabSz="914400" eaLnBrk="1" fontAlgn="auto" latinLnBrk="0" hangingPunct="1">
            <a:lnSpc>
              <a:spcPct val="100000"/>
            </a:lnSpc>
            <a:spcBef>
              <a:spcPts val="0"/>
            </a:spcBef>
            <a:spcAft>
              <a:spcPts val="0"/>
            </a:spcAft>
            <a:buClrTx/>
            <a:buSzTx/>
            <a:buFontTx/>
            <a:buNone/>
            <a:tabLst/>
            <a:defRPr/>
          </a:pPr>
          <a:endParaRPr lang="en-NG">
            <a:effectLst/>
          </a:endParaRPr>
        </a:p>
        <a:p>
          <a:r>
            <a:rPr lang="en-US" sz="1100" b="0" baseline="0">
              <a:solidFill>
                <a:schemeClr val="lt1"/>
              </a:solidFill>
              <a:effectLst/>
              <a:latin typeface="+mn-lt"/>
              <a:ea typeface="+mn-ea"/>
              <a:cs typeface="+mn-cs"/>
            </a:rPr>
            <a:t>PRE-INSIGHTS: </a:t>
          </a:r>
          <a:endParaRPr lang="en-NG">
            <a:effectLst/>
          </a:endParaRPr>
        </a:p>
        <a:p>
          <a:r>
            <a:rPr lang="en-US" sz="1100" b="0" baseline="0">
              <a:solidFill>
                <a:schemeClr val="lt1"/>
              </a:solidFill>
              <a:effectLst/>
              <a:latin typeface="+mn-lt"/>
              <a:ea typeface="+mn-ea"/>
              <a:cs typeface="+mn-cs"/>
            </a:rPr>
            <a:t>1. It is observed that the more hours of training the more prepared the footballers are to play more matches. </a:t>
          </a:r>
        </a:p>
        <a:p>
          <a:r>
            <a:rPr lang="en-US" sz="1100" b="0" baseline="0">
              <a:solidFill>
                <a:schemeClr val="lt1"/>
              </a:solidFill>
              <a:effectLst/>
              <a:latin typeface="+mn-lt"/>
              <a:ea typeface="+mn-ea"/>
              <a:cs typeface="+mn-cs"/>
            </a:rPr>
            <a:t>2. Weekly training schedule should be optimised to fit each season of the year and each football teams these footballes are playing against in any state.</a:t>
          </a:r>
        </a:p>
        <a:p>
          <a:r>
            <a:rPr lang="en-US" sz="1100" b="0" baseline="0">
              <a:solidFill>
                <a:schemeClr val="lt1"/>
              </a:solidFill>
              <a:effectLst/>
              <a:latin typeface="+mn-lt"/>
              <a:ea typeface="+mn-ea"/>
              <a:cs typeface="+mn-cs"/>
            </a:rPr>
            <a:t>3. For each game played, the althelic departmet should strategise on the adequate equipments  needed for effectiveness on the football field.</a:t>
          </a:r>
        </a:p>
        <a:p>
          <a:r>
            <a:rPr lang="en-US" sz="1100" b="0" baseline="0">
              <a:solidFill>
                <a:schemeClr val="lt1"/>
              </a:solidFill>
              <a:effectLst/>
              <a:latin typeface="+mn-lt"/>
              <a:ea typeface="+mn-ea"/>
              <a:cs typeface="+mn-cs"/>
            </a:rPr>
            <a:t>4.  The coaches should improve on their nutrition grade inorder for them to play any matches successfully and more emphasis can be made on improving their sustainance on the field for each game. Proper plans should be implemented beofre each game and changing strategy per game would help the team to play successfully.</a:t>
          </a:r>
          <a:endParaRPr lang="en-NG" sz="1100" b="0">
            <a:solidFill>
              <a:schemeClr val="bg1"/>
            </a:solidFill>
          </a:endParaRPr>
        </a:p>
      </xdr:txBody>
    </xdr:sp>
    <xdr:clientData/>
  </xdr:twoCellAnchor>
  <xdr:twoCellAnchor>
    <xdr:from>
      <xdr:col>0</xdr:col>
      <xdr:colOff>171450</xdr:colOff>
      <xdr:row>25</xdr:row>
      <xdr:rowOff>152399</xdr:rowOff>
    </xdr:from>
    <xdr:to>
      <xdr:col>7</xdr:col>
      <xdr:colOff>304800</xdr:colOff>
      <xdr:row>49</xdr:row>
      <xdr:rowOff>161924</xdr:rowOff>
    </xdr:to>
    <xdr:sp macro="" textlink="">
      <xdr:nvSpPr>
        <xdr:cNvPr id="6" name="Rectangle: Rounded Corners 5">
          <a:extLst>
            <a:ext uri="{FF2B5EF4-FFF2-40B4-BE49-F238E27FC236}">
              <a16:creationId xmlns:a16="http://schemas.microsoft.com/office/drawing/2014/main" id="{3225892A-92DD-A457-B955-81AFCCDA69CF}"/>
            </a:ext>
          </a:extLst>
        </xdr:cNvPr>
        <xdr:cNvSpPr/>
      </xdr:nvSpPr>
      <xdr:spPr>
        <a:xfrm>
          <a:off x="171450" y="4914899"/>
          <a:ext cx="4400550" cy="4581525"/>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chemeClr val="accent1">
                  <a:lumMod val="50000"/>
                </a:schemeClr>
              </a:solidFill>
              <a:effectLst/>
              <a:latin typeface="+mn-lt"/>
              <a:ea typeface="+mn-ea"/>
              <a:cs typeface="+mn-cs"/>
            </a:rPr>
            <a:t>ANALYSIS:</a:t>
          </a:r>
          <a:r>
            <a:rPr lang="en-US" sz="1100" b="0" baseline="0">
              <a:solidFill>
                <a:schemeClr val="accent1">
                  <a:lumMod val="50000"/>
                </a:schemeClr>
              </a:solidFill>
              <a:effectLst/>
              <a:latin typeface="+mn-lt"/>
              <a:ea typeface="+mn-ea"/>
              <a:cs typeface="+mn-cs"/>
            </a:rPr>
            <a:t> Average Knee and Hamstring Scores By Age</a:t>
          </a:r>
        </a:p>
        <a:p>
          <a:endParaRPr lang="en-NG">
            <a:solidFill>
              <a:schemeClr val="accent1">
                <a:lumMod val="50000"/>
              </a:schemeClr>
            </a:solidFill>
            <a:effectLst/>
          </a:endParaRPr>
        </a:p>
        <a:p>
          <a:r>
            <a:rPr lang="en-US" sz="1100" b="0" baseline="0">
              <a:solidFill>
                <a:schemeClr val="accent1">
                  <a:lumMod val="50000"/>
                </a:schemeClr>
              </a:solidFill>
              <a:effectLst/>
              <a:latin typeface="+mn-lt"/>
              <a:ea typeface="+mn-ea"/>
              <a:cs typeface="+mn-cs"/>
            </a:rPr>
            <a:t>OBSERVATIONS:</a:t>
          </a:r>
          <a:endParaRPr lang="en-NG">
            <a:solidFill>
              <a:schemeClr val="accent1">
                <a:lumMod val="50000"/>
              </a:schemeClr>
            </a:solidFill>
            <a:effectLst/>
          </a:endParaRPr>
        </a:p>
        <a:p>
          <a:r>
            <a:rPr lang="en-US" sz="1100" b="0" baseline="0">
              <a:solidFill>
                <a:schemeClr val="accent1">
                  <a:lumMod val="50000"/>
                </a:schemeClr>
              </a:solidFill>
              <a:effectLst/>
              <a:latin typeface="+mn-lt"/>
              <a:ea typeface="+mn-ea"/>
              <a:cs typeface="+mn-cs"/>
            </a:rPr>
            <a:t>1. Age 23 have the highest average Hamstring score of 79.51 with the lowest value for average knee score of 74.30.</a:t>
          </a:r>
        </a:p>
        <a:p>
          <a:r>
            <a:rPr lang="en-US">
              <a:solidFill>
                <a:schemeClr val="accent1">
                  <a:lumMod val="50000"/>
                </a:schemeClr>
              </a:solidFill>
              <a:effectLst/>
            </a:rPr>
            <a:t>2. Age 18 have the second highest average Hamstring score of 79.44 with a</a:t>
          </a:r>
          <a:r>
            <a:rPr lang="en-US" baseline="0">
              <a:solidFill>
                <a:schemeClr val="accent1">
                  <a:lumMod val="50000"/>
                </a:schemeClr>
              </a:solidFill>
              <a:effectLst/>
            </a:rPr>
            <a:t> corresponding </a:t>
          </a:r>
          <a:r>
            <a:rPr lang="en-US">
              <a:solidFill>
                <a:schemeClr val="accent1">
                  <a:lumMod val="50000"/>
                </a:schemeClr>
              </a:solidFill>
              <a:effectLst/>
            </a:rPr>
            <a:t>average knee score of 75.14.</a:t>
          </a:r>
        </a:p>
        <a:p>
          <a:r>
            <a:rPr lang="en-US">
              <a:solidFill>
                <a:schemeClr val="accent1">
                  <a:lumMod val="50000"/>
                </a:schemeClr>
              </a:solidFill>
              <a:effectLst/>
            </a:rPr>
            <a:t>3. Age 20 has the highest average knee score of 75.35 with a corresponding average hamstring</a:t>
          </a:r>
          <a:r>
            <a:rPr lang="en-US" baseline="0">
              <a:solidFill>
                <a:schemeClr val="accent1">
                  <a:lumMod val="50000"/>
                </a:schemeClr>
              </a:solidFill>
              <a:effectLst/>
            </a:rPr>
            <a:t> score of 79.35.</a:t>
          </a:r>
          <a:endParaRPr lang="en-US">
            <a:solidFill>
              <a:schemeClr val="accent1">
                <a:lumMod val="50000"/>
              </a:schemeClr>
            </a:solidFill>
            <a:effectLst/>
          </a:endParaRPr>
        </a:p>
        <a:p>
          <a:endParaRPr lang="en-NG">
            <a:solidFill>
              <a:schemeClr val="accent1">
                <a:lumMod val="50000"/>
              </a:schemeClr>
            </a:solidFill>
            <a:effectLst/>
          </a:endParaRPr>
        </a:p>
        <a:p>
          <a:r>
            <a:rPr lang="en-US" sz="1100" b="0" baseline="0">
              <a:solidFill>
                <a:schemeClr val="accent1">
                  <a:lumMod val="50000"/>
                </a:schemeClr>
              </a:solidFill>
              <a:effectLst/>
              <a:latin typeface="+mn-lt"/>
              <a:ea typeface="+mn-ea"/>
              <a:cs typeface="+mn-cs"/>
            </a:rPr>
            <a:t>PRE-INSIGHTS: </a:t>
          </a:r>
          <a:endParaRPr lang="en-NG">
            <a:solidFill>
              <a:schemeClr val="accent1">
                <a:lumMod val="50000"/>
              </a:schemeClr>
            </a:solidFill>
            <a:effectLst/>
          </a:endParaRPr>
        </a:p>
        <a:p>
          <a:pPr algn="l"/>
          <a:r>
            <a:rPr lang="en-US" sz="1100" baseline="0">
              <a:solidFill>
                <a:schemeClr val="accent1">
                  <a:lumMod val="50000"/>
                </a:schemeClr>
              </a:solidFill>
            </a:rPr>
            <a:t>1. Invesigations should be made on the effect of a high knee strength score on the hamstring score for each age.</a:t>
          </a:r>
        </a:p>
        <a:p>
          <a:pPr algn="l"/>
          <a:r>
            <a:rPr lang="en-US" sz="1100" baseline="0">
              <a:solidFill>
                <a:schemeClr val="accent1">
                  <a:lumMod val="50000"/>
                </a:schemeClr>
              </a:solidFill>
            </a:rPr>
            <a:t>2. The Athletic department should consider checking if the high hamstring for 23 years old footballers is due to the high reaction time of these 23 years old footballers then look out for other factors that could increase the hamstring of each footballers.</a:t>
          </a:r>
        </a:p>
        <a:p>
          <a:pPr algn="l"/>
          <a:r>
            <a:rPr lang="en-US" sz="1100" baseline="0">
              <a:solidFill>
                <a:schemeClr val="accent1">
                  <a:lumMod val="50000"/>
                </a:schemeClr>
              </a:solidFill>
            </a:rPr>
            <a:t>3. The coaches should educate all footballers on the importance of having a moderate or average hamstring and knee strength score and how it is applied for each game.</a:t>
          </a:r>
        </a:p>
        <a:p>
          <a:pPr algn="l"/>
          <a:r>
            <a:rPr lang="en-US" sz="1100" baseline="0">
              <a:solidFill>
                <a:schemeClr val="accent1">
                  <a:lumMod val="50000"/>
                </a:schemeClr>
              </a:solidFill>
            </a:rPr>
            <a:t>4. The nutrition department incharge of the nutrition delivered to all footballers should reconsider the effect of each nutrition on each age groups.</a:t>
          </a:r>
        </a:p>
      </xdr:txBody>
    </xdr:sp>
    <xdr:clientData/>
  </xdr:twoCellAnchor>
  <xdr:twoCellAnchor>
    <xdr:from>
      <xdr:col>8</xdr:col>
      <xdr:colOff>169068</xdr:colOff>
      <xdr:row>26</xdr:row>
      <xdr:rowOff>14287</xdr:rowOff>
    </xdr:from>
    <xdr:to>
      <xdr:col>15</xdr:col>
      <xdr:colOff>302418</xdr:colOff>
      <xdr:row>50</xdr:row>
      <xdr:rowOff>47625</xdr:rowOff>
    </xdr:to>
    <xdr:sp macro="" textlink="">
      <xdr:nvSpPr>
        <xdr:cNvPr id="7" name="Rectangle: Rounded Corners 6">
          <a:extLst>
            <a:ext uri="{FF2B5EF4-FFF2-40B4-BE49-F238E27FC236}">
              <a16:creationId xmlns:a16="http://schemas.microsoft.com/office/drawing/2014/main" id="{9B2950BC-72A4-5D59-6BB7-E36E6C288815}"/>
            </a:ext>
          </a:extLst>
        </xdr:cNvPr>
        <xdr:cNvSpPr/>
      </xdr:nvSpPr>
      <xdr:spPr>
        <a:xfrm>
          <a:off x="5045868" y="4967287"/>
          <a:ext cx="4400550" cy="4605338"/>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bg1"/>
              </a:solidFill>
            </a:rPr>
            <a:t>ANALYSIS:</a:t>
          </a:r>
          <a:r>
            <a:rPr lang="en-US" sz="1100" b="0" baseline="0">
              <a:solidFill>
                <a:schemeClr val="bg1"/>
              </a:solidFill>
            </a:rPr>
            <a:t> Performance of Nutrition grade by average future injury</a:t>
          </a:r>
        </a:p>
        <a:p>
          <a:pPr algn="l"/>
          <a:endParaRPr lang="en-US" sz="1100" b="0" baseline="0">
            <a:solidFill>
              <a:schemeClr val="bg1"/>
            </a:solidFill>
          </a:endParaRPr>
        </a:p>
        <a:p>
          <a:pPr algn="l"/>
          <a:r>
            <a:rPr lang="en-US" sz="1100" b="0" baseline="0">
              <a:solidFill>
                <a:schemeClr val="bg1"/>
              </a:solidFill>
            </a:rPr>
            <a:t>OBSERVATIONS:</a:t>
          </a:r>
        </a:p>
        <a:p>
          <a:pPr algn="l"/>
          <a:r>
            <a:rPr lang="en-US" sz="1100" b="0" baseline="0">
              <a:solidFill>
                <a:schemeClr val="bg1"/>
              </a:solidFill>
            </a:rPr>
            <a:t>1. Poor nutrition has the highest average future ingury of 0.74.</a:t>
          </a:r>
        </a:p>
        <a:p>
          <a:pPr algn="l"/>
          <a:r>
            <a:rPr lang="en-US" sz="1100" b="0" baseline="0">
              <a:solidFill>
                <a:schemeClr val="bg1"/>
              </a:solidFill>
            </a:rPr>
            <a:t>2. Average nutrition has the second highest average future ingury of 0.60.</a:t>
          </a:r>
        </a:p>
        <a:p>
          <a:pPr algn="l"/>
          <a:r>
            <a:rPr lang="en-US" sz="1100" b="0" baseline="0">
              <a:solidFill>
                <a:schemeClr val="bg1"/>
              </a:solidFill>
            </a:rPr>
            <a:t>3. Good nutrition has the lowest average future ingury of 0.20.</a:t>
          </a:r>
        </a:p>
        <a:p>
          <a:pPr algn="l"/>
          <a:endParaRPr lang="en-US" sz="1100" b="0" baseline="0">
            <a:solidFill>
              <a:schemeClr val="bg1"/>
            </a:solidFill>
          </a:endParaRPr>
        </a:p>
        <a:p>
          <a:pPr algn="l"/>
          <a:r>
            <a:rPr lang="en-US" sz="1100" b="0" baseline="0">
              <a:solidFill>
                <a:schemeClr val="bg1"/>
              </a:solidFill>
            </a:rPr>
            <a:t>PRE-INSIGHTS: </a:t>
          </a:r>
        </a:p>
        <a:p>
          <a:pPr algn="l"/>
          <a:r>
            <a:rPr lang="en-US" sz="1100" b="0" baseline="0">
              <a:solidFill>
                <a:schemeClr val="bg1"/>
              </a:solidFill>
            </a:rPr>
            <a:t>1. It is clearly obeserved that footballers that have poor nutrition are more likely to have injuries than footballers with good nutrition and average nutrition.</a:t>
          </a:r>
        </a:p>
        <a:p>
          <a:pPr algn="l"/>
          <a:r>
            <a:rPr lang="en-US" sz="1100" b="0" baseline="0">
              <a:solidFill>
                <a:schemeClr val="bg1"/>
              </a:solidFill>
            </a:rPr>
            <a:t>2. The data management team should evaluate the nutrients present in each food supplied to the footballers and it should include the proper nutrients like calcium, zinc, iron and all other nutrients that is very important for their performance on the football field.</a:t>
          </a:r>
        </a:p>
        <a:p>
          <a:pPr algn="l"/>
          <a:r>
            <a:rPr lang="en-US" sz="1100" b="0" baseline="0">
              <a:solidFill>
                <a:schemeClr val="bg1"/>
              </a:solidFill>
            </a:rPr>
            <a:t>3. There should be a new food schedule for each season of game because of the change in their body system during each game played.</a:t>
          </a:r>
        </a:p>
        <a:p>
          <a:pPr algn="l"/>
          <a:r>
            <a:rPr lang="en-US" sz="1100" b="0" baseline="0">
              <a:solidFill>
                <a:schemeClr val="bg1"/>
              </a:solidFill>
            </a:rPr>
            <a:t>4. investigations should be made on the effect of nutrition grade for each age group.</a:t>
          </a:r>
          <a:endParaRPr lang="en-NG" sz="1100" b="0">
            <a:solidFill>
              <a:schemeClr val="bg1"/>
            </a:solidFill>
          </a:endParaRPr>
        </a:p>
      </xdr:txBody>
    </xdr:sp>
    <xdr:clientData/>
  </xdr:twoCellAnchor>
  <xdr:twoCellAnchor>
    <xdr:from>
      <xdr:col>16</xdr:col>
      <xdr:colOff>133350</xdr:colOff>
      <xdr:row>26</xdr:row>
      <xdr:rowOff>38099</xdr:rowOff>
    </xdr:from>
    <xdr:to>
      <xdr:col>23</xdr:col>
      <xdr:colOff>266700</xdr:colOff>
      <xdr:row>50</xdr:row>
      <xdr:rowOff>47624</xdr:rowOff>
    </xdr:to>
    <xdr:sp macro="" textlink="">
      <xdr:nvSpPr>
        <xdr:cNvPr id="8" name="Rectangle: Rounded Corners 7">
          <a:extLst>
            <a:ext uri="{FF2B5EF4-FFF2-40B4-BE49-F238E27FC236}">
              <a16:creationId xmlns:a16="http://schemas.microsoft.com/office/drawing/2014/main" id="{1874618D-11C9-9E0C-9E28-D2DD9D917729}"/>
            </a:ext>
          </a:extLst>
        </xdr:cNvPr>
        <xdr:cNvSpPr/>
      </xdr:nvSpPr>
      <xdr:spPr>
        <a:xfrm>
          <a:off x="9886950" y="4991099"/>
          <a:ext cx="4400550" cy="4581525"/>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chemeClr val="accent1">
                  <a:lumMod val="50000"/>
                </a:schemeClr>
              </a:solidFill>
              <a:effectLst/>
              <a:latin typeface="+mn-lt"/>
              <a:ea typeface="+mn-ea"/>
              <a:cs typeface="+mn-cs"/>
            </a:rPr>
            <a:t>ANALYSIS:</a:t>
          </a:r>
          <a:r>
            <a:rPr lang="en-US" sz="1100" b="0" baseline="0">
              <a:solidFill>
                <a:schemeClr val="accent1">
                  <a:lumMod val="50000"/>
                </a:schemeClr>
              </a:solidFill>
              <a:effectLst/>
              <a:latin typeface="+mn-lt"/>
              <a:ea typeface="+mn-ea"/>
              <a:cs typeface="+mn-cs"/>
            </a:rPr>
            <a:t> Daily Sleep Hours By Average Stress Level Score</a:t>
          </a:r>
        </a:p>
        <a:p>
          <a:endParaRPr lang="en-US" sz="1100" b="0" baseline="0">
            <a:solidFill>
              <a:schemeClr val="accent1">
                <a:lumMod val="50000"/>
              </a:schemeClr>
            </a:solidFill>
            <a:effectLst/>
            <a:latin typeface="+mn-lt"/>
            <a:ea typeface="+mn-ea"/>
            <a:cs typeface="+mn-cs"/>
          </a:endParaRPr>
        </a:p>
        <a:p>
          <a:r>
            <a:rPr lang="en-US" sz="1100" b="0" baseline="0">
              <a:solidFill>
                <a:schemeClr val="accent1">
                  <a:lumMod val="50000"/>
                </a:schemeClr>
              </a:solidFill>
              <a:effectLst/>
              <a:latin typeface="+mn-lt"/>
              <a:ea typeface="+mn-ea"/>
              <a:cs typeface="+mn-cs"/>
            </a:rPr>
            <a:t>OBSERVATIONS:</a:t>
          </a:r>
          <a:endParaRPr lang="en-NG">
            <a:solidFill>
              <a:schemeClr val="accent1">
                <a:lumMod val="50000"/>
              </a:schemeClr>
            </a:solidFill>
            <a:effectLst/>
          </a:endParaRPr>
        </a:p>
        <a:p>
          <a:r>
            <a:rPr lang="en-US" sz="1100" b="0" baseline="0">
              <a:solidFill>
                <a:schemeClr val="accent1">
                  <a:lumMod val="50000"/>
                </a:schemeClr>
              </a:solidFill>
              <a:effectLst/>
              <a:latin typeface="+mn-lt"/>
              <a:ea typeface="+mn-ea"/>
              <a:cs typeface="+mn-cs"/>
            </a:rPr>
            <a:t>1. 5-6 hours of sleep top ranked with the highest average stress level score of 60.</a:t>
          </a:r>
        </a:p>
        <a:p>
          <a:r>
            <a:rPr lang="en-US" sz="1100" b="0" baseline="0">
              <a:solidFill>
                <a:schemeClr val="accent1">
                  <a:lumMod val="50000"/>
                </a:schemeClr>
              </a:solidFill>
              <a:effectLst/>
              <a:latin typeface="+mn-lt"/>
              <a:ea typeface="+mn-ea"/>
              <a:cs typeface="+mn-cs"/>
            </a:rPr>
            <a:t>2. 6-7 hours of sleep is the second top ranked with the highest average stress level score of 57.</a:t>
          </a:r>
        </a:p>
        <a:p>
          <a:r>
            <a:rPr lang="en-US" sz="1100" b="0" baseline="0">
              <a:solidFill>
                <a:schemeClr val="accent1">
                  <a:lumMod val="50000"/>
                </a:schemeClr>
              </a:solidFill>
              <a:effectLst/>
              <a:latin typeface="+mn-lt"/>
              <a:ea typeface="+mn-ea"/>
              <a:cs typeface="+mn-cs"/>
            </a:rPr>
            <a:t>3. 8-9 hours of sleep is the lease ranked with the average level score of 51.</a:t>
          </a:r>
        </a:p>
        <a:p>
          <a:endParaRPr lang="en-NG">
            <a:solidFill>
              <a:schemeClr val="accent1">
                <a:lumMod val="50000"/>
              </a:schemeClr>
            </a:solidFill>
            <a:effectLst/>
          </a:endParaRPr>
        </a:p>
        <a:p>
          <a:r>
            <a:rPr lang="en-US" sz="1100" b="0" baseline="0">
              <a:solidFill>
                <a:schemeClr val="accent1">
                  <a:lumMod val="50000"/>
                </a:schemeClr>
              </a:solidFill>
              <a:effectLst/>
              <a:latin typeface="+mn-lt"/>
              <a:ea typeface="+mn-ea"/>
              <a:cs typeface="+mn-cs"/>
            </a:rPr>
            <a:t>PRE-INSIGHTS: </a:t>
          </a:r>
          <a:endParaRPr lang="en-NG">
            <a:solidFill>
              <a:schemeClr val="accent1">
                <a:lumMod val="50000"/>
              </a:schemeClr>
            </a:solidFill>
            <a:effectLst/>
          </a:endParaRPr>
        </a:p>
        <a:p>
          <a:pPr algn="l"/>
          <a:r>
            <a:rPr lang="en-US" sz="1100" baseline="0">
              <a:solidFill>
                <a:schemeClr val="accent1">
                  <a:lumMod val="50000"/>
                </a:schemeClr>
              </a:solidFill>
            </a:rPr>
            <a:t>1. Players sleeping only 5–6 hours show the highest stress score (60), suggesting inadequate rest strongly elevates stress levels.</a:t>
          </a:r>
        </a:p>
        <a:p>
          <a:pPr algn="l"/>
          <a:r>
            <a:rPr lang="en-US" sz="1100" baseline="0">
              <a:solidFill>
                <a:schemeClr val="accent1">
                  <a:lumMod val="50000"/>
                </a:schemeClr>
              </a:solidFill>
            </a:rPr>
            <a:t>2. Those sleeping 6–7 hours still experience high stress (57), indicating partial but insufficient recovery.</a:t>
          </a:r>
        </a:p>
        <a:p>
          <a:pPr algn="l"/>
          <a:r>
            <a:rPr lang="en-US" sz="1100" baseline="0">
              <a:solidFill>
                <a:schemeClr val="accent1">
                  <a:lumMod val="50000"/>
                </a:schemeClr>
              </a:solidFill>
            </a:rPr>
            <a:t>3. Players getting 8–9 hours of sleep record the lowest stress (51), confirming that longer, quality rest effectively reduces overall stress and supports better mental resilience.</a:t>
          </a:r>
        </a:p>
        <a:p>
          <a:pPr algn="l"/>
          <a:r>
            <a:rPr lang="en-US" sz="1100" baseline="0">
              <a:solidFill>
                <a:schemeClr val="accent1">
                  <a:lumMod val="50000"/>
                </a:schemeClr>
              </a:solidFill>
            </a:rPr>
            <a:t>4. Proper medical check-up can be done to uncover hidden health issues that might arise due to increased stress level.</a:t>
          </a:r>
        </a:p>
        <a:p>
          <a:pPr algn="l"/>
          <a:r>
            <a:rPr lang="en-US" sz="1100" baseline="0">
              <a:solidFill>
                <a:schemeClr val="accent1">
                  <a:lumMod val="50000"/>
                </a:schemeClr>
              </a:solidFill>
            </a:rPr>
            <a:t>5. Further investigations can be made to uncover if the stress level score could be due to strenuos warm-up routine and training schedules.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71439</xdr:colOff>
      <xdr:row>0</xdr:row>
      <xdr:rowOff>59531</xdr:rowOff>
    </xdr:from>
    <xdr:to>
      <xdr:col>34</xdr:col>
      <xdr:colOff>365125</xdr:colOff>
      <xdr:row>4</xdr:row>
      <xdr:rowOff>59531</xdr:rowOff>
    </xdr:to>
    <xdr:sp macro="" textlink="">
      <xdr:nvSpPr>
        <xdr:cNvPr id="2" name="Rectangle 1">
          <a:extLst>
            <a:ext uri="{FF2B5EF4-FFF2-40B4-BE49-F238E27FC236}">
              <a16:creationId xmlns:a16="http://schemas.microsoft.com/office/drawing/2014/main" id="{16F5DBDF-E5B0-4454-FC39-AC133E68FC92}"/>
            </a:ext>
          </a:extLst>
        </xdr:cNvPr>
        <xdr:cNvSpPr/>
      </xdr:nvSpPr>
      <xdr:spPr>
        <a:xfrm>
          <a:off x="71439" y="59531"/>
          <a:ext cx="20804186" cy="762000"/>
        </a:xfrm>
        <a:prstGeom prst="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69060</xdr:colOff>
      <xdr:row>4</xdr:row>
      <xdr:rowOff>174625</xdr:rowOff>
    </xdr:from>
    <xdr:to>
      <xdr:col>1</xdr:col>
      <xdr:colOff>500065</xdr:colOff>
      <xdr:row>44</xdr:row>
      <xdr:rowOff>142874</xdr:rowOff>
    </xdr:to>
    <xdr:sp macro="" textlink="">
      <xdr:nvSpPr>
        <xdr:cNvPr id="3" name="Rectangle 2">
          <a:extLst>
            <a:ext uri="{FF2B5EF4-FFF2-40B4-BE49-F238E27FC236}">
              <a16:creationId xmlns:a16="http://schemas.microsoft.com/office/drawing/2014/main" id="{1C0D9B36-195F-36E0-1B0F-D94098FB1275}"/>
            </a:ext>
          </a:extLst>
        </xdr:cNvPr>
        <xdr:cNvSpPr/>
      </xdr:nvSpPr>
      <xdr:spPr>
        <a:xfrm>
          <a:off x="69060" y="936625"/>
          <a:ext cx="1034255" cy="7588249"/>
        </a:xfrm>
        <a:prstGeom prst="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603251</xdr:colOff>
      <xdr:row>19</xdr:row>
      <xdr:rowOff>15876</xdr:rowOff>
    </xdr:from>
    <xdr:to>
      <xdr:col>13</xdr:col>
      <xdr:colOff>539751</xdr:colOff>
      <xdr:row>31</xdr:row>
      <xdr:rowOff>47626</xdr:rowOff>
    </xdr:to>
    <xdr:graphicFrame macro="">
      <xdr:nvGraphicFramePr>
        <xdr:cNvPr id="4" name="Chart 3">
          <a:extLst>
            <a:ext uri="{FF2B5EF4-FFF2-40B4-BE49-F238E27FC236}">
              <a16:creationId xmlns:a16="http://schemas.microsoft.com/office/drawing/2014/main" id="{452964E9-BD82-43F5-81E5-CF34D337B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476250</xdr:colOff>
      <xdr:row>5</xdr:row>
      <xdr:rowOff>31750</xdr:rowOff>
    </xdr:from>
    <xdr:to>
      <xdr:col>20</xdr:col>
      <xdr:colOff>476250</xdr:colOff>
      <xdr:row>18</xdr:row>
      <xdr:rowOff>111250</xdr:rowOff>
    </xdr:to>
    <xdr:graphicFrame macro="">
      <xdr:nvGraphicFramePr>
        <xdr:cNvPr id="5" name="Chart 4">
          <a:extLst>
            <a:ext uri="{FF2B5EF4-FFF2-40B4-BE49-F238E27FC236}">
              <a16:creationId xmlns:a16="http://schemas.microsoft.com/office/drawing/2014/main" id="{70A1728C-C424-48FB-B1BE-4FC489CDD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639535</xdr:colOff>
      <xdr:row>19</xdr:row>
      <xdr:rowOff>31750</xdr:rowOff>
    </xdr:from>
    <xdr:to>
      <xdr:col>20</xdr:col>
      <xdr:colOff>70035</xdr:colOff>
      <xdr:row>31</xdr:row>
      <xdr:rowOff>47625</xdr:rowOff>
    </xdr:to>
    <xdr:graphicFrame macro="">
      <xdr:nvGraphicFramePr>
        <xdr:cNvPr id="6" name="Chart 5">
          <a:extLst>
            <a:ext uri="{FF2B5EF4-FFF2-40B4-BE49-F238E27FC236}">
              <a16:creationId xmlns:a16="http://schemas.microsoft.com/office/drawing/2014/main" id="{1431E21A-24D6-4648-A0E3-E8CD0D161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108862</xdr:colOff>
      <xdr:row>0</xdr:row>
      <xdr:rowOff>0</xdr:rowOff>
    </xdr:from>
    <xdr:to>
      <xdr:col>2</xdr:col>
      <xdr:colOff>544292</xdr:colOff>
      <xdr:row>4</xdr:row>
      <xdr:rowOff>40821</xdr:rowOff>
    </xdr:to>
    <xdr:pic>
      <xdr:nvPicPr>
        <xdr:cNvPr id="7" name="Picture 6">
          <a:extLst>
            <a:ext uri="{FF2B5EF4-FFF2-40B4-BE49-F238E27FC236}">
              <a16:creationId xmlns:a16="http://schemas.microsoft.com/office/drawing/2014/main" id="{C54ACBBB-AD9B-A529-4EB6-F1C3CCF0C748}"/>
            </a:ext>
          </a:extLst>
        </xdr:cNvPr>
        <xdr:cNvPicPr>
          <a:picLocks noChangeAspect="1" noChangeArrowheads="1"/>
        </xdr:cNvPicPr>
      </xdr:nvPicPr>
      <xdr:blipFill rotWithShape="1">
        <a:blip xmlns:r="http://schemas.openxmlformats.org/officeDocument/2006/relationships" r:embed="rId4" cstate="print">
          <a:extLst>
            <a:ext uri="{BEBA8EAE-BF5A-486C-A8C5-ECC9F3942E4B}">
              <a14:imgProps xmlns:a14="http://schemas.microsoft.com/office/drawing/2010/main">
                <a14:imgLayer r:embed="rId5">
                  <a14:imgEffect>
                    <a14:sharpenSoften amount="25000"/>
                  </a14:imgEffect>
                  <a14:imgEffect>
                    <a14:saturation sat="300000"/>
                  </a14:imgEffect>
                </a14:imgLayer>
              </a14:imgProps>
            </a:ext>
            <a:ext uri="{28A0092B-C50C-407E-A947-70E740481C1C}">
              <a14:useLocalDpi xmlns:a14="http://schemas.microsoft.com/office/drawing/2010/main" val="0"/>
            </a:ext>
          </a:extLst>
        </a:blip>
        <a:srcRect l="21694" t="17857" r="21674" b="16539"/>
        <a:stretch>
          <a:fillRect/>
        </a:stretch>
      </xdr:blipFill>
      <xdr:spPr bwMode="auto">
        <a:xfrm>
          <a:off x="108862" y="0"/>
          <a:ext cx="1660073" cy="802821"/>
        </a:xfrm>
        <a:prstGeom prst="ellipse">
          <a:avLst/>
        </a:prstGeom>
        <a:ln w="3175">
          <a:solidFill>
            <a:schemeClr val="tx1"/>
          </a:solid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603249</xdr:colOff>
      <xdr:row>5</xdr:row>
      <xdr:rowOff>22678</xdr:rowOff>
    </xdr:from>
    <xdr:to>
      <xdr:col>14</xdr:col>
      <xdr:colOff>365125</xdr:colOff>
      <xdr:row>18</xdr:row>
      <xdr:rowOff>102178</xdr:rowOff>
    </xdr:to>
    <xdr:graphicFrame macro="">
      <xdr:nvGraphicFramePr>
        <xdr:cNvPr id="8" name="Chart 7">
          <a:extLst>
            <a:ext uri="{FF2B5EF4-FFF2-40B4-BE49-F238E27FC236}">
              <a16:creationId xmlns:a16="http://schemas.microsoft.com/office/drawing/2014/main" id="{3F76F9D6-8AFD-4CC9-BAFD-70ED472A0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603250</xdr:colOff>
      <xdr:row>31</xdr:row>
      <xdr:rowOff>156483</xdr:rowOff>
    </xdr:from>
    <xdr:to>
      <xdr:col>13</xdr:col>
      <xdr:colOff>127001</xdr:colOff>
      <xdr:row>44</xdr:row>
      <xdr:rowOff>142874</xdr:rowOff>
    </xdr:to>
    <xdr:graphicFrame macro="">
      <xdr:nvGraphicFramePr>
        <xdr:cNvPr id="9" name="Chart 8">
          <a:extLst>
            <a:ext uri="{FF2B5EF4-FFF2-40B4-BE49-F238E27FC236}">
              <a16:creationId xmlns:a16="http://schemas.microsoft.com/office/drawing/2014/main" id="{8CF85259-BD0C-430D-96FC-FD372A191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190501</xdr:colOff>
      <xdr:row>19</xdr:row>
      <xdr:rowOff>25400</xdr:rowOff>
    </xdr:from>
    <xdr:to>
      <xdr:col>32</xdr:col>
      <xdr:colOff>1</xdr:colOff>
      <xdr:row>31</xdr:row>
      <xdr:rowOff>63500</xdr:rowOff>
    </xdr:to>
    <xdr:graphicFrame macro="">
      <xdr:nvGraphicFramePr>
        <xdr:cNvPr id="10" name="Chart 9">
          <a:extLst>
            <a:ext uri="{FF2B5EF4-FFF2-40B4-BE49-F238E27FC236}">
              <a16:creationId xmlns:a16="http://schemas.microsoft.com/office/drawing/2014/main" id="{4188C1AC-D652-4D6E-BAE4-5915D99E8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563563</xdr:colOff>
      <xdr:row>5</xdr:row>
      <xdr:rowOff>23813</xdr:rowOff>
    </xdr:from>
    <xdr:to>
      <xdr:col>31</xdr:col>
      <xdr:colOff>692063</xdr:colOff>
      <xdr:row>18</xdr:row>
      <xdr:rowOff>111125</xdr:rowOff>
    </xdr:to>
    <xdr:graphicFrame macro="">
      <xdr:nvGraphicFramePr>
        <xdr:cNvPr id="11" name="Chart 10">
          <a:extLst>
            <a:ext uri="{FF2B5EF4-FFF2-40B4-BE49-F238E27FC236}">
              <a16:creationId xmlns:a16="http://schemas.microsoft.com/office/drawing/2014/main" id="{56E92D92-0C8E-42BA-A414-9AB1AE227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222251</xdr:colOff>
      <xdr:row>31</xdr:row>
      <xdr:rowOff>158750</xdr:rowOff>
    </xdr:from>
    <xdr:to>
      <xdr:col>19</xdr:col>
      <xdr:colOff>539751</xdr:colOff>
      <xdr:row>44</xdr:row>
      <xdr:rowOff>142875</xdr:rowOff>
    </xdr:to>
    <xdr:graphicFrame macro="">
      <xdr:nvGraphicFramePr>
        <xdr:cNvPr id="12" name="Chart 11">
          <a:extLst>
            <a:ext uri="{FF2B5EF4-FFF2-40B4-BE49-F238E27FC236}">
              <a16:creationId xmlns:a16="http://schemas.microsoft.com/office/drawing/2014/main" id="{D2EDD4E2-F232-4C5B-AB7E-FE567113C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31750</xdr:colOff>
      <xdr:row>31</xdr:row>
      <xdr:rowOff>174624</xdr:rowOff>
    </xdr:from>
    <xdr:to>
      <xdr:col>32</xdr:col>
      <xdr:colOff>1674</xdr:colOff>
      <xdr:row>44</xdr:row>
      <xdr:rowOff>126999</xdr:rowOff>
    </xdr:to>
    <xdr:graphicFrame macro="">
      <xdr:nvGraphicFramePr>
        <xdr:cNvPr id="13" name="Chart 12">
          <a:extLst>
            <a:ext uri="{FF2B5EF4-FFF2-40B4-BE49-F238E27FC236}">
              <a16:creationId xmlns:a16="http://schemas.microsoft.com/office/drawing/2014/main" id="{51878256-7EBC-4F3D-9874-91CC9AEC8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508000</xdr:colOff>
      <xdr:row>0</xdr:row>
      <xdr:rowOff>142875</xdr:rowOff>
    </xdr:from>
    <xdr:to>
      <xdr:col>22</xdr:col>
      <xdr:colOff>190500</xdr:colOff>
      <xdr:row>3</xdr:row>
      <xdr:rowOff>142874</xdr:rowOff>
    </xdr:to>
    <xdr:sp macro="" textlink="">
      <xdr:nvSpPr>
        <xdr:cNvPr id="14" name="TextBox 13">
          <a:extLst>
            <a:ext uri="{FF2B5EF4-FFF2-40B4-BE49-F238E27FC236}">
              <a16:creationId xmlns:a16="http://schemas.microsoft.com/office/drawing/2014/main" id="{C030140F-0F94-5950-C953-88F398F9E19E}"/>
            </a:ext>
          </a:extLst>
        </xdr:cNvPr>
        <xdr:cNvSpPr txBox="1"/>
      </xdr:nvSpPr>
      <xdr:spPr>
        <a:xfrm>
          <a:off x="1714500" y="142875"/>
          <a:ext cx="11747500"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latin typeface="Georgia" panose="02040502050405020303" pitchFamily="18" charset="0"/>
            </a:rPr>
            <a:t>Tsinghua University Football Injury</a:t>
          </a:r>
          <a:r>
            <a:rPr lang="en-US" sz="3200" b="1" baseline="0">
              <a:solidFill>
                <a:schemeClr val="bg1"/>
              </a:solidFill>
              <a:latin typeface="Georgia" panose="02040502050405020303" pitchFamily="18" charset="0"/>
            </a:rPr>
            <a:t> Report 2024</a:t>
          </a:r>
          <a:endParaRPr lang="en-NG" sz="3200" b="1">
            <a:solidFill>
              <a:schemeClr val="bg1"/>
            </a:solidFill>
            <a:latin typeface="Georgia" panose="02040502050405020303" pitchFamily="18" charset="0"/>
          </a:endParaRPr>
        </a:p>
      </xdr:txBody>
    </xdr:sp>
    <xdr:clientData/>
  </xdr:twoCellAnchor>
  <xdr:twoCellAnchor>
    <xdr:from>
      <xdr:col>32</xdr:col>
      <xdr:colOff>94460</xdr:colOff>
      <xdr:row>4</xdr:row>
      <xdr:rowOff>184150</xdr:rowOff>
    </xdr:from>
    <xdr:to>
      <xdr:col>34</xdr:col>
      <xdr:colOff>349250</xdr:colOff>
      <xdr:row>44</xdr:row>
      <xdr:rowOff>152399</xdr:rowOff>
    </xdr:to>
    <xdr:sp macro="" textlink="">
      <xdr:nvSpPr>
        <xdr:cNvPr id="15" name="Rectangle 14">
          <a:extLst>
            <a:ext uri="{FF2B5EF4-FFF2-40B4-BE49-F238E27FC236}">
              <a16:creationId xmlns:a16="http://schemas.microsoft.com/office/drawing/2014/main" id="{BD88937C-1E15-05C7-A67D-09EF2CCF596C}"/>
            </a:ext>
          </a:extLst>
        </xdr:cNvPr>
        <xdr:cNvSpPr/>
      </xdr:nvSpPr>
      <xdr:spPr>
        <a:xfrm>
          <a:off x="19398460" y="946150"/>
          <a:ext cx="1461290" cy="7588249"/>
        </a:xfrm>
        <a:prstGeom prst="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581025</xdr:colOff>
      <xdr:row>5</xdr:row>
      <xdr:rowOff>25401</xdr:rowOff>
    </xdr:from>
    <xdr:to>
      <xdr:col>14</xdr:col>
      <xdr:colOff>428625</xdr:colOff>
      <xdr:row>7</xdr:row>
      <xdr:rowOff>95251</xdr:rowOff>
    </xdr:to>
    <xdr:sp macro="" textlink="">
      <xdr:nvSpPr>
        <xdr:cNvPr id="16" name="TextBox 15">
          <a:extLst>
            <a:ext uri="{FF2B5EF4-FFF2-40B4-BE49-F238E27FC236}">
              <a16:creationId xmlns:a16="http://schemas.microsoft.com/office/drawing/2014/main" id="{F81F38A4-6293-CC09-88F6-DFD79CB226CF}"/>
            </a:ext>
          </a:extLst>
        </xdr:cNvPr>
        <xdr:cNvSpPr txBox="1"/>
      </xdr:nvSpPr>
      <xdr:spPr>
        <a:xfrm>
          <a:off x="1184275" y="977901"/>
          <a:ext cx="768985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accent1">
                  <a:lumMod val="50000"/>
                </a:schemeClr>
              </a:solidFill>
              <a:latin typeface="Georgia" panose="02040502050405020303" pitchFamily="18" charset="0"/>
            </a:rPr>
            <a:t>Average Reaction</a:t>
          </a:r>
          <a:r>
            <a:rPr lang="en-US" sz="2000" b="0" baseline="0">
              <a:solidFill>
                <a:schemeClr val="accent1">
                  <a:lumMod val="50000"/>
                </a:schemeClr>
              </a:solidFill>
              <a:latin typeface="Georgia" panose="02040502050405020303" pitchFamily="18" charset="0"/>
            </a:rPr>
            <a:t> Time Performance By Age </a:t>
          </a:r>
          <a:endParaRPr lang="en-NG" sz="2000" b="0">
            <a:solidFill>
              <a:schemeClr val="accent1">
                <a:lumMod val="50000"/>
              </a:schemeClr>
            </a:solidFill>
            <a:latin typeface="Georgia" panose="02040502050405020303" pitchFamily="18" charset="0"/>
          </a:endParaRPr>
        </a:p>
      </xdr:txBody>
    </xdr:sp>
    <xdr:clientData/>
  </xdr:twoCellAnchor>
  <xdr:twoCellAnchor>
    <xdr:from>
      <xdr:col>14</xdr:col>
      <xdr:colOff>431799</xdr:colOff>
      <xdr:row>5</xdr:row>
      <xdr:rowOff>19050</xdr:rowOff>
    </xdr:from>
    <xdr:to>
      <xdr:col>21</xdr:col>
      <xdr:colOff>63500</xdr:colOff>
      <xdr:row>8</xdr:row>
      <xdr:rowOff>174625</xdr:rowOff>
    </xdr:to>
    <xdr:sp macro="" textlink="">
      <xdr:nvSpPr>
        <xdr:cNvPr id="17" name="TextBox 16">
          <a:extLst>
            <a:ext uri="{FF2B5EF4-FFF2-40B4-BE49-F238E27FC236}">
              <a16:creationId xmlns:a16="http://schemas.microsoft.com/office/drawing/2014/main" id="{B0E19658-C73F-166A-1E8A-23AD9D262978}"/>
            </a:ext>
          </a:extLst>
        </xdr:cNvPr>
        <xdr:cNvSpPr txBox="1"/>
      </xdr:nvSpPr>
      <xdr:spPr>
        <a:xfrm>
          <a:off x="8877299" y="971550"/>
          <a:ext cx="3854451" cy="727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900" b="0" baseline="0">
              <a:solidFill>
                <a:schemeClr val="accent1">
                  <a:lumMod val="50000"/>
                </a:schemeClr>
              </a:solidFill>
              <a:latin typeface="Georgia" panose="02040502050405020303" pitchFamily="18" charset="0"/>
            </a:rPr>
            <a:t>Warmup Routine Status Analysis </a:t>
          </a:r>
          <a:endParaRPr lang="en-NG" sz="1900" b="0">
            <a:solidFill>
              <a:schemeClr val="accent1">
                <a:lumMod val="50000"/>
              </a:schemeClr>
            </a:solidFill>
            <a:latin typeface="Georgia" panose="02040502050405020303" pitchFamily="18" charset="0"/>
          </a:endParaRPr>
        </a:p>
      </xdr:txBody>
    </xdr:sp>
    <xdr:clientData/>
  </xdr:twoCellAnchor>
  <xdr:twoCellAnchor>
    <xdr:from>
      <xdr:col>20</xdr:col>
      <xdr:colOff>520699</xdr:colOff>
      <xdr:row>5</xdr:row>
      <xdr:rowOff>44450</xdr:rowOff>
    </xdr:from>
    <xdr:to>
      <xdr:col>31</xdr:col>
      <xdr:colOff>555624</xdr:colOff>
      <xdr:row>8</xdr:row>
      <xdr:rowOff>44449</xdr:rowOff>
    </xdr:to>
    <xdr:sp macro="" textlink="">
      <xdr:nvSpPr>
        <xdr:cNvPr id="18" name="TextBox 17">
          <a:extLst>
            <a:ext uri="{FF2B5EF4-FFF2-40B4-BE49-F238E27FC236}">
              <a16:creationId xmlns:a16="http://schemas.microsoft.com/office/drawing/2014/main" id="{851B69E7-DF2D-C516-72D3-F0EFFDA21843}"/>
            </a:ext>
          </a:extLst>
        </xdr:cNvPr>
        <xdr:cNvSpPr txBox="1"/>
      </xdr:nvSpPr>
      <xdr:spPr>
        <a:xfrm>
          <a:off x="12585699" y="996950"/>
          <a:ext cx="6670675"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accent1">
                  <a:lumMod val="50000"/>
                </a:schemeClr>
              </a:solidFill>
              <a:latin typeface="Georgia" panose="02040502050405020303" pitchFamily="18" charset="0"/>
            </a:rPr>
            <a:t>Weekly Training Hours By Total Matches Played</a:t>
          </a:r>
          <a:endParaRPr lang="en-NG" sz="2000" b="0">
            <a:solidFill>
              <a:schemeClr val="accent1">
                <a:lumMod val="50000"/>
              </a:schemeClr>
            </a:solidFill>
            <a:latin typeface="Georgia" panose="02040502050405020303" pitchFamily="18" charset="0"/>
          </a:endParaRPr>
        </a:p>
      </xdr:txBody>
    </xdr:sp>
    <xdr:clientData/>
  </xdr:twoCellAnchor>
  <xdr:twoCellAnchor>
    <xdr:from>
      <xdr:col>20</xdr:col>
      <xdr:colOff>165098</xdr:colOff>
      <xdr:row>19</xdr:row>
      <xdr:rowOff>69850</xdr:rowOff>
    </xdr:from>
    <xdr:to>
      <xdr:col>31</xdr:col>
      <xdr:colOff>571500</xdr:colOff>
      <xdr:row>22</xdr:row>
      <xdr:rowOff>69849</xdr:rowOff>
    </xdr:to>
    <xdr:sp macro="" textlink="">
      <xdr:nvSpPr>
        <xdr:cNvPr id="19" name="TextBox 18">
          <a:extLst>
            <a:ext uri="{FF2B5EF4-FFF2-40B4-BE49-F238E27FC236}">
              <a16:creationId xmlns:a16="http://schemas.microsoft.com/office/drawing/2014/main" id="{08FAB335-2D8E-109B-09E1-332245064535}"/>
            </a:ext>
          </a:extLst>
        </xdr:cNvPr>
        <xdr:cNvSpPr txBox="1"/>
      </xdr:nvSpPr>
      <xdr:spPr>
        <a:xfrm>
          <a:off x="12230098" y="3689350"/>
          <a:ext cx="7042152"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accent1">
                  <a:lumMod val="50000"/>
                </a:schemeClr>
              </a:solidFill>
              <a:latin typeface="Georgia" panose="02040502050405020303" pitchFamily="18" charset="0"/>
            </a:rPr>
            <a:t>Performance Of Nutrition Grade By Average Future Injury</a:t>
          </a:r>
          <a:endParaRPr lang="en-NG" sz="2000" b="0">
            <a:solidFill>
              <a:schemeClr val="accent1">
                <a:lumMod val="50000"/>
              </a:schemeClr>
            </a:solidFill>
            <a:latin typeface="Georgia" panose="02040502050405020303" pitchFamily="18" charset="0"/>
          </a:endParaRPr>
        </a:p>
      </xdr:txBody>
    </xdr:sp>
    <xdr:clientData/>
  </xdr:twoCellAnchor>
  <xdr:twoCellAnchor>
    <xdr:from>
      <xdr:col>20</xdr:col>
      <xdr:colOff>15875</xdr:colOff>
      <xdr:row>31</xdr:row>
      <xdr:rowOff>145143</xdr:rowOff>
    </xdr:from>
    <xdr:to>
      <xdr:col>31</xdr:col>
      <xdr:colOff>587374</xdr:colOff>
      <xdr:row>34</xdr:row>
      <xdr:rowOff>47625</xdr:rowOff>
    </xdr:to>
    <xdr:sp macro="" textlink="">
      <xdr:nvSpPr>
        <xdr:cNvPr id="20" name="TextBox 19">
          <a:extLst>
            <a:ext uri="{FF2B5EF4-FFF2-40B4-BE49-F238E27FC236}">
              <a16:creationId xmlns:a16="http://schemas.microsoft.com/office/drawing/2014/main" id="{43848B9D-DE89-7693-C365-AB7A79D1E20A}"/>
            </a:ext>
          </a:extLst>
        </xdr:cNvPr>
        <xdr:cNvSpPr txBox="1"/>
      </xdr:nvSpPr>
      <xdr:spPr>
        <a:xfrm>
          <a:off x="12080875" y="6050643"/>
          <a:ext cx="7207249" cy="473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accent1">
                  <a:lumMod val="50000"/>
                </a:schemeClr>
              </a:solidFill>
              <a:latin typeface="Georgia" panose="02040502050405020303" pitchFamily="18" charset="0"/>
            </a:rPr>
            <a:t>Daily Sleep Hours By Average Stress Level Score</a:t>
          </a:r>
          <a:endParaRPr lang="en-NG" sz="2000" b="0">
            <a:solidFill>
              <a:schemeClr val="accent1">
                <a:lumMod val="50000"/>
              </a:schemeClr>
            </a:solidFill>
            <a:latin typeface="Georgia" panose="02040502050405020303" pitchFamily="18" charset="0"/>
          </a:endParaRPr>
        </a:p>
      </xdr:txBody>
    </xdr:sp>
    <xdr:clientData/>
  </xdr:twoCellAnchor>
  <xdr:twoCellAnchor>
    <xdr:from>
      <xdr:col>13</xdr:col>
      <xdr:colOff>666748</xdr:colOff>
      <xdr:row>19</xdr:row>
      <xdr:rowOff>47625</xdr:rowOff>
    </xdr:from>
    <xdr:to>
      <xdr:col>19</xdr:col>
      <xdr:colOff>476250</xdr:colOff>
      <xdr:row>22</xdr:row>
      <xdr:rowOff>47624</xdr:rowOff>
    </xdr:to>
    <xdr:sp macro="" textlink="">
      <xdr:nvSpPr>
        <xdr:cNvPr id="21" name="TextBox 20">
          <a:extLst>
            <a:ext uri="{FF2B5EF4-FFF2-40B4-BE49-F238E27FC236}">
              <a16:creationId xmlns:a16="http://schemas.microsoft.com/office/drawing/2014/main" id="{DE164F56-5715-83CB-E7D5-1874BD66A668}"/>
            </a:ext>
          </a:extLst>
        </xdr:cNvPr>
        <xdr:cNvSpPr txBox="1"/>
      </xdr:nvSpPr>
      <xdr:spPr>
        <a:xfrm>
          <a:off x="9747248" y="3365500"/>
          <a:ext cx="4000502" cy="523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accent1">
                  <a:lumMod val="50000"/>
                </a:schemeClr>
              </a:solidFill>
              <a:latin typeface="Georgia" panose="02040502050405020303" pitchFamily="18" charset="0"/>
            </a:rPr>
            <a:t>Injury Status Distribution</a:t>
          </a:r>
          <a:endParaRPr lang="en-NG" sz="2000" b="0">
            <a:solidFill>
              <a:schemeClr val="accent1">
                <a:lumMod val="50000"/>
              </a:schemeClr>
            </a:solidFill>
            <a:latin typeface="Georgia" panose="02040502050405020303" pitchFamily="18" charset="0"/>
          </a:endParaRPr>
        </a:p>
      </xdr:txBody>
    </xdr:sp>
    <xdr:clientData/>
  </xdr:twoCellAnchor>
  <xdr:twoCellAnchor>
    <xdr:from>
      <xdr:col>13</xdr:col>
      <xdr:colOff>200023</xdr:colOff>
      <xdr:row>31</xdr:row>
      <xdr:rowOff>136525</xdr:rowOff>
    </xdr:from>
    <xdr:to>
      <xdr:col>19</xdr:col>
      <xdr:colOff>104775</xdr:colOff>
      <xdr:row>34</xdr:row>
      <xdr:rowOff>136524</xdr:rowOff>
    </xdr:to>
    <xdr:sp macro="" textlink="">
      <xdr:nvSpPr>
        <xdr:cNvPr id="22" name="TextBox 21">
          <a:extLst>
            <a:ext uri="{FF2B5EF4-FFF2-40B4-BE49-F238E27FC236}">
              <a16:creationId xmlns:a16="http://schemas.microsoft.com/office/drawing/2014/main" id="{9DF0E36B-66F3-BB93-90CB-CE62962219AC}"/>
            </a:ext>
          </a:extLst>
        </xdr:cNvPr>
        <xdr:cNvSpPr txBox="1"/>
      </xdr:nvSpPr>
      <xdr:spPr>
        <a:xfrm>
          <a:off x="8042273" y="6042025"/>
          <a:ext cx="3524252"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accent1">
                  <a:lumMod val="50000"/>
                </a:schemeClr>
              </a:solidFill>
              <a:latin typeface="Georgia" panose="02040502050405020303" pitchFamily="18" charset="0"/>
            </a:rPr>
            <a:t>Position</a:t>
          </a:r>
          <a:r>
            <a:rPr lang="en-US" sz="2000" b="0" baseline="0">
              <a:solidFill>
                <a:schemeClr val="accent1">
                  <a:lumMod val="50000"/>
                </a:schemeClr>
              </a:solidFill>
              <a:latin typeface="Georgia" panose="02040502050405020303" pitchFamily="18" charset="0"/>
            </a:rPr>
            <a:t> </a:t>
          </a:r>
          <a:r>
            <a:rPr lang="en-US" sz="2000" b="0">
              <a:solidFill>
                <a:schemeClr val="accent1">
                  <a:lumMod val="50000"/>
                </a:schemeClr>
              </a:solidFill>
              <a:latin typeface="Georgia" panose="02040502050405020303" pitchFamily="18" charset="0"/>
            </a:rPr>
            <a:t>Distribution</a:t>
          </a:r>
          <a:endParaRPr lang="en-NG" sz="2000" b="0">
            <a:solidFill>
              <a:schemeClr val="accent1">
                <a:lumMod val="50000"/>
              </a:schemeClr>
            </a:solidFill>
            <a:latin typeface="Georgia" panose="02040502050405020303" pitchFamily="18" charset="0"/>
          </a:endParaRPr>
        </a:p>
      </xdr:txBody>
    </xdr:sp>
    <xdr:clientData/>
  </xdr:twoCellAnchor>
  <xdr:twoCellAnchor>
    <xdr:from>
      <xdr:col>1</xdr:col>
      <xdr:colOff>590548</xdr:colOff>
      <xdr:row>31</xdr:row>
      <xdr:rowOff>146050</xdr:rowOff>
    </xdr:from>
    <xdr:to>
      <xdr:col>13</xdr:col>
      <xdr:colOff>0</xdr:colOff>
      <xdr:row>33</xdr:row>
      <xdr:rowOff>79375</xdr:rowOff>
    </xdr:to>
    <xdr:sp macro="" textlink="">
      <xdr:nvSpPr>
        <xdr:cNvPr id="23" name="TextBox 22">
          <a:extLst>
            <a:ext uri="{FF2B5EF4-FFF2-40B4-BE49-F238E27FC236}">
              <a16:creationId xmlns:a16="http://schemas.microsoft.com/office/drawing/2014/main" id="{D52F4E1F-3CCF-9C72-95C7-69457CC8389A}"/>
            </a:ext>
          </a:extLst>
        </xdr:cNvPr>
        <xdr:cNvSpPr txBox="1"/>
      </xdr:nvSpPr>
      <xdr:spPr>
        <a:xfrm>
          <a:off x="1289048" y="5559425"/>
          <a:ext cx="7791452" cy="282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accent1">
                  <a:lumMod val="50000"/>
                </a:schemeClr>
              </a:solidFill>
              <a:latin typeface="Georgia" panose="02040502050405020303" pitchFamily="18" charset="0"/>
            </a:rPr>
            <a:t>Performance</a:t>
          </a:r>
          <a:r>
            <a:rPr lang="en-US" sz="2000" b="0" baseline="0">
              <a:solidFill>
                <a:schemeClr val="accent1">
                  <a:lumMod val="50000"/>
                </a:schemeClr>
              </a:solidFill>
              <a:latin typeface="Georgia" panose="02040502050405020303" pitchFamily="18" charset="0"/>
            </a:rPr>
            <a:t> Of Nutrition Score On Agility Score </a:t>
          </a:r>
          <a:endParaRPr lang="en-NG" sz="2000" b="0">
            <a:solidFill>
              <a:schemeClr val="accent1">
                <a:lumMod val="50000"/>
              </a:schemeClr>
            </a:solidFill>
            <a:latin typeface="Georgia" panose="02040502050405020303" pitchFamily="18" charset="0"/>
          </a:endParaRPr>
        </a:p>
      </xdr:txBody>
    </xdr:sp>
    <xdr:clientData/>
  </xdr:twoCellAnchor>
  <xdr:twoCellAnchor>
    <xdr:from>
      <xdr:col>1</xdr:col>
      <xdr:colOff>615948</xdr:colOff>
      <xdr:row>18</xdr:row>
      <xdr:rowOff>171451</xdr:rowOff>
    </xdr:from>
    <xdr:to>
      <xdr:col>13</xdr:col>
      <xdr:colOff>25400</xdr:colOff>
      <xdr:row>20</xdr:row>
      <xdr:rowOff>127001</xdr:rowOff>
    </xdr:to>
    <xdr:sp macro="" textlink="">
      <xdr:nvSpPr>
        <xdr:cNvPr id="24" name="TextBox 23">
          <a:extLst>
            <a:ext uri="{FF2B5EF4-FFF2-40B4-BE49-F238E27FC236}">
              <a16:creationId xmlns:a16="http://schemas.microsoft.com/office/drawing/2014/main" id="{887A1213-A583-A7F8-79EB-1E893B7C792C}"/>
            </a:ext>
          </a:extLst>
        </xdr:cNvPr>
        <xdr:cNvSpPr txBox="1"/>
      </xdr:nvSpPr>
      <xdr:spPr>
        <a:xfrm>
          <a:off x="1314448" y="3314701"/>
          <a:ext cx="779145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accent1">
                  <a:lumMod val="50000"/>
                </a:schemeClr>
              </a:solidFill>
              <a:latin typeface="Georgia" panose="02040502050405020303" pitchFamily="18" charset="0"/>
              <a:ea typeface="+mn-ea"/>
              <a:cs typeface="+mn-cs"/>
            </a:rPr>
            <a:t>Average</a:t>
          </a:r>
          <a:r>
            <a:rPr lang="en-US" sz="2000" b="0" baseline="0">
              <a:solidFill>
                <a:schemeClr val="accent1">
                  <a:lumMod val="50000"/>
                </a:schemeClr>
              </a:solidFill>
              <a:latin typeface="Georgia" panose="02040502050405020303" pitchFamily="18" charset="0"/>
            </a:rPr>
            <a:t> Knee And Hamstring Scores By Age </a:t>
          </a:r>
          <a:endParaRPr lang="en-NG" sz="2000" b="0">
            <a:solidFill>
              <a:schemeClr val="accent1">
                <a:lumMod val="50000"/>
              </a:schemeClr>
            </a:solidFill>
            <a:latin typeface="Georgia" panose="02040502050405020303" pitchFamily="18" charset="0"/>
          </a:endParaRPr>
        </a:p>
      </xdr:txBody>
    </xdr:sp>
    <xdr:clientData/>
  </xdr:twoCellAnchor>
  <xdr:twoCellAnchor editAs="oneCell">
    <xdr:from>
      <xdr:col>0</xdr:col>
      <xdr:colOff>79375</xdr:colOff>
      <xdr:row>32</xdr:row>
      <xdr:rowOff>41275</xdr:rowOff>
    </xdr:from>
    <xdr:to>
      <xdr:col>1</xdr:col>
      <xdr:colOff>492125</xdr:colOff>
      <xdr:row>44</xdr:row>
      <xdr:rowOff>104775</xdr:rowOff>
    </xdr:to>
    <mc:AlternateContent xmlns:mc="http://schemas.openxmlformats.org/markup-compatibility/2006" xmlns:a14="http://schemas.microsoft.com/office/drawing/2010/main">
      <mc:Choice Requires="a14">
        <xdr:graphicFrame macro="">
          <xdr:nvGraphicFramePr>
            <xdr:cNvPr id="25" name="Age">
              <a:extLst>
                <a:ext uri="{FF2B5EF4-FFF2-40B4-BE49-F238E27FC236}">
                  <a16:creationId xmlns:a16="http://schemas.microsoft.com/office/drawing/2014/main" id="{177F259F-0CFE-3D27-3A29-7FA4C7081F72}"/>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79375" y="6137275"/>
              <a:ext cx="1016000" cy="23495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177798</xdr:colOff>
      <xdr:row>1</xdr:row>
      <xdr:rowOff>187325</xdr:rowOff>
    </xdr:from>
    <xdr:to>
      <xdr:col>34</xdr:col>
      <xdr:colOff>317500</xdr:colOff>
      <xdr:row>4</xdr:row>
      <xdr:rowOff>47625</xdr:rowOff>
    </xdr:to>
    <mc:AlternateContent xmlns:mc="http://schemas.openxmlformats.org/markup-compatibility/2006" xmlns:a14="http://schemas.microsoft.com/office/drawing/2010/main">
      <mc:Choice Requires="a14">
        <xdr:graphicFrame macro="">
          <xdr:nvGraphicFramePr>
            <xdr:cNvPr id="26" name="Position">
              <a:extLst>
                <a:ext uri="{FF2B5EF4-FFF2-40B4-BE49-F238E27FC236}">
                  <a16:creationId xmlns:a16="http://schemas.microsoft.com/office/drawing/2014/main" id="{01749757-7FFF-EA95-F0B1-F33AFAF0EE77}"/>
                </a:ext>
              </a:extLst>
            </xdr:cNvPr>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mlns="">
        <xdr:sp macro="" textlink="">
          <xdr:nvSpPr>
            <xdr:cNvPr id="0" name=""/>
            <xdr:cNvSpPr>
              <a:spLocks noTextEdit="1"/>
            </xdr:cNvSpPr>
          </xdr:nvSpPr>
          <xdr:spPr>
            <a:xfrm>
              <a:off x="15862298" y="377825"/>
              <a:ext cx="4965702" cy="4318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523875</xdr:colOff>
      <xdr:row>2</xdr:row>
      <xdr:rowOff>0</xdr:rowOff>
    </xdr:from>
    <xdr:to>
      <xdr:col>26</xdr:col>
      <xdr:colOff>101600</xdr:colOff>
      <xdr:row>4</xdr:row>
      <xdr:rowOff>47625</xdr:rowOff>
    </xdr:to>
    <mc:AlternateContent xmlns:mc="http://schemas.openxmlformats.org/markup-compatibility/2006" xmlns:a14="http://schemas.microsoft.com/office/drawing/2010/main">
      <mc:Choice Requires="a14">
        <xdr:graphicFrame macro="">
          <xdr:nvGraphicFramePr>
            <xdr:cNvPr id="27" name="Routine_Status">
              <a:extLst>
                <a:ext uri="{FF2B5EF4-FFF2-40B4-BE49-F238E27FC236}">
                  <a16:creationId xmlns:a16="http://schemas.microsoft.com/office/drawing/2014/main" id="{5AFA3ECD-4FB3-3D9F-B464-131C14756B49}"/>
                </a:ext>
              </a:extLst>
            </xdr:cNvPr>
            <xdr:cNvGraphicFramePr/>
          </xdr:nvGraphicFramePr>
          <xdr:xfrm>
            <a:off x="0" y="0"/>
            <a:ext cx="0" cy="0"/>
          </xdr:xfrm>
          <a:graphic>
            <a:graphicData uri="http://schemas.microsoft.com/office/drawing/2010/slicer">
              <sle:slicer xmlns:sle="http://schemas.microsoft.com/office/drawing/2010/slicer" name="Routine_Status"/>
            </a:graphicData>
          </a:graphic>
        </xdr:graphicFrame>
      </mc:Choice>
      <mc:Fallback xmlns="">
        <xdr:sp macro="" textlink="">
          <xdr:nvSpPr>
            <xdr:cNvPr id="0" name=""/>
            <xdr:cNvSpPr>
              <a:spLocks noTextEdit="1"/>
            </xdr:cNvSpPr>
          </xdr:nvSpPr>
          <xdr:spPr>
            <a:xfrm>
              <a:off x="12588875" y="381000"/>
              <a:ext cx="3197225" cy="4286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523875</xdr:colOff>
      <xdr:row>0</xdr:row>
      <xdr:rowOff>127000</xdr:rowOff>
    </xdr:from>
    <xdr:to>
      <xdr:col>24</xdr:col>
      <xdr:colOff>508000</xdr:colOff>
      <xdr:row>2</xdr:row>
      <xdr:rowOff>127000</xdr:rowOff>
    </xdr:to>
    <xdr:sp macro="" textlink="">
      <xdr:nvSpPr>
        <xdr:cNvPr id="29" name="TextBox 28">
          <a:extLst>
            <a:ext uri="{FF2B5EF4-FFF2-40B4-BE49-F238E27FC236}">
              <a16:creationId xmlns:a16="http://schemas.microsoft.com/office/drawing/2014/main" id="{D54A8A9D-50F9-18D1-6A5A-9D1DC50C6860}"/>
            </a:ext>
          </a:extLst>
        </xdr:cNvPr>
        <xdr:cNvSpPr txBox="1"/>
      </xdr:nvSpPr>
      <xdr:spPr>
        <a:xfrm>
          <a:off x="12588875" y="127000"/>
          <a:ext cx="23971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1"/>
              </a:solidFill>
              <a:latin typeface="Georgia" panose="02040502050405020303" pitchFamily="18" charset="0"/>
            </a:rPr>
            <a:t>Warm-up Routine Status</a:t>
          </a:r>
          <a:endParaRPr lang="en-NG" sz="1400" b="0">
            <a:solidFill>
              <a:schemeClr val="bg1"/>
            </a:solidFill>
            <a:latin typeface="Georgia" panose="02040502050405020303" pitchFamily="18" charset="0"/>
          </a:endParaRPr>
        </a:p>
      </xdr:txBody>
    </xdr:sp>
    <xdr:clientData/>
  </xdr:twoCellAnchor>
  <xdr:twoCellAnchor>
    <xdr:from>
      <xdr:col>26</xdr:col>
      <xdr:colOff>184150</xdr:colOff>
      <xdr:row>0</xdr:row>
      <xdr:rowOff>120650</xdr:rowOff>
    </xdr:from>
    <xdr:to>
      <xdr:col>30</xdr:col>
      <xdr:colOff>168275</xdr:colOff>
      <xdr:row>2</xdr:row>
      <xdr:rowOff>120650</xdr:rowOff>
    </xdr:to>
    <xdr:sp macro="" textlink="">
      <xdr:nvSpPr>
        <xdr:cNvPr id="30" name="TextBox 29">
          <a:extLst>
            <a:ext uri="{FF2B5EF4-FFF2-40B4-BE49-F238E27FC236}">
              <a16:creationId xmlns:a16="http://schemas.microsoft.com/office/drawing/2014/main" id="{6CD02A01-576E-D804-4D65-71BFD66E5CE2}"/>
            </a:ext>
          </a:extLst>
        </xdr:cNvPr>
        <xdr:cNvSpPr txBox="1"/>
      </xdr:nvSpPr>
      <xdr:spPr>
        <a:xfrm>
          <a:off x="15868650" y="120650"/>
          <a:ext cx="23971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1"/>
              </a:solidFill>
              <a:latin typeface="Georgia" panose="02040502050405020303" pitchFamily="18" charset="0"/>
              <a:ea typeface="+mn-ea"/>
              <a:cs typeface="+mn-cs"/>
            </a:rPr>
            <a:t>Footballer's</a:t>
          </a:r>
          <a:r>
            <a:rPr lang="en-US" sz="1300" b="1" baseline="0">
              <a:solidFill>
                <a:schemeClr val="bg1"/>
              </a:solidFill>
              <a:latin typeface="Georgia" panose="02040502050405020303" pitchFamily="18" charset="0"/>
            </a:rPr>
            <a:t> Position</a:t>
          </a:r>
          <a:endParaRPr lang="en-NG" sz="1300" b="1">
            <a:solidFill>
              <a:schemeClr val="bg1"/>
            </a:solidFill>
            <a:latin typeface="Georgia" panose="02040502050405020303" pitchFamily="18" charset="0"/>
          </a:endParaRPr>
        </a:p>
      </xdr:txBody>
    </xdr:sp>
    <xdr:clientData/>
  </xdr:twoCellAnchor>
  <xdr:twoCellAnchor>
    <xdr:from>
      <xdr:col>0</xdr:col>
      <xdr:colOff>146050</xdr:colOff>
      <xdr:row>30</xdr:row>
      <xdr:rowOff>155575</xdr:rowOff>
    </xdr:from>
    <xdr:to>
      <xdr:col>1</xdr:col>
      <xdr:colOff>492125</xdr:colOff>
      <xdr:row>32</xdr:row>
      <xdr:rowOff>57150</xdr:rowOff>
    </xdr:to>
    <xdr:sp macro="" textlink="">
      <xdr:nvSpPr>
        <xdr:cNvPr id="31" name="TextBox 30">
          <a:extLst>
            <a:ext uri="{FF2B5EF4-FFF2-40B4-BE49-F238E27FC236}">
              <a16:creationId xmlns:a16="http://schemas.microsoft.com/office/drawing/2014/main" id="{8C5B19D1-2D86-877F-6B69-44B118DC1AFC}"/>
            </a:ext>
          </a:extLst>
        </xdr:cNvPr>
        <xdr:cNvSpPr txBox="1"/>
      </xdr:nvSpPr>
      <xdr:spPr>
        <a:xfrm>
          <a:off x="146050" y="5870575"/>
          <a:ext cx="955675" cy="282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1"/>
              </a:solidFill>
              <a:latin typeface="Georgia" panose="02040502050405020303" pitchFamily="18" charset="0"/>
            </a:rPr>
            <a:t>Ages</a:t>
          </a:r>
          <a:endParaRPr lang="en-NG" sz="1400" b="0">
            <a:solidFill>
              <a:schemeClr val="bg1"/>
            </a:solidFill>
            <a:latin typeface="Georgia" panose="02040502050405020303" pitchFamily="18" charset="0"/>
          </a:endParaRPr>
        </a:p>
      </xdr:txBody>
    </xdr:sp>
    <xdr:clientData/>
  </xdr:twoCellAnchor>
  <xdr:twoCellAnchor>
    <xdr:from>
      <xdr:col>32</xdr:col>
      <xdr:colOff>28575</xdr:colOff>
      <xdr:row>43</xdr:row>
      <xdr:rowOff>28575</xdr:rowOff>
    </xdr:from>
    <xdr:to>
      <xdr:col>35</xdr:col>
      <xdr:colOff>174625</xdr:colOff>
      <xdr:row>44</xdr:row>
      <xdr:rowOff>142875</xdr:rowOff>
    </xdr:to>
    <xdr:sp macro="" textlink="">
      <xdr:nvSpPr>
        <xdr:cNvPr id="32" name="TextBox 31">
          <a:extLst>
            <a:ext uri="{FF2B5EF4-FFF2-40B4-BE49-F238E27FC236}">
              <a16:creationId xmlns:a16="http://schemas.microsoft.com/office/drawing/2014/main" id="{85FDD191-425A-B267-3D5E-33A6DD2E3CC5}"/>
            </a:ext>
          </a:extLst>
        </xdr:cNvPr>
        <xdr:cNvSpPr txBox="1"/>
      </xdr:nvSpPr>
      <xdr:spPr>
        <a:xfrm>
          <a:off x="19535775" y="8220075"/>
          <a:ext cx="19748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chemeClr val="bg1"/>
              </a:solidFill>
              <a:latin typeface="Georgia" panose="02040502050405020303" pitchFamily="18" charset="0"/>
            </a:rPr>
            <a:t>Dorcas</a:t>
          </a:r>
          <a:r>
            <a:rPr lang="en-US" sz="1300" b="1" baseline="0">
              <a:solidFill>
                <a:schemeClr val="bg1"/>
              </a:solidFill>
              <a:latin typeface="Georgia" panose="02040502050405020303" pitchFamily="18" charset="0"/>
            </a:rPr>
            <a:t> Analytics</a:t>
          </a:r>
          <a:endParaRPr lang="en-NG" sz="1300" b="1">
            <a:solidFill>
              <a:schemeClr val="bg1"/>
            </a:solidFill>
            <a:latin typeface="Georgia" panose="02040502050405020303" pitchFamily="18" charset="0"/>
          </a:endParaRPr>
        </a:p>
      </xdr:txBody>
    </xdr:sp>
    <xdr:clientData/>
  </xdr:twoCellAnchor>
  <xdr:twoCellAnchor>
    <xdr:from>
      <xdr:col>32</xdr:col>
      <xdr:colOff>106367</xdr:colOff>
      <xdr:row>6</xdr:row>
      <xdr:rowOff>3175</xdr:rowOff>
    </xdr:from>
    <xdr:to>
      <xdr:col>34</xdr:col>
      <xdr:colOff>346329</xdr:colOff>
      <xdr:row>12</xdr:row>
      <xdr:rowOff>120175</xdr:rowOff>
    </xdr:to>
    <xdr:sp macro="" textlink="">
      <xdr:nvSpPr>
        <xdr:cNvPr id="28" name="Rectangle 27">
          <a:extLst>
            <a:ext uri="{FF2B5EF4-FFF2-40B4-BE49-F238E27FC236}">
              <a16:creationId xmlns:a16="http://schemas.microsoft.com/office/drawing/2014/main" id="{BCC87D13-B20D-39D5-1D44-A6333BD42759}"/>
            </a:ext>
          </a:extLst>
        </xdr:cNvPr>
        <xdr:cNvSpPr/>
      </xdr:nvSpPr>
      <xdr:spPr>
        <a:xfrm>
          <a:off x="19410367" y="1146175"/>
          <a:ext cx="1446462" cy="1260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32</xdr:col>
      <xdr:colOff>103199</xdr:colOff>
      <xdr:row>13</xdr:row>
      <xdr:rowOff>139699</xdr:rowOff>
    </xdr:from>
    <xdr:to>
      <xdr:col>34</xdr:col>
      <xdr:colOff>343161</xdr:colOff>
      <xdr:row>20</xdr:row>
      <xdr:rowOff>66199</xdr:rowOff>
    </xdr:to>
    <xdr:sp macro="" textlink="">
      <xdr:nvSpPr>
        <xdr:cNvPr id="33" name="Rectangle 32">
          <a:extLst>
            <a:ext uri="{FF2B5EF4-FFF2-40B4-BE49-F238E27FC236}">
              <a16:creationId xmlns:a16="http://schemas.microsoft.com/office/drawing/2014/main" id="{9B87EB68-F011-972C-EC72-BFE92A613B1A}"/>
            </a:ext>
          </a:extLst>
        </xdr:cNvPr>
        <xdr:cNvSpPr/>
      </xdr:nvSpPr>
      <xdr:spPr>
        <a:xfrm>
          <a:off x="19407199" y="2616199"/>
          <a:ext cx="1446462" cy="1260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32</xdr:col>
      <xdr:colOff>117484</xdr:colOff>
      <xdr:row>21</xdr:row>
      <xdr:rowOff>69850</xdr:rowOff>
    </xdr:from>
    <xdr:to>
      <xdr:col>34</xdr:col>
      <xdr:colOff>357446</xdr:colOff>
      <xdr:row>27</xdr:row>
      <xdr:rowOff>186850</xdr:rowOff>
    </xdr:to>
    <xdr:sp macro="" textlink="">
      <xdr:nvSpPr>
        <xdr:cNvPr id="34" name="Rectangle 33">
          <a:extLst>
            <a:ext uri="{FF2B5EF4-FFF2-40B4-BE49-F238E27FC236}">
              <a16:creationId xmlns:a16="http://schemas.microsoft.com/office/drawing/2014/main" id="{7629D027-5C74-68D0-BDBE-369A637D9465}"/>
            </a:ext>
          </a:extLst>
        </xdr:cNvPr>
        <xdr:cNvSpPr/>
      </xdr:nvSpPr>
      <xdr:spPr>
        <a:xfrm>
          <a:off x="19421484" y="4070350"/>
          <a:ext cx="1446462" cy="1260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32</xdr:col>
      <xdr:colOff>115098</xdr:colOff>
      <xdr:row>28</xdr:row>
      <xdr:rowOff>187325</xdr:rowOff>
    </xdr:from>
    <xdr:to>
      <xdr:col>34</xdr:col>
      <xdr:colOff>355798</xdr:colOff>
      <xdr:row>35</xdr:row>
      <xdr:rowOff>113825</xdr:rowOff>
    </xdr:to>
    <xdr:sp macro="" textlink="">
      <xdr:nvSpPr>
        <xdr:cNvPr id="35" name="Rectangle 34">
          <a:extLst>
            <a:ext uri="{FF2B5EF4-FFF2-40B4-BE49-F238E27FC236}">
              <a16:creationId xmlns:a16="http://schemas.microsoft.com/office/drawing/2014/main" id="{B3DEFAF3-6B13-D86C-B3FF-F7EB5590D20F}"/>
            </a:ext>
          </a:extLst>
        </xdr:cNvPr>
        <xdr:cNvSpPr/>
      </xdr:nvSpPr>
      <xdr:spPr>
        <a:xfrm>
          <a:off x="19419098" y="5521325"/>
          <a:ext cx="1447200" cy="1260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32</xdr:col>
      <xdr:colOff>121443</xdr:colOff>
      <xdr:row>8</xdr:row>
      <xdr:rowOff>0</xdr:rowOff>
    </xdr:from>
    <xdr:to>
      <xdr:col>34</xdr:col>
      <xdr:colOff>335756</xdr:colOff>
      <xdr:row>12</xdr:row>
      <xdr:rowOff>142875</xdr:rowOff>
    </xdr:to>
    <xdr:sp macro="" textlink="">
      <xdr:nvSpPr>
        <xdr:cNvPr id="36" name="TextBox 35">
          <a:extLst>
            <a:ext uri="{FF2B5EF4-FFF2-40B4-BE49-F238E27FC236}">
              <a16:creationId xmlns:a16="http://schemas.microsoft.com/office/drawing/2014/main" id="{8992AF00-F9CF-42BA-C9FF-7C5FBE9B3274}"/>
            </a:ext>
          </a:extLst>
        </xdr:cNvPr>
        <xdr:cNvSpPr txBox="1"/>
      </xdr:nvSpPr>
      <xdr:spPr>
        <a:xfrm>
          <a:off x="22473443" y="1397000"/>
          <a:ext cx="1611313" cy="841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solidFill>
                <a:schemeClr val="accent1">
                  <a:lumMod val="50000"/>
                </a:schemeClr>
              </a:solidFill>
              <a:latin typeface="Georgia" panose="02040502050405020303" pitchFamily="18" charset="0"/>
            </a:rPr>
            <a:t>Total</a:t>
          </a:r>
          <a:r>
            <a:rPr lang="en-US" sz="1600" b="0" baseline="0"/>
            <a:t> </a:t>
          </a:r>
          <a:r>
            <a:rPr lang="en-US" sz="1600" b="0" i="0" u="none" strike="noStrike" kern="1200" baseline="0">
              <a:solidFill>
                <a:schemeClr val="accent1">
                  <a:lumMod val="50000"/>
                </a:schemeClr>
              </a:solidFill>
              <a:latin typeface="Georgia" panose="02040502050405020303" pitchFamily="18" charset="0"/>
              <a:ea typeface="+mn-ea"/>
              <a:cs typeface="+mn-cs"/>
            </a:rPr>
            <a:t>Footballers</a:t>
          </a:r>
        </a:p>
        <a:p>
          <a:pPr algn="ctr"/>
          <a:r>
            <a:rPr lang="en-US" sz="1600" b="1" i="0" u="none" strike="noStrike" kern="1200" baseline="0">
              <a:solidFill>
                <a:schemeClr val="accent1">
                  <a:lumMod val="50000"/>
                </a:schemeClr>
              </a:solidFill>
              <a:latin typeface="Georgia" panose="02040502050405020303" pitchFamily="18" charset="0"/>
              <a:ea typeface="+mn-ea"/>
              <a:cs typeface="+mn-cs"/>
            </a:rPr>
            <a:t>800</a:t>
          </a:r>
          <a:endParaRPr lang="en-NG" sz="1600" b="1" i="0" u="none" strike="noStrike" kern="1200" baseline="0">
            <a:solidFill>
              <a:schemeClr val="accent1">
                <a:lumMod val="50000"/>
              </a:schemeClr>
            </a:solidFill>
            <a:latin typeface="Georgia" panose="02040502050405020303" pitchFamily="18" charset="0"/>
            <a:ea typeface="+mn-ea"/>
            <a:cs typeface="+mn-cs"/>
          </a:endParaRPr>
        </a:p>
      </xdr:txBody>
    </xdr:sp>
    <xdr:clientData/>
  </xdr:twoCellAnchor>
  <xdr:twoCellAnchor>
    <xdr:from>
      <xdr:col>32</xdr:col>
      <xdr:colOff>107155</xdr:colOff>
      <xdr:row>15</xdr:row>
      <xdr:rowOff>79375</xdr:rowOff>
    </xdr:from>
    <xdr:to>
      <xdr:col>34</xdr:col>
      <xdr:colOff>365125</xdr:colOff>
      <xdr:row>20</xdr:row>
      <xdr:rowOff>31750</xdr:rowOff>
    </xdr:to>
    <xdr:sp macro="" textlink="">
      <xdr:nvSpPr>
        <xdr:cNvPr id="37" name="TextBox 36">
          <a:extLst>
            <a:ext uri="{FF2B5EF4-FFF2-40B4-BE49-F238E27FC236}">
              <a16:creationId xmlns:a16="http://schemas.microsoft.com/office/drawing/2014/main" id="{D4FFDE08-1530-1B18-0F9E-9E6AB98CB95E}"/>
            </a:ext>
          </a:extLst>
        </xdr:cNvPr>
        <xdr:cNvSpPr txBox="1"/>
      </xdr:nvSpPr>
      <xdr:spPr>
        <a:xfrm>
          <a:off x="22459155" y="2698750"/>
          <a:ext cx="1654970" cy="825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baseline="0">
              <a:solidFill>
                <a:schemeClr val="accent1">
                  <a:lumMod val="50000"/>
                </a:schemeClr>
              </a:solidFill>
              <a:latin typeface="Georgia" panose="02040502050405020303" pitchFamily="18" charset="0"/>
            </a:rPr>
            <a:t>Average </a:t>
          </a:r>
        </a:p>
        <a:p>
          <a:pPr algn="ctr"/>
          <a:r>
            <a:rPr lang="en-US" sz="1600" b="0" baseline="0">
              <a:solidFill>
                <a:schemeClr val="accent1">
                  <a:lumMod val="50000"/>
                </a:schemeClr>
              </a:solidFill>
              <a:latin typeface="Georgia" panose="02040502050405020303" pitchFamily="18" charset="0"/>
            </a:rPr>
            <a:t>BMI</a:t>
          </a:r>
          <a:r>
            <a:rPr lang="en-US" sz="1600" b="0" baseline="0"/>
            <a:t> </a:t>
          </a:r>
          <a:endParaRPr lang="en-US" sz="1600" b="0" i="0" u="none" strike="noStrike" kern="1200" baseline="0">
            <a:solidFill>
              <a:schemeClr val="accent1">
                <a:lumMod val="50000"/>
              </a:schemeClr>
            </a:solidFill>
            <a:latin typeface="Georgia" panose="02040502050405020303" pitchFamily="18" charset="0"/>
            <a:ea typeface="+mn-ea"/>
            <a:cs typeface="+mn-cs"/>
          </a:endParaRPr>
        </a:p>
        <a:p>
          <a:pPr algn="ctr"/>
          <a:r>
            <a:rPr lang="en-US" sz="1600" b="1" i="0" u="none" strike="noStrike" kern="1200" baseline="0">
              <a:solidFill>
                <a:schemeClr val="accent1">
                  <a:lumMod val="50000"/>
                </a:schemeClr>
              </a:solidFill>
              <a:latin typeface="Georgia" panose="02040502050405020303" pitchFamily="18" charset="0"/>
              <a:ea typeface="+mn-ea"/>
              <a:cs typeface="+mn-cs"/>
            </a:rPr>
            <a:t>23.38</a:t>
          </a:r>
          <a:endParaRPr lang="en-NG" sz="1600" b="1" i="0" u="none" strike="noStrike" kern="1200" baseline="0">
            <a:solidFill>
              <a:schemeClr val="accent1">
                <a:lumMod val="50000"/>
              </a:schemeClr>
            </a:solidFill>
            <a:latin typeface="Georgia" panose="02040502050405020303" pitchFamily="18" charset="0"/>
            <a:ea typeface="+mn-ea"/>
            <a:cs typeface="+mn-cs"/>
          </a:endParaRPr>
        </a:p>
      </xdr:txBody>
    </xdr:sp>
    <xdr:clientData/>
  </xdr:twoCellAnchor>
  <xdr:twoCellAnchor>
    <xdr:from>
      <xdr:col>32</xdr:col>
      <xdr:colOff>116680</xdr:colOff>
      <xdr:row>22</xdr:row>
      <xdr:rowOff>176210</xdr:rowOff>
    </xdr:from>
    <xdr:to>
      <xdr:col>34</xdr:col>
      <xdr:colOff>349250</xdr:colOff>
      <xdr:row>28</xdr:row>
      <xdr:rowOff>45241</xdr:rowOff>
    </xdr:to>
    <xdr:sp macro="" textlink="">
      <xdr:nvSpPr>
        <xdr:cNvPr id="38" name="TextBox 37">
          <a:extLst>
            <a:ext uri="{FF2B5EF4-FFF2-40B4-BE49-F238E27FC236}">
              <a16:creationId xmlns:a16="http://schemas.microsoft.com/office/drawing/2014/main" id="{2F7A8ED8-4F3A-8A46-0C5F-1DDCD7E0665A}"/>
            </a:ext>
          </a:extLst>
        </xdr:cNvPr>
        <xdr:cNvSpPr txBox="1"/>
      </xdr:nvSpPr>
      <xdr:spPr>
        <a:xfrm>
          <a:off x="19420680" y="4367210"/>
          <a:ext cx="1439070" cy="1012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baseline="0">
              <a:solidFill>
                <a:schemeClr val="accent1">
                  <a:lumMod val="50000"/>
                </a:schemeClr>
              </a:solidFill>
              <a:latin typeface="Georgia" panose="02040502050405020303" pitchFamily="18" charset="0"/>
            </a:rPr>
            <a:t>Average </a:t>
          </a:r>
        </a:p>
        <a:p>
          <a:pPr algn="ctr"/>
          <a:r>
            <a:rPr lang="en-US" sz="1600" b="0" i="0" u="none" strike="noStrike" kern="0" baseline="0">
              <a:solidFill>
                <a:schemeClr val="accent1">
                  <a:lumMod val="50000"/>
                </a:schemeClr>
              </a:solidFill>
              <a:latin typeface="Georgia" panose="02040502050405020303" pitchFamily="18" charset="0"/>
              <a:ea typeface="+mn-ea"/>
              <a:cs typeface="+mn-cs"/>
            </a:rPr>
            <a:t>Height</a:t>
          </a:r>
          <a:endParaRPr lang="en-US" sz="1600" b="0" i="0" u="none" strike="noStrike" kern="1200" baseline="0">
            <a:solidFill>
              <a:schemeClr val="accent1">
                <a:lumMod val="50000"/>
              </a:schemeClr>
            </a:solidFill>
            <a:latin typeface="Georgia" panose="02040502050405020303" pitchFamily="18" charset="0"/>
            <a:ea typeface="+mn-ea"/>
            <a:cs typeface="+mn-cs"/>
          </a:endParaRPr>
        </a:p>
        <a:p>
          <a:pPr algn="ctr"/>
          <a:r>
            <a:rPr lang="en-US" sz="1600" b="1" i="0" u="none" strike="noStrike" kern="1200" baseline="0">
              <a:solidFill>
                <a:schemeClr val="accent1">
                  <a:lumMod val="50000"/>
                </a:schemeClr>
              </a:solidFill>
              <a:latin typeface="Georgia" panose="02040502050405020303" pitchFamily="18" charset="0"/>
              <a:ea typeface="+mn-ea"/>
              <a:cs typeface="+mn-cs"/>
            </a:rPr>
            <a:t>177.41cm</a:t>
          </a:r>
          <a:endParaRPr lang="en-NG" sz="1600" b="1" i="0" u="none" strike="noStrike" kern="1200" baseline="0">
            <a:solidFill>
              <a:schemeClr val="accent1">
                <a:lumMod val="50000"/>
              </a:schemeClr>
            </a:solidFill>
            <a:latin typeface="Georgia" panose="02040502050405020303" pitchFamily="18" charset="0"/>
            <a:ea typeface="+mn-ea"/>
            <a:cs typeface="+mn-cs"/>
          </a:endParaRPr>
        </a:p>
      </xdr:txBody>
    </xdr:sp>
    <xdr:clientData/>
  </xdr:twoCellAnchor>
  <xdr:twoCellAnchor>
    <xdr:from>
      <xdr:col>32</xdr:col>
      <xdr:colOff>92868</xdr:colOff>
      <xdr:row>30</xdr:row>
      <xdr:rowOff>119060</xdr:rowOff>
    </xdr:from>
    <xdr:to>
      <xdr:col>34</xdr:col>
      <xdr:colOff>333375</xdr:colOff>
      <xdr:row>35</xdr:row>
      <xdr:rowOff>178591</xdr:rowOff>
    </xdr:to>
    <xdr:sp macro="" textlink="">
      <xdr:nvSpPr>
        <xdr:cNvPr id="39" name="TextBox 38">
          <a:extLst>
            <a:ext uri="{FF2B5EF4-FFF2-40B4-BE49-F238E27FC236}">
              <a16:creationId xmlns:a16="http://schemas.microsoft.com/office/drawing/2014/main" id="{778ACAC1-BACA-5EE8-26DF-FBFED16CA225}"/>
            </a:ext>
          </a:extLst>
        </xdr:cNvPr>
        <xdr:cNvSpPr txBox="1"/>
      </xdr:nvSpPr>
      <xdr:spPr>
        <a:xfrm>
          <a:off x="19396868" y="5834060"/>
          <a:ext cx="1447007" cy="1012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baseline="0">
              <a:solidFill>
                <a:schemeClr val="accent1">
                  <a:lumMod val="50000"/>
                </a:schemeClr>
              </a:solidFill>
              <a:latin typeface="Georgia" panose="02040502050405020303" pitchFamily="18" charset="0"/>
            </a:rPr>
            <a:t>Average </a:t>
          </a:r>
        </a:p>
        <a:p>
          <a:pPr algn="ctr"/>
          <a:r>
            <a:rPr lang="en-US" sz="1600" b="0" i="0" u="none" strike="noStrike" kern="0" baseline="0">
              <a:solidFill>
                <a:schemeClr val="accent1">
                  <a:lumMod val="50000"/>
                </a:schemeClr>
              </a:solidFill>
              <a:latin typeface="Georgia" panose="02040502050405020303" pitchFamily="18" charset="0"/>
              <a:ea typeface="+mn-ea"/>
              <a:cs typeface="+mn-cs"/>
            </a:rPr>
            <a:t>Weight</a:t>
          </a:r>
          <a:endParaRPr lang="en-US" sz="1600" b="0" i="0" u="none" strike="noStrike" kern="1200" baseline="0">
            <a:solidFill>
              <a:schemeClr val="accent1">
                <a:lumMod val="50000"/>
              </a:schemeClr>
            </a:solidFill>
            <a:latin typeface="Georgia" panose="02040502050405020303" pitchFamily="18" charset="0"/>
            <a:ea typeface="+mn-ea"/>
            <a:cs typeface="+mn-cs"/>
          </a:endParaRPr>
        </a:p>
        <a:p>
          <a:pPr algn="ctr"/>
          <a:r>
            <a:rPr lang="en-US" sz="1600" b="1" i="0" u="none" strike="noStrike" kern="1200" baseline="0">
              <a:solidFill>
                <a:schemeClr val="accent1">
                  <a:lumMod val="50000"/>
                </a:schemeClr>
              </a:solidFill>
              <a:latin typeface="Georgia" panose="02040502050405020303" pitchFamily="18" charset="0"/>
              <a:ea typeface="+mn-ea"/>
              <a:cs typeface="+mn-cs"/>
            </a:rPr>
            <a:t>27.24kg</a:t>
          </a:r>
          <a:endParaRPr lang="en-NG" sz="1600" b="1" i="0" u="none" strike="noStrike" kern="1200" baseline="0">
            <a:solidFill>
              <a:schemeClr val="accent1">
                <a:lumMod val="50000"/>
              </a:schemeClr>
            </a:solidFill>
            <a:latin typeface="Georgia" panose="02040502050405020303" pitchFamily="18" charset="0"/>
            <a:ea typeface="+mn-ea"/>
            <a:cs typeface="+mn-cs"/>
          </a:endParaRPr>
        </a:p>
      </xdr:txBody>
    </xdr:sp>
    <xdr:clientData/>
  </xdr:twoCellAnchor>
  <xdr:twoCellAnchor editAs="oneCell">
    <xdr:from>
      <xdr:col>32</xdr:col>
      <xdr:colOff>460375</xdr:colOff>
      <xdr:row>6</xdr:row>
      <xdr:rowOff>63500</xdr:rowOff>
    </xdr:from>
    <xdr:to>
      <xdr:col>34</xdr:col>
      <xdr:colOff>45875</xdr:colOff>
      <xdr:row>8</xdr:row>
      <xdr:rowOff>80920</xdr:rowOff>
    </xdr:to>
    <xdr:pic>
      <xdr:nvPicPr>
        <xdr:cNvPr id="41" name="Graphic 40" descr="Soccer with solid fill">
          <a:extLst>
            <a:ext uri="{FF2B5EF4-FFF2-40B4-BE49-F238E27FC236}">
              <a16:creationId xmlns:a16="http://schemas.microsoft.com/office/drawing/2014/main" id="{F333D206-915A-49DC-5B1F-FF40BA6A1F0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9764375" y="1206500"/>
          <a:ext cx="792000" cy="398420"/>
        </a:xfrm>
        <a:prstGeom prst="rect">
          <a:avLst/>
        </a:prstGeom>
      </xdr:spPr>
    </xdr:pic>
    <xdr:clientData/>
  </xdr:twoCellAnchor>
  <xdr:twoCellAnchor editAs="oneCell">
    <xdr:from>
      <xdr:col>32</xdr:col>
      <xdr:colOff>495302</xdr:colOff>
      <xdr:row>14</xdr:row>
      <xdr:rowOff>19050</xdr:rowOff>
    </xdr:from>
    <xdr:to>
      <xdr:col>34</xdr:col>
      <xdr:colOff>0</xdr:colOff>
      <xdr:row>16</xdr:row>
      <xdr:rowOff>34050</xdr:rowOff>
    </xdr:to>
    <xdr:pic>
      <xdr:nvPicPr>
        <xdr:cNvPr id="43" name="Graphic 42" descr="Alterations &amp; Tailoring with solid fill">
          <a:extLst>
            <a:ext uri="{FF2B5EF4-FFF2-40B4-BE49-F238E27FC236}">
              <a16:creationId xmlns:a16="http://schemas.microsoft.com/office/drawing/2014/main" id="{276DFA21-FB6B-8CB6-3F95-1128BF11808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9799302" y="2686050"/>
          <a:ext cx="711198" cy="396000"/>
        </a:xfrm>
        <a:prstGeom prst="rect">
          <a:avLst/>
        </a:prstGeom>
      </xdr:spPr>
    </xdr:pic>
    <xdr:clientData/>
  </xdr:twoCellAnchor>
  <xdr:twoCellAnchor editAs="oneCell">
    <xdr:from>
      <xdr:col>32</xdr:col>
      <xdr:colOff>498476</xdr:colOff>
      <xdr:row>21</xdr:row>
      <xdr:rowOff>111125</xdr:rowOff>
    </xdr:from>
    <xdr:to>
      <xdr:col>33</xdr:col>
      <xdr:colOff>546546</xdr:colOff>
      <xdr:row>23</xdr:row>
      <xdr:rowOff>129725</xdr:rowOff>
    </xdr:to>
    <xdr:pic>
      <xdr:nvPicPr>
        <xdr:cNvPr id="46" name="Graphic 45" descr="Scale with solid fill">
          <a:extLst>
            <a:ext uri="{FF2B5EF4-FFF2-40B4-BE49-F238E27FC236}">
              <a16:creationId xmlns:a16="http://schemas.microsoft.com/office/drawing/2014/main" id="{E4B8DDD8-E314-00A5-5B40-4B6736D539A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9802476" y="4111625"/>
          <a:ext cx="651320" cy="399600"/>
        </a:xfrm>
        <a:prstGeom prst="rect">
          <a:avLst/>
        </a:prstGeom>
      </xdr:spPr>
    </xdr:pic>
    <xdr:clientData/>
  </xdr:twoCellAnchor>
  <xdr:twoCellAnchor editAs="oneCell">
    <xdr:from>
      <xdr:col>32</xdr:col>
      <xdr:colOff>527050</xdr:colOff>
      <xdr:row>29</xdr:row>
      <xdr:rowOff>28575</xdr:rowOff>
    </xdr:from>
    <xdr:to>
      <xdr:col>33</xdr:col>
      <xdr:colOff>556601</xdr:colOff>
      <xdr:row>31</xdr:row>
      <xdr:rowOff>47175</xdr:rowOff>
    </xdr:to>
    <xdr:pic>
      <xdr:nvPicPr>
        <xdr:cNvPr id="48" name="Graphic 47" descr="Weight Loss with solid fill">
          <a:extLst>
            <a:ext uri="{FF2B5EF4-FFF2-40B4-BE49-F238E27FC236}">
              <a16:creationId xmlns:a16="http://schemas.microsoft.com/office/drawing/2014/main" id="{14845C49-8ECE-D51C-7FE5-62D5EBED8B0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9831050" y="5553075"/>
          <a:ext cx="632801" cy="399600"/>
        </a:xfrm>
        <a:prstGeom prst="rect">
          <a:avLst/>
        </a:prstGeom>
      </xdr:spPr>
    </xdr:pic>
    <xdr:clientData/>
  </xdr:twoCellAnchor>
  <xdr:twoCellAnchor editAs="oneCell">
    <xdr:from>
      <xdr:col>0</xdr:col>
      <xdr:colOff>179614</xdr:colOff>
      <xdr:row>5</xdr:row>
      <xdr:rowOff>70760</xdr:rowOff>
    </xdr:from>
    <xdr:to>
      <xdr:col>1</xdr:col>
      <xdr:colOff>359293</xdr:colOff>
      <xdr:row>9</xdr:row>
      <xdr:rowOff>92531</xdr:rowOff>
    </xdr:to>
    <xdr:pic>
      <xdr:nvPicPr>
        <xdr:cNvPr id="50" name="Graphic 49" descr="Books with solid fill">
          <a:hlinkClick xmlns:r="http://schemas.openxmlformats.org/officeDocument/2006/relationships" r:id="rId20"/>
          <a:extLst>
            <a:ext uri="{FF2B5EF4-FFF2-40B4-BE49-F238E27FC236}">
              <a16:creationId xmlns:a16="http://schemas.microsoft.com/office/drawing/2014/main" id="{7F4D2DD5-8C07-9C70-F7F6-57D7BB496AFE}"/>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79614" y="1023260"/>
          <a:ext cx="792000" cy="783771"/>
        </a:xfrm>
        <a:prstGeom prst="rect">
          <a:avLst/>
        </a:prstGeom>
      </xdr:spPr>
    </xdr:pic>
    <xdr:clientData/>
  </xdr:twoCellAnchor>
  <xdr:twoCellAnchor editAs="oneCell">
    <xdr:from>
      <xdr:col>0</xdr:col>
      <xdr:colOff>200478</xdr:colOff>
      <xdr:row>11</xdr:row>
      <xdr:rowOff>84818</xdr:rowOff>
    </xdr:from>
    <xdr:to>
      <xdr:col>1</xdr:col>
      <xdr:colOff>380157</xdr:colOff>
      <xdr:row>15</xdr:row>
      <xdr:rowOff>106589</xdr:rowOff>
    </xdr:to>
    <xdr:pic>
      <xdr:nvPicPr>
        <xdr:cNvPr id="52" name="Graphic 51" descr="Presentation with bar chart with solid fill">
          <a:hlinkClick xmlns:r="http://schemas.openxmlformats.org/officeDocument/2006/relationships" r:id="rId23"/>
          <a:extLst>
            <a:ext uri="{FF2B5EF4-FFF2-40B4-BE49-F238E27FC236}">
              <a16:creationId xmlns:a16="http://schemas.microsoft.com/office/drawing/2014/main" id="{61C7E3A8-5455-0A8B-2BBA-B6C0E5B77A0B}"/>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200478" y="2180318"/>
          <a:ext cx="792000" cy="783771"/>
        </a:xfrm>
        <a:prstGeom prst="rect">
          <a:avLst/>
        </a:prstGeom>
      </xdr:spPr>
    </xdr:pic>
    <xdr:clientData/>
  </xdr:twoCellAnchor>
  <xdr:twoCellAnchor editAs="oneCell">
    <xdr:from>
      <xdr:col>0</xdr:col>
      <xdr:colOff>146957</xdr:colOff>
      <xdr:row>25</xdr:row>
      <xdr:rowOff>115211</xdr:rowOff>
    </xdr:from>
    <xdr:to>
      <xdr:col>1</xdr:col>
      <xdr:colOff>326636</xdr:colOff>
      <xdr:row>29</xdr:row>
      <xdr:rowOff>131322</xdr:rowOff>
    </xdr:to>
    <xdr:pic>
      <xdr:nvPicPr>
        <xdr:cNvPr id="54" name="Graphic 53" descr="Chat bubble with solid fill">
          <a:hlinkClick xmlns:r="http://schemas.openxmlformats.org/officeDocument/2006/relationships" r:id="rId26"/>
          <a:extLst>
            <a:ext uri="{FF2B5EF4-FFF2-40B4-BE49-F238E27FC236}">
              <a16:creationId xmlns:a16="http://schemas.microsoft.com/office/drawing/2014/main" id="{3C712FB4-12E8-A05C-A783-C3E7FEA4E5EB}"/>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146957" y="4877711"/>
          <a:ext cx="792000" cy="778111"/>
        </a:xfrm>
        <a:prstGeom prst="rect">
          <a:avLst/>
        </a:prstGeom>
      </xdr:spPr>
    </xdr:pic>
    <xdr:clientData/>
  </xdr:twoCellAnchor>
  <xdr:twoCellAnchor editAs="oneCell">
    <xdr:from>
      <xdr:col>0</xdr:col>
      <xdr:colOff>172358</xdr:colOff>
      <xdr:row>18</xdr:row>
      <xdr:rowOff>92988</xdr:rowOff>
    </xdr:from>
    <xdr:to>
      <xdr:col>1</xdr:col>
      <xdr:colOff>352037</xdr:colOff>
      <xdr:row>22</xdr:row>
      <xdr:rowOff>109099</xdr:rowOff>
    </xdr:to>
    <xdr:pic>
      <xdr:nvPicPr>
        <xdr:cNvPr id="56" name="Graphic 55" descr="Clipboard with solid fill">
          <a:hlinkClick xmlns:r="http://schemas.openxmlformats.org/officeDocument/2006/relationships" r:id="rId29"/>
          <a:extLst>
            <a:ext uri="{FF2B5EF4-FFF2-40B4-BE49-F238E27FC236}">
              <a16:creationId xmlns:a16="http://schemas.microsoft.com/office/drawing/2014/main" id="{03A47CFF-11D1-E3DA-D4B1-DED53E4D1BBD}"/>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72358" y="3521988"/>
          <a:ext cx="792000" cy="778111"/>
        </a:xfrm>
        <a:prstGeom prst="rect">
          <a:avLst/>
        </a:prstGeom>
      </xdr:spPr>
    </xdr:pic>
    <xdr:clientData/>
  </xdr:twoCellAnchor>
  <xdr:twoCellAnchor>
    <xdr:from>
      <xdr:col>0</xdr:col>
      <xdr:colOff>238125</xdr:colOff>
      <xdr:row>9</xdr:row>
      <xdr:rowOff>83006</xdr:rowOff>
    </xdr:from>
    <xdr:to>
      <xdr:col>1</xdr:col>
      <xdr:colOff>400050</xdr:colOff>
      <xdr:row>10</xdr:row>
      <xdr:rowOff>168731</xdr:rowOff>
    </xdr:to>
    <xdr:sp macro="" textlink="">
      <xdr:nvSpPr>
        <xdr:cNvPr id="61" name="TextBox 60">
          <a:extLst>
            <a:ext uri="{FF2B5EF4-FFF2-40B4-BE49-F238E27FC236}">
              <a16:creationId xmlns:a16="http://schemas.microsoft.com/office/drawing/2014/main" id="{75D4CF15-BA18-6E74-F055-3C5C94C855B4}"/>
            </a:ext>
          </a:extLst>
        </xdr:cNvPr>
        <xdr:cNvSpPr txBox="1"/>
      </xdr:nvSpPr>
      <xdr:spPr>
        <a:xfrm>
          <a:off x="238125" y="1797506"/>
          <a:ext cx="77424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1"/>
              </a:solidFill>
              <a:latin typeface="Georgia" panose="02040502050405020303" pitchFamily="18" charset="0"/>
            </a:rPr>
            <a:t>Data</a:t>
          </a:r>
          <a:endParaRPr lang="en-NG" sz="1400" b="0">
            <a:solidFill>
              <a:schemeClr val="bg1"/>
            </a:solidFill>
            <a:latin typeface="Georgia" panose="02040502050405020303" pitchFamily="18" charset="0"/>
          </a:endParaRPr>
        </a:p>
      </xdr:txBody>
    </xdr:sp>
    <xdr:clientData/>
  </xdr:twoCellAnchor>
  <xdr:twoCellAnchor>
    <xdr:from>
      <xdr:col>0</xdr:col>
      <xdr:colOff>68036</xdr:colOff>
      <xdr:row>15</xdr:row>
      <xdr:rowOff>69397</xdr:rowOff>
    </xdr:from>
    <xdr:to>
      <xdr:col>1</xdr:col>
      <xdr:colOff>476250</xdr:colOff>
      <xdr:row>18</xdr:row>
      <xdr:rowOff>40823</xdr:rowOff>
    </xdr:to>
    <xdr:sp macro="" textlink="">
      <xdr:nvSpPr>
        <xdr:cNvPr id="62" name="TextBox 61">
          <a:extLst>
            <a:ext uri="{FF2B5EF4-FFF2-40B4-BE49-F238E27FC236}">
              <a16:creationId xmlns:a16="http://schemas.microsoft.com/office/drawing/2014/main" id="{D12EDB79-334B-A46F-FA4B-F1BD686F6E22}"/>
            </a:ext>
          </a:extLst>
        </xdr:cNvPr>
        <xdr:cNvSpPr txBox="1"/>
      </xdr:nvSpPr>
      <xdr:spPr>
        <a:xfrm>
          <a:off x="68036" y="2926897"/>
          <a:ext cx="1020535" cy="54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solidFill>
                <a:schemeClr val="bg1"/>
              </a:solidFill>
              <a:latin typeface="Georgia" panose="02040502050405020303" pitchFamily="18" charset="0"/>
            </a:rPr>
            <a:t>In-analysis</a:t>
          </a:r>
          <a:endParaRPr lang="en-NG" sz="1400" b="0">
            <a:solidFill>
              <a:schemeClr val="bg1"/>
            </a:solidFill>
            <a:latin typeface="Georgia" panose="02040502050405020303" pitchFamily="18" charset="0"/>
          </a:endParaRPr>
        </a:p>
      </xdr:txBody>
    </xdr:sp>
    <xdr:clientData/>
  </xdr:twoCellAnchor>
  <xdr:twoCellAnchor>
    <xdr:from>
      <xdr:col>0</xdr:col>
      <xdr:colOff>16327</xdr:colOff>
      <xdr:row>28</xdr:row>
      <xdr:rowOff>158750</xdr:rowOff>
    </xdr:from>
    <xdr:to>
      <xdr:col>1</xdr:col>
      <xdr:colOff>424541</xdr:colOff>
      <xdr:row>30</xdr:row>
      <xdr:rowOff>174625</xdr:rowOff>
    </xdr:to>
    <xdr:sp macro="" textlink="">
      <xdr:nvSpPr>
        <xdr:cNvPr id="64" name="TextBox 63">
          <a:extLst>
            <a:ext uri="{FF2B5EF4-FFF2-40B4-BE49-F238E27FC236}">
              <a16:creationId xmlns:a16="http://schemas.microsoft.com/office/drawing/2014/main" id="{C3D98698-E48D-9E37-023B-216474593109}"/>
            </a:ext>
          </a:extLst>
        </xdr:cNvPr>
        <xdr:cNvSpPr txBox="1"/>
      </xdr:nvSpPr>
      <xdr:spPr>
        <a:xfrm>
          <a:off x="16327" y="5492750"/>
          <a:ext cx="1011464"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solidFill>
                <a:schemeClr val="bg1"/>
              </a:solidFill>
              <a:latin typeface="Georgia" panose="02040502050405020303" pitchFamily="18" charset="0"/>
            </a:rPr>
            <a:t>Emai</a:t>
          </a:r>
          <a:r>
            <a:rPr lang="en-US" sz="1600" b="0">
              <a:solidFill>
                <a:schemeClr val="bg1"/>
              </a:solidFill>
              <a:latin typeface="Georgia" panose="02040502050405020303" pitchFamily="18" charset="0"/>
            </a:rPr>
            <a:t>l</a:t>
          </a:r>
          <a:endParaRPr lang="en-NG" sz="1600" b="0">
            <a:solidFill>
              <a:schemeClr val="bg1"/>
            </a:solidFill>
            <a:latin typeface="Georgia" panose="02040502050405020303" pitchFamily="18" charset="0"/>
          </a:endParaRPr>
        </a:p>
      </xdr:txBody>
    </xdr:sp>
    <xdr:clientData/>
  </xdr:twoCellAnchor>
  <xdr:twoCellAnchor>
    <xdr:from>
      <xdr:col>0</xdr:col>
      <xdr:colOff>19050</xdr:colOff>
      <xdr:row>22</xdr:row>
      <xdr:rowOff>74839</xdr:rowOff>
    </xdr:from>
    <xdr:to>
      <xdr:col>1</xdr:col>
      <xdr:colOff>449036</xdr:colOff>
      <xdr:row>25</xdr:row>
      <xdr:rowOff>46265</xdr:rowOff>
    </xdr:to>
    <xdr:sp macro="" textlink="">
      <xdr:nvSpPr>
        <xdr:cNvPr id="65" name="TextBox 64">
          <a:extLst>
            <a:ext uri="{FF2B5EF4-FFF2-40B4-BE49-F238E27FC236}">
              <a16:creationId xmlns:a16="http://schemas.microsoft.com/office/drawing/2014/main" id="{072E681C-AF43-686A-4338-F5CE7985A626}"/>
            </a:ext>
          </a:extLst>
        </xdr:cNvPr>
        <xdr:cNvSpPr txBox="1"/>
      </xdr:nvSpPr>
      <xdr:spPr>
        <a:xfrm>
          <a:off x="19050" y="4265839"/>
          <a:ext cx="1042307" cy="54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solidFill>
                <a:schemeClr val="bg1"/>
              </a:solidFill>
              <a:latin typeface="Georgia" panose="02040502050405020303" pitchFamily="18" charset="0"/>
            </a:rPr>
            <a:t>Post-Analysis</a:t>
          </a:r>
          <a:endParaRPr lang="en-NG" sz="1400" b="0">
            <a:solidFill>
              <a:schemeClr val="bg1"/>
            </a:solidFill>
            <a:latin typeface="Georgia" panose="02040502050405020303" pitchFamily="18" charset="0"/>
          </a:endParaRPr>
        </a:p>
      </xdr:txBody>
    </xdr:sp>
    <xdr:clientData/>
  </xdr:twoCellAnchor>
  <xdr:twoCellAnchor>
    <xdr:from>
      <xdr:col>32</xdr:col>
      <xdr:colOff>108748</xdr:colOff>
      <xdr:row>36</xdr:row>
      <xdr:rowOff>117475</xdr:rowOff>
    </xdr:from>
    <xdr:to>
      <xdr:col>34</xdr:col>
      <xdr:colOff>343948</xdr:colOff>
      <xdr:row>43</xdr:row>
      <xdr:rowOff>43975</xdr:rowOff>
    </xdr:to>
    <xdr:sp macro="" textlink="">
      <xdr:nvSpPr>
        <xdr:cNvPr id="40" name="Rectangle 39">
          <a:extLst>
            <a:ext uri="{FF2B5EF4-FFF2-40B4-BE49-F238E27FC236}">
              <a16:creationId xmlns:a16="http://schemas.microsoft.com/office/drawing/2014/main" id="{E0782337-471E-EE78-DCB9-F6296C9422A2}"/>
            </a:ext>
          </a:extLst>
        </xdr:cNvPr>
        <xdr:cNvSpPr/>
      </xdr:nvSpPr>
      <xdr:spPr>
        <a:xfrm>
          <a:off x="19412748" y="6975475"/>
          <a:ext cx="1441700" cy="1260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32</xdr:col>
      <xdr:colOff>134143</xdr:colOff>
      <xdr:row>38</xdr:row>
      <xdr:rowOff>65085</xdr:rowOff>
    </xdr:from>
    <xdr:to>
      <xdr:col>34</xdr:col>
      <xdr:colOff>374650</xdr:colOff>
      <xdr:row>43</xdr:row>
      <xdr:rowOff>124616</xdr:rowOff>
    </xdr:to>
    <xdr:sp macro="" textlink="">
      <xdr:nvSpPr>
        <xdr:cNvPr id="42" name="TextBox 41">
          <a:extLst>
            <a:ext uri="{FF2B5EF4-FFF2-40B4-BE49-F238E27FC236}">
              <a16:creationId xmlns:a16="http://schemas.microsoft.com/office/drawing/2014/main" id="{2B273751-3800-57BC-2658-D57BE73BEB51}"/>
            </a:ext>
          </a:extLst>
        </xdr:cNvPr>
        <xdr:cNvSpPr txBox="1"/>
      </xdr:nvSpPr>
      <xdr:spPr>
        <a:xfrm>
          <a:off x="19438143" y="7304085"/>
          <a:ext cx="1447007" cy="1012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baseline="0">
              <a:solidFill>
                <a:schemeClr val="accent1">
                  <a:lumMod val="50000"/>
                </a:schemeClr>
              </a:solidFill>
              <a:latin typeface="Georgia" panose="02040502050405020303" pitchFamily="18" charset="0"/>
            </a:rPr>
            <a:t>Average </a:t>
          </a:r>
        </a:p>
        <a:p>
          <a:pPr algn="ctr"/>
          <a:r>
            <a:rPr lang="en-US" sz="1600" b="0" i="0" u="none" strike="noStrike" kern="0" baseline="0">
              <a:solidFill>
                <a:schemeClr val="accent1">
                  <a:lumMod val="50000"/>
                </a:schemeClr>
              </a:solidFill>
              <a:latin typeface="Georgia" panose="02040502050405020303" pitchFamily="18" charset="0"/>
              <a:ea typeface="+mn-ea"/>
              <a:cs typeface="+mn-cs"/>
            </a:rPr>
            <a:t>Sprint Speed</a:t>
          </a:r>
          <a:endParaRPr lang="en-US" sz="1600" b="0" i="0" u="none" strike="noStrike" kern="1200" baseline="0">
            <a:solidFill>
              <a:schemeClr val="accent1">
                <a:lumMod val="50000"/>
              </a:schemeClr>
            </a:solidFill>
            <a:latin typeface="Georgia" panose="02040502050405020303" pitchFamily="18" charset="0"/>
            <a:ea typeface="+mn-ea"/>
            <a:cs typeface="+mn-cs"/>
          </a:endParaRPr>
        </a:p>
        <a:p>
          <a:pPr algn="ctr"/>
          <a:r>
            <a:rPr lang="en-US" sz="1600" b="1" i="0" u="none" strike="noStrike" kern="1200" baseline="0">
              <a:solidFill>
                <a:schemeClr val="accent1">
                  <a:lumMod val="50000"/>
                </a:schemeClr>
              </a:solidFill>
              <a:latin typeface="Georgia" panose="02040502050405020303" pitchFamily="18" charset="0"/>
              <a:ea typeface="+mn-ea"/>
              <a:cs typeface="+mn-cs"/>
            </a:rPr>
            <a:t>5.94ms</a:t>
          </a:r>
          <a:endParaRPr lang="en-NG" sz="1600" b="1" i="0" u="none" strike="noStrike" kern="1200" baseline="0">
            <a:solidFill>
              <a:schemeClr val="accent1">
                <a:lumMod val="50000"/>
              </a:schemeClr>
            </a:solidFill>
            <a:latin typeface="Georgia" panose="02040502050405020303" pitchFamily="18" charset="0"/>
            <a:ea typeface="+mn-ea"/>
            <a:cs typeface="+mn-cs"/>
          </a:endParaRPr>
        </a:p>
      </xdr:txBody>
    </xdr:sp>
    <xdr:clientData/>
  </xdr:twoCellAnchor>
  <xdr:twoCellAnchor editAs="oneCell">
    <xdr:from>
      <xdr:col>32</xdr:col>
      <xdr:colOff>500068</xdr:colOff>
      <xdr:row>36</xdr:row>
      <xdr:rowOff>47625</xdr:rowOff>
    </xdr:from>
    <xdr:to>
      <xdr:col>33</xdr:col>
      <xdr:colOff>546943</xdr:colOff>
      <xdr:row>39</xdr:row>
      <xdr:rowOff>130759</xdr:rowOff>
    </xdr:to>
    <xdr:pic>
      <xdr:nvPicPr>
        <xdr:cNvPr id="45" name="Graphic 44" descr="Speedometer Middle with solid fill">
          <a:extLst>
            <a:ext uri="{FF2B5EF4-FFF2-40B4-BE49-F238E27FC236}">
              <a16:creationId xmlns:a16="http://schemas.microsoft.com/office/drawing/2014/main" id="{271C24C5-0CFD-9C11-5FEE-803384C2C407}"/>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20312068" y="6905625"/>
          <a:ext cx="666000" cy="6546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330992</xdr:colOff>
      <xdr:row>0</xdr:row>
      <xdr:rowOff>71436</xdr:rowOff>
    </xdr:from>
    <xdr:to>
      <xdr:col>9</xdr:col>
      <xdr:colOff>190499</xdr:colOff>
      <xdr:row>30</xdr:row>
      <xdr:rowOff>95249</xdr:rowOff>
    </xdr:to>
    <xdr:sp macro="" textlink="">
      <xdr:nvSpPr>
        <xdr:cNvPr id="2" name="Rectangle: Rounded Corners 1">
          <a:extLst>
            <a:ext uri="{FF2B5EF4-FFF2-40B4-BE49-F238E27FC236}">
              <a16:creationId xmlns:a16="http://schemas.microsoft.com/office/drawing/2014/main" id="{CB820D66-DC54-458B-8F55-7455D4EE93C7}"/>
            </a:ext>
          </a:extLst>
        </xdr:cNvPr>
        <xdr:cNvSpPr/>
      </xdr:nvSpPr>
      <xdr:spPr>
        <a:xfrm>
          <a:off x="330992" y="71436"/>
          <a:ext cx="5324476" cy="5738813"/>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bg1"/>
              </a:solidFill>
            </a:rPr>
            <a:t>GENERAL OBSERVATIONS</a:t>
          </a:r>
        </a:p>
        <a:p>
          <a:pPr algn="l"/>
          <a:r>
            <a:rPr lang="en-US" sz="1100" baseline="0">
              <a:solidFill>
                <a:schemeClr val="bg1"/>
              </a:solidFill>
            </a:rPr>
            <a:t>1. Reaction time varies slightly across ages — fastest at age 18–19 (247ms), slower around 21 (254ms), and improving again by 24 (245ms).</a:t>
          </a:r>
        </a:p>
        <a:p>
          <a:pPr algn="l"/>
          <a:endParaRPr lang="en-US" sz="1100" b="0" baseline="0">
            <a:solidFill>
              <a:schemeClr val="bg1"/>
            </a:solidFill>
          </a:endParaRPr>
        </a:p>
        <a:p>
          <a:pPr algn="l"/>
          <a:r>
            <a:rPr lang="en-US" sz="1100" b="0">
              <a:solidFill>
                <a:schemeClr val="bg1"/>
              </a:solidFill>
            </a:rPr>
            <a:t>2. Average knee strength (79.44 at 18) and hamstring flexibility (75.14 at 18) show gradual improvements with age, peaking around 21–22 years, then slightly dipping by 24.</a:t>
          </a:r>
        </a:p>
        <a:p>
          <a:pPr algn="l"/>
          <a:endParaRPr lang="en-US" sz="1100" b="0">
            <a:solidFill>
              <a:schemeClr val="bg1"/>
            </a:solidFill>
          </a:endParaRPr>
        </a:p>
        <a:p>
          <a:pPr algn="l"/>
          <a:r>
            <a:rPr lang="en-US" sz="1100" b="0">
              <a:solidFill>
                <a:schemeClr val="bg1"/>
              </a:solidFill>
            </a:rPr>
            <a:t>3. Only 60% of players adhere to warm-up routines, leaving 40% non-adherent.</a:t>
          </a:r>
        </a:p>
        <a:p>
          <a:pPr algn="l"/>
          <a:endParaRPr lang="en-US" sz="1100" b="0">
            <a:solidFill>
              <a:schemeClr val="bg1"/>
            </a:solidFill>
          </a:endParaRPr>
        </a:p>
        <a:p>
          <a:pPr algn="l"/>
          <a:r>
            <a:rPr lang="en-US" sz="1100" b="0">
              <a:solidFill>
                <a:schemeClr val="bg1"/>
              </a:solidFill>
            </a:rPr>
            <a:t>4. From the injury</a:t>
          </a:r>
          <a:r>
            <a:rPr lang="en-US" sz="1100" b="0" baseline="0">
              <a:solidFill>
                <a:schemeClr val="bg1"/>
              </a:solidFill>
            </a:rPr>
            <a:t> status destribution, </a:t>
          </a:r>
          <a:r>
            <a:rPr lang="en-US" sz="1100" b="0">
              <a:solidFill>
                <a:schemeClr val="bg1"/>
              </a:solidFill>
            </a:rPr>
            <a:t>50% of players have suffered injuries — an equal split between injured and non-injured.</a:t>
          </a:r>
        </a:p>
        <a:p>
          <a:pPr algn="l"/>
          <a:endParaRPr lang="en-US" sz="1100" b="0">
            <a:solidFill>
              <a:schemeClr val="bg1"/>
            </a:solidFill>
          </a:endParaRPr>
        </a:p>
        <a:p>
          <a:pPr algn="l"/>
          <a:r>
            <a:rPr lang="en-US" sz="1100" b="0">
              <a:solidFill>
                <a:schemeClr val="bg1"/>
              </a:solidFill>
            </a:rPr>
            <a:t>5. From Nutrition</a:t>
          </a:r>
          <a:r>
            <a:rPr lang="en-US" sz="1100" b="0" baseline="0">
              <a:solidFill>
                <a:schemeClr val="bg1"/>
              </a:solidFill>
            </a:rPr>
            <a:t> and future injury analysis, </a:t>
          </a:r>
          <a:r>
            <a:rPr lang="en-US" sz="1100" b="0">
              <a:solidFill>
                <a:schemeClr val="bg1"/>
              </a:solidFill>
            </a:rPr>
            <a:t>Players with poor nutrition have an average future injury likelihood score of 0.74, compared to 0.21 for those with good nutrition.</a:t>
          </a:r>
        </a:p>
        <a:p>
          <a:pPr algn="l"/>
          <a:endParaRPr lang="en-US" sz="1100" b="0">
            <a:solidFill>
              <a:schemeClr val="bg1"/>
            </a:solidFill>
          </a:endParaRPr>
        </a:p>
        <a:p>
          <a:pPr algn="l"/>
          <a:r>
            <a:rPr lang="en-US" sz="1100" b="0">
              <a:solidFill>
                <a:schemeClr val="bg1"/>
              </a:solidFill>
            </a:rPr>
            <a:t>6. Players training 10–11 hours weekly participated in the most matches (127), while those training less (7–8 hours) played only 84 matches.</a:t>
          </a:r>
        </a:p>
        <a:p>
          <a:pPr algn="l"/>
          <a:endParaRPr lang="en-US" sz="1100" b="0">
            <a:solidFill>
              <a:schemeClr val="bg1"/>
            </a:solidFill>
          </a:endParaRPr>
        </a:p>
        <a:p>
          <a:pPr algn="l"/>
          <a:r>
            <a:rPr lang="en-US" sz="1100" b="0">
              <a:solidFill>
                <a:schemeClr val="bg1"/>
              </a:solidFill>
            </a:rPr>
            <a:t>7. Players with high stress (score 5–6) sleep about 60 hours/week, whereas those with lower stress (9–10) sleep only 52 hours/week.</a:t>
          </a:r>
        </a:p>
        <a:p>
          <a:pPr algn="l"/>
          <a:endParaRPr lang="en-US" sz="1100" b="0">
            <a:solidFill>
              <a:schemeClr val="bg1"/>
            </a:solidFill>
          </a:endParaRPr>
        </a:p>
        <a:p>
          <a:pPr algn="l"/>
          <a:r>
            <a:rPr lang="en-US" sz="1100" b="0">
              <a:solidFill>
                <a:schemeClr val="bg1"/>
              </a:solidFill>
            </a:rPr>
            <a:t>8. Most players are midfielders (204) and defenders (197), with fewer forwards (186) and goalkeepers (213).</a:t>
          </a:r>
          <a:endParaRPr lang="en-NG" sz="1100" b="0">
            <a:solidFill>
              <a:schemeClr val="bg1"/>
            </a:solidFill>
          </a:endParaRPr>
        </a:p>
      </xdr:txBody>
    </xdr:sp>
    <xdr:clientData/>
  </xdr:twoCellAnchor>
  <xdr:twoCellAnchor>
    <xdr:from>
      <xdr:col>9</xdr:col>
      <xdr:colOff>439209</xdr:colOff>
      <xdr:row>0</xdr:row>
      <xdr:rowOff>134936</xdr:rowOff>
    </xdr:from>
    <xdr:to>
      <xdr:col>18</xdr:col>
      <xdr:colOff>280460</xdr:colOff>
      <xdr:row>29</xdr:row>
      <xdr:rowOff>190499</xdr:rowOff>
    </xdr:to>
    <xdr:sp macro="" textlink="">
      <xdr:nvSpPr>
        <xdr:cNvPr id="3" name="Rectangle: Rounded Corners 2">
          <a:extLst>
            <a:ext uri="{FF2B5EF4-FFF2-40B4-BE49-F238E27FC236}">
              <a16:creationId xmlns:a16="http://schemas.microsoft.com/office/drawing/2014/main" id="{CAF98726-35A7-4447-BF58-7EDE2D59D034}"/>
            </a:ext>
          </a:extLst>
        </xdr:cNvPr>
        <xdr:cNvSpPr/>
      </xdr:nvSpPr>
      <xdr:spPr>
        <a:xfrm>
          <a:off x="5904178" y="134936"/>
          <a:ext cx="5306220" cy="5580063"/>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accent1">
                  <a:lumMod val="50000"/>
                </a:schemeClr>
              </a:solidFill>
            </a:rPr>
            <a:t>GENERAL RECOMMENDATIONS</a:t>
          </a:r>
        </a:p>
        <a:p>
          <a:pPr algn="l"/>
          <a:r>
            <a:rPr lang="en-US" sz="1100" baseline="0">
              <a:solidFill>
                <a:schemeClr val="accent1">
                  <a:lumMod val="50000"/>
                </a:schemeClr>
              </a:solidFill>
            </a:rPr>
            <a:t>1. Coaches and Trainning staffs should enforce 100% warm-up adherence (currently 60%) through monitoring or penalty systems to reduce injury risk.</a:t>
          </a:r>
        </a:p>
        <a:p>
          <a:pPr algn="l"/>
          <a:endParaRPr lang="en-US" sz="1100" baseline="0">
            <a:solidFill>
              <a:schemeClr val="accent1">
                <a:lumMod val="50000"/>
              </a:schemeClr>
            </a:solidFill>
          </a:endParaRPr>
        </a:p>
        <a:p>
          <a:pPr algn="l"/>
          <a:r>
            <a:rPr lang="en-US" sz="1100" baseline="0">
              <a:solidFill>
                <a:schemeClr val="accent1">
                  <a:lumMod val="50000"/>
                </a:schemeClr>
              </a:solidFill>
            </a:rPr>
            <a:t>2. Regulate training hours (optimal range likely 9–10 hours/week) to balance match readiness and prevent overtraining fatigue.</a:t>
          </a:r>
        </a:p>
        <a:p>
          <a:pPr algn="l"/>
          <a:endParaRPr lang="en-US" sz="1100" baseline="0">
            <a:solidFill>
              <a:schemeClr val="accent1">
                <a:lumMod val="50000"/>
              </a:schemeClr>
            </a:solidFill>
          </a:endParaRPr>
        </a:p>
        <a:p>
          <a:pPr algn="l"/>
          <a:r>
            <a:rPr lang="en-US" sz="1100" baseline="0">
              <a:solidFill>
                <a:schemeClr val="accent1">
                  <a:lumMod val="50000"/>
                </a:schemeClr>
              </a:solidFill>
            </a:rPr>
            <a:t>3. Focus on improving players’ reaction performance at ages 20–22 where it slows (up to 254ms) via agility and reflex-based exercises.</a:t>
          </a:r>
        </a:p>
        <a:p>
          <a:pPr algn="l"/>
          <a:endParaRPr lang="en-US" sz="1100" baseline="0">
            <a:solidFill>
              <a:schemeClr val="accent1">
                <a:lumMod val="50000"/>
              </a:schemeClr>
            </a:solidFill>
          </a:endParaRPr>
        </a:p>
        <a:p>
          <a:pPr algn="l"/>
          <a:r>
            <a:rPr lang="en-US" sz="1100" baseline="0">
              <a:solidFill>
                <a:schemeClr val="accent1">
                  <a:lumMod val="50000"/>
                </a:schemeClr>
              </a:solidFill>
            </a:rPr>
            <a:t>4. The Athletic department should develop structured meal plans — since poor nutrition leads to 0.74 injury score vs. 0.21 for good nutrition, this is a high-impact intervention.</a:t>
          </a:r>
        </a:p>
        <a:p>
          <a:pPr algn="l"/>
          <a:endParaRPr lang="en-US" sz="1100" baseline="0">
            <a:solidFill>
              <a:schemeClr val="accent1">
                <a:lumMod val="50000"/>
              </a:schemeClr>
            </a:solidFill>
          </a:endParaRPr>
        </a:p>
        <a:p>
          <a:pPr algn="l"/>
          <a:r>
            <a:rPr lang="en-US" sz="1100" baseline="0">
              <a:solidFill>
                <a:schemeClr val="accent1">
                  <a:lumMod val="50000"/>
                </a:schemeClr>
              </a:solidFill>
            </a:rPr>
            <a:t>5. The athletic department should introduce wellness programs promoting adequate rest and mental balance — optimize 52–60 hours/week sleep window.</a:t>
          </a:r>
        </a:p>
        <a:p>
          <a:pPr algn="l"/>
          <a:endParaRPr lang="en-US" sz="1100" baseline="0">
            <a:solidFill>
              <a:schemeClr val="accent1">
                <a:lumMod val="50000"/>
              </a:schemeClr>
            </a:solidFill>
          </a:endParaRPr>
        </a:p>
        <a:p>
          <a:pPr algn="l"/>
          <a:r>
            <a:rPr lang="en-US" sz="1100" baseline="0">
              <a:solidFill>
                <a:schemeClr val="accent1">
                  <a:lumMod val="50000"/>
                </a:schemeClr>
              </a:solidFill>
            </a:rPr>
            <a:t>6. Players should encourage athletes to track reaction time, sleep, and stress weekly for proactive management and early fatigue detection.</a:t>
          </a:r>
        </a:p>
        <a:p>
          <a:pPr algn="l"/>
          <a:endParaRPr lang="en-US" sz="1100" baseline="0">
            <a:solidFill>
              <a:schemeClr val="accent1">
                <a:lumMod val="50000"/>
              </a:schemeClr>
            </a:solidFill>
          </a:endParaRPr>
        </a:p>
        <a:p>
          <a:pPr algn="l"/>
          <a:r>
            <a:rPr lang="en-US" sz="1100" baseline="0">
              <a:solidFill>
                <a:schemeClr val="accent1">
                  <a:lumMod val="50000"/>
                </a:schemeClr>
              </a:solidFill>
            </a:rPr>
            <a:t>7. Since midfielders &amp; defenders form the largest groups, develop position-specific conditioning to minimize repetitive strain injuries.</a:t>
          </a:r>
        </a:p>
        <a:p>
          <a:pPr algn="l"/>
          <a:endParaRPr lang="en-US" sz="1100" baseline="0">
            <a:solidFill>
              <a:schemeClr val="accent1">
                <a:lumMod val="50000"/>
              </a:schemeClr>
            </a:solidFill>
          </a:endParaRPr>
        </a:p>
        <a:p>
          <a:pPr algn="l"/>
          <a:r>
            <a:rPr lang="en-US" sz="1100" baseline="0">
              <a:solidFill>
                <a:schemeClr val="accent1">
                  <a:lumMod val="50000"/>
                </a:schemeClr>
              </a:solidFill>
            </a:rPr>
            <a:t>8. The IT and data management team should use machine learning models combining warm-up adherence, nutrition score, sleep hours, and stress to predict next-season injury risk — supporting proactive intervention planning.</a:t>
          </a:r>
        </a:p>
        <a:p>
          <a:pPr algn="l"/>
          <a:endParaRPr lang="en-US" sz="1100" baseline="0">
            <a:solidFill>
              <a:schemeClr val="accent1">
                <a:lumMod val="50000"/>
              </a:schemeClr>
            </a:solidFill>
          </a:endParaRPr>
        </a:p>
        <a:p>
          <a:pPr algn="l"/>
          <a:endParaRPr lang="en-US" sz="1100" baseline="0">
            <a:solidFill>
              <a:schemeClr val="accent1">
                <a:lumMod val="50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162984</xdr:colOff>
      <xdr:row>2</xdr:row>
      <xdr:rowOff>21695</xdr:rowOff>
    </xdr:from>
    <xdr:to>
      <xdr:col>11</xdr:col>
      <xdr:colOff>21168</xdr:colOff>
      <xdr:row>16</xdr:row>
      <xdr:rowOff>97895</xdr:rowOff>
    </xdr:to>
    <xdr:graphicFrame macro="">
      <xdr:nvGraphicFramePr>
        <xdr:cNvPr id="2" name="Chart 1">
          <a:extLst>
            <a:ext uri="{FF2B5EF4-FFF2-40B4-BE49-F238E27FC236}">
              <a16:creationId xmlns:a16="http://schemas.microsoft.com/office/drawing/2014/main" id="{C0FB1D0C-6FC5-6EF9-A344-65C8B39648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238125</xdr:colOff>
      <xdr:row>1</xdr:row>
      <xdr:rowOff>185737</xdr:rowOff>
    </xdr:from>
    <xdr:to>
      <xdr:col>9</xdr:col>
      <xdr:colOff>542925</xdr:colOff>
      <xdr:row>16</xdr:row>
      <xdr:rowOff>71437</xdr:rowOff>
    </xdr:to>
    <xdr:graphicFrame macro="">
      <xdr:nvGraphicFramePr>
        <xdr:cNvPr id="2" name="Chart 1">
          <a:extLst>
            <a:ext uri="{FF2B5EF4-FFF2-40B4-BE49-F238E27FC236}">
              <a16:creationId xmlns:a16="http://schemas.microsoft.com/office/drawing/2014/main" id="{A7121D53-D646-8738-B292-85B97DFB6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1152525</xdr:colOff>
      <xdr:row>1</xdr:row>
      <xdr:rowOff>185737</xdr:rowOff>
    </xdr:from>
    <xdr:to>
      <xdr:col>8</xdr:col>
      <xdr:colOff>409575</xdr:colOff>
      <xdr:row>16</xdr:row>
      <xdr:rowOff>71437</xdr:rowOff>
    </xdr:to>
    <xdr:graphicFrame macro="">
      <xdr:nvGraphicFramePr>
        <xdr:cNvPr id="2" name="Chart 1">
          <a:extLst>
            <a:ext uri="{FF2B5EF4-FFF2-40B4-BE49-F238E27FC236}">
              <a16:creationId xmlns:a16="http://schemas.microsoft.com/office/drawing/2014/main" id="{3C00526F-9C36-4B01-8CD9-BEDCDB3D49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962025</xdr:colOff>
      <xdr:row>2</xdr:row>
      <xdr:rowOff>147637</xdr:rowOff>
    </xdr:from>
    <xdr:to>
      <xdr:col>11</xdr:col>
      <xdr:colOff>47625</xdr:colOff>
      <xdr:row>17</xdr:row>
      <xdr:rowOff>33337</xdr:rowOff>
    </xdr:to>
    <xdr:graphicFrame macro="">
      <xdr:nvGraphicFramePr>
        <xdr:cNvPr id="2" name="Chart 1">
          <a:extLst>
            <a:ext uri="{FF2B5EF4-FFF2-40B4-BE49-F238E27FC236}">
              <a16:creationId xmlns:a16="http://schemas.microsoft.com/office/drawing/2014/main" id="{A8E11EB7-F547-4115-8B58-40B75B419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142876</xdr:colOff>
      <xdr:row>1</xdr:row>
      <xdr:rowOff>90486</xdr:rowOff>
    </xdr:from>
    <xdr:to>
      <xdr:col>14</xdr:col>
      <xdr:colOff>161926</xdr:colOff>
      <xdr:row>17</xdr:row>
      <xdr:rowOff>133349</xdr:rowOff>
    </xdr:to>
    <xdr:graphicFrame macro="">
      <xdr:nvGraphicFramePr>
        <xdr:cNvPr id="2" name="Chart 1">
          <a:extLst>
            <a:ext uri="{FF2B5EF4-FFF2-40B4-BE49-F238E27FC236}">
              <a16:creationId xmlns:a16="http://schemas.microsoft.com/office/drawing/2014/main" id="{068E53C9-BE52-4698-97C9-1F3416924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600075</xdr:colOff>
      <xdr:row>7</xdr:row>
      <xdr:rowOff>4762</xdr:rowOff>
    </xdr:from>
    <xdr:to>
      <xdr:col>6</xdr:col>
      <xdr:colOff>19050</xdr:colOff>
      <xdr:row>21</xdr:row>
      <xdr:rowOff>80962</xdr:rowOff>
    </xdr:to>
    <xdr:graphicFrame macro="">
      <xdr:nvGraphicFramePr>
        <xdr:cNvPr id="2" name="Chart 1">
          <a:extLst>
            <a:ext uri="{FF2B5EF4-FFF2-40B4-BE49-F238E27FC236}">
              <a16:creationId xmlns:a16="http://schemas.microsoft.com/office/drawing/2014/main" id="{412AE451-B1C0-482A-A924-2134152FD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209550</xdr:colOff>
      <xdr:row>2</xdr:row>
      <xdr:rowOff>147637</xdr:rowOff>
    </xdr:from>
    <xdr:to>
      <xdr:col>8</xdr:col>
      <xdr:colOff>133350</xdr:colOff>
      <xdr:row>17</xdr:row>
      <xdr:rowOff>33337</xdr:rowOff>
    </xdr:to>
    <xdr:graphicFrame macro="">
      <xdr:nvGraphicFramePr>
        <xdr:cNvPr id="2" name="Chart 1">
          <a:extLst>
            <a:ext uri="{FF2B5EF4-FFF2-40B4-BE49-F238E27FC236}">
              <a16:creationId xmlns:a16="http://schemas.microsoft.com/office/drawing/2014/main" id="{29E2B611-E2CE-4244-8B02-6B1FF87C4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1248833</xdr:colOff>
      <xdr:row>3</xdr:row>
      <xdr:rowOff>134936</xdr:rowOff>
    </xdr:from>
    <xdr:to>
      <xdr:col>7</xdr:col>
      <xdr:colOff>317499</xdr:colOff>
      <xdr:row>18</xdr:row>
      <xdr:rowOff>20636</xdr:rowOff>
    </xdr:to>
    <xdr:graphicFrame macro="">
      <xdr:nvGraphicFramePr>
        <xdr:cNvPr id="2" name="Chart 1">
          <a:extLst>
            <a:ext uri="{FF2B5EF4-FFF2-40B4-BE49-F238E27FC236}">
              <a16:creationId xmlns:a16="http://schemas.microsoft.com/office/drawing/2014/main" id="{85DC3160-E264-4D7F-876B-A515A225A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238125</xdr:colOff>
      <xdr:row>1</xdr:row>
      <xdr:rowOff>185737</xdr:rowOff>
    </xdr:from>
    <xdr:to>
      <xdr:col>9</xdr:col>
      <xdr:colOff>542925</xdr:colOff>
      <xdr:row>16</xdr:row>
      <xdr:rowOff>71437</xdr:rowOff>
    </xdr:to>
    <xdr:graphicFrame macro="">
      <xdr:nvGraphicFramePr>
        <xdr:cNvPr id="2" name="Chart 1">
          <a:extLst>
            <a:ext uri="{FF2B5EF4-FFF2-40B4-BE49-F238E27FC236}">
              <a16:creationId xmlns:a16="http://schemas.microsoft.com/office/drawing/2014/main" id="{767531D0-B46B-4213-8ED2-394928402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YIBO DORCAS" refreshedDate="45960.824861921297" createdVersion="8" refreshedVersion="8" minRefreshableVersion="3" recordCount="800" xr:uid="{FF791489-F67A-4FA8-833D-BD05729082B9}">
  <cacheSource type="worksheet">
    <worksheetSource name="Table1"/>
  </cacheSource>
  <cacheFields count="23">
    <cacheField name="Age" numFmtId="166">
      <sharedItems containsSemiMixedTypes="0" containsString="0" containsNumber="1" containsInteger="1" minValue="18" maxValue="24" count="7">
        <n v="22"/>
        <n v="18"/>
        <n v="20"/>
        <n v="23"/>
        <n v="19"/>
        <n v="21"/>
        <n v="24"/>
      </sharedItems>
    </cacheField>
    <cacheField name="Age (years)" numFmtId="166">
      <sharedItems count="7">
        <s v="22 years"/>
        <s v="18 years"/>
        <s v="20 years"/>
        <s v="23 years"/>
        <s v="19 years"/>
        <s v="21 years"/>
        <s v="24 years"/>
      </sharedItems>
    </cacheField>
    <cacheField name="Height_cm" numFmtId="0">
      <sharedItems containsSemiMixedTypes="0" containsString="0" containsNumber="1" containsInteger="1" minValue="154" maxValue="200"/>
    </cacheField>
    <cacheField name="Weight_kg" numFmtId="0">
      <sharedItems containsSemiMixedTypes="0" containsString="0" containsNumber="1" containsInteger="1" minValue="45" maxValue="105"/>
    </cacheField>
    <cacheField name="Position" numFmtId="0">
      <sharedItems count="4">
        <s v="Midfielder"/>
        <s v="Forward"/>
        <s v="Defender"/>
        <s v="Goalkeeper"/>
      </sharedItems>
    </cacheField>
    <cacheField name="Training_Hours_Per_Week" numFmtId="2">
      <sharedItems containsSemiMixedTypes="0" containsString="0" containsNumber="1" minValue="5" maxValue="18.866608420604098" count="781">
        <n v="11.575308026077099"/>
        <n v="12.2758694501901"/>
        <n v="12.2548956592083"/>
        <n v="9.0066775661474097"/>
        <n v="12.6836675788936"/>
        <n v="10.2629866401473"/>
        <n v="8.0692875952232406"/>
        <n v="6.4079385284955199"/>
        <n v="10.5549305034439"/>
        <n v="11.899731741816399"/>
        <n v="7.8848486177619801"/>
        <n v="11.1325682105404"/>
        <n v="13.3440935915292"/>
        <n v="10.026712326869299"/>
        <n v="10.697365347398399"/>
        <n v="13.422844454599201"/>
        <n v="12.1563896075817"/>
        <n v="12.7891978375457"/>
        <n v="9.8975746974266201"/>
        <n v="9.6687805322973297"/>
        <n v="7.8136374564983004"/>
        <n v="13.555198159011701"/>
        <n v="9.3233103000624507"/>
        <n v="11.059557862742601"/>
        <n v="8.8826381829314798"/>
        <n v="8.55519590846467"/>
        <n v="11.1876498993081"/>
        <n v="9.4622885122407308"/>
        <n v="11.372849480395301"/>
        <n v="12.5139424446868"/>
        <n v="5.3589661143582097"/>
        <n v="11.227361161501999"/>
        <n v="9.7492250424050493"/>
        <n v="9.1058532623215598"/>
        <n v="10.4817375970486"/>
        <n v="8.2691357926919107"/>
        <n v="7.0956657604942901"/>
        <n v="14.3526902864012"/>
        <n v="7.9477376901776404"/>
        <n v="10.2505636979002"/>
        <n v="13.719237427544201"/>
        <n v="8.4425851040597202"/>
        <n v="12.8649723647237"/>
        <n v="6.1412846180964804"/>
        <n v="8.4223677686982601"/>
        <n v="11.8120264957068"/>
        <n v="8.0379070617670507"/>
        <n v="14.6168125337558"/>
        <n v="11.6687106329023"/>
        <n v="6.4052625913821402"/>
        <n v="14.2708263205779"/>
        <n v="6.4723865093515904"/>
        <n v="6.7964807958272502"/>
        <n v="10.7895260563233"/>
        <n v="10.6688993295224"/>
        <n v="9.1808151989618008"/>
        <n v="9.2801626094970597"/>
        <n v="13.5730690931588"/>
        <n v="14.896714293023701"/>
        <n v="7.8698190534240497"/>
        <n v="12.269424997170599"/>
        <n v="7.8285039201331701"/>
        <n v="10.6118511197326"/>
        <n v="9.9996817628223695"/>
        <n v="11.807645384522401"/>
        <n v="9.0862081842028797"/>
        <n v="5.80127064160214"/>
        <n v="12.4059778666058"/>
        <n v="10.3023369806077"/>
        <n v="9.09268729464738"/>
        <n v="7.0272552089549496"/>
        <n v="10.7645404391728"/>
        <n v="11.244043761654"/>
        <n v="15.193020809625001"/>
        <n v="10.802992279949899"/>
        <n v="11.5031675647133"/>
        <n v="10.304786711921899"/>
        <n v="10.792458950919301"/>
        <n v="11.6006823130318"/>
        <n v="9.4790874866298598"/>
        <n v="9.5989565738951992"/>
        <n v="7.6536747621666503"/>
        <n v="14.8120802593655"/>
        <n v="8.90251715665452"/>
        <n v="14.0586910121411"/>
        <n v="11.2576953764323"/>
        <n v="12.2128831128013"/>
        <n v="6.5439419322394299"/>
        <n v="12.9237766124606"/>
        <n v="11.5954768331836"/>
        <n v="16.666169276325299"/>
        <n v="11.648625670942501"/>
        <n v="6.1344400524125504"/>
        <n v="8.2925745199682197"/>
        <n v="12.5233473198114"/>
        <n v="8.50349546518677"/>
        <n v="5.4845894790525502"/>
        <n v="8.3960453198351903"/>
        <n v="10.780298930078899"/>
        <n v="9.0310190541849398"/>
        <n v="7.2069866905884297"/>
        <n v="5.3800438214953301"/>
        <n v="8.3235232874814304"/>
        <n v="11.456730830187601"/>
        <n v="13.8603755419698"/>
        <n v="13.507599230821899"/>
        <n v="8.9415744952803102"/>
        <n v="8.1309339255779403"/>
        <n v="12.031849447671901"/>
        <n v="11.217161050377801"/>
        <n v="9.5558091462440693"/>
        <n v="9.3365849467929305"/>
        <n v="9.2178952847031699"/>
        <n v="9.5110455518208994"/>
        <n v="11.6017051689736"/>
        <n v="13.936965737698801"/>
        <n v="9.9575660150910004"/>
        <n v="13.264920379065799"/>
        <n v="10.8568684501763"/>
        <n v="10.116363489388"/>
        <n v="10.026092724572001"/>
        <n v="11.1095492591901"/>
        <n v="8.9390961718858009"/>
        <n v="10.044478309817199"/>
        <n v="9.7428971893507494"/>
        <n v="7.5302831480935097"/>
        <n v="13.444504611754301"/>
        <n v="12.392222735887"/>
        <n v="10.544612402848699"/>
        <n v="10.5081649973369"/>
        <n v="7.4556639288910702"/>
        <n v="12.8862846309984"/>
        <n v="7.7178702447722598"/>
        <n v="14.5694225034092"/>
        <n v="11.140756812471899"/>
        <n v="9.3688427376175891"/>
        <n v="11.361864424044301"/>
        <n v="13.0762389251621"/>
        <n v="10.990545359737"/>
        <n v="15.476702510528099"/>
        <n v="5"/>
        <n v="8.7352995130582602"/>
        <n v="7.2157135266730803"/>
        <n v="11.7727146470279"/>
        <n v="10.846415005173499"/>
        <n v="14.035236304518801"/>
        <n v="11.6057363412976"/>
        <n v="11.054556772527199"/>
        <n v="17.6638147459397"/>
        <n v="8.8264278476838101"/>
        <n v="11.9422724328453"/>
        <n v="10.2801826250068"/>
        <n v="7.98501970303791"/>
        <n v="13.2945934811759"/>
        <n v="10.464256437347499"/>
        <n v="14.667095282242901"/>
        <n v="11.2739971457903"/>
        <n v="11.0767156318056"/>
        <n v="13.013913810910999"/>
        <n v="9.9068809502774808"/>
        <n v="8.4093865704443207"/>
        <n v="10.7374382317063"/>
        <n v="6.8956010581045"/>
        <n v="10.9812308604474"/>
        <n v="9.3694822318671793"/>
        <n v="11.884364845655099"/>
        <n v="14.174752685509899"/>
        <n v="8.619287993475"/>
        <n v="11.5410870696756"/>
        <n v="11.318649120923901"/>
        <n v="10.853029291355799"/>
        <n v="13.0323300372246"/>
        <n v="7.7692799865842801"/>
        <n v="7.6519104274256904"/>
        <n v="7.4338187624040097"/>
        <n v="9.9849996891628106"/>
        <n v="11.2193231329938"/>
        <n v="6.7651157022477504"/>
        <n v="12.5327466886105"/>
        <n v="7.9966471413571396"/>
        <n v="11.9387119162968"/>
        <n v="9.7248764478894305"/>
        <n v="9.9226761395508998"/>
        <n v="8.9775096531966803"/>
        <n v="10.4821394258379"/>
        <n v="10.285366673449699"/>
        <n v="7.5340894949682502"/>
        <n v="5.8670554005744702"/>
        <n v="7.0323317311376297"/>
        <n v="7.7160098737526299"/>
        <n v="12.058878696027501"/>
        <n v="8.2298176505623299"/>
        <n v="9.3860652421907407"/>
        <n v="5.78194115653013"/>
        <n v="8.9489460152776203"/>
        <n v="11.8758857781018"/>
        <n v="10.0618965003429"/>
        <n v="9.4887499878057806"/>
        <n v="8.0715237000167406"/>
        <n v="11.321311067396801"/>
        <n v="12.1179872903255"/>
        <n v="10.1527218374468"/>
        <n v="8.2600054045914995"/>
        <n v="6.1068112857879404"/>
        <n v="9.7570230581506507"/>
        <n v="9.0679637696170001"/>
        <n v="6.7160699210497201"/>
        <n v="8.5650081830535694"/>
        <n v="17.670755452303201"/>
        <n v="10.183081781702599"/>
        <n v="13.8642791742844"/>
        <n v="8.4591294444635601"/>
        <n v="7.7073377601788602"/>
        <n v="10.184767180394401"/>
        <n v="10.0656054986674"/>
        <n v="10.4056396864293"/>
        <n v="11.636256376359301"/>
        <n v="9.2975066681173804"/>
        <n v="8.7193511521691995"/>
        <n v="10.641768089485501"/>
        <n v="10.522221574481099"/>
        <n v="6.3416090311081001"/>
        <n v="9.7814408933950592"/>
        <n v="9.6020374161081605"/>
        <n v="5.9016839523588898"/>
        <n v="9.4773903402922492"/>
        <n v="12.8636598555911"/>
        <n v="10.8540083154128"/>
        <n v="9.5858429816981996"/>
        <n v="9.3128287793623699"/>
        <n v="7.52573096736488"/>
        <n v="11.375041655706299"/>
        <n v="7.4490438769089602"/>
        <n v="17.978884552665502"/>
        <n v="9.80705825547955"/>
        <n v="9.27082378240884"/>
        <n v="11.367291621675299"/>
        <n v="7.32255613146563"/>
        <n v="8.2613319148331001"/>
        <n v="6.7296267468241897"/>
        <n v="10.699012877611301"/>
        <n v="5.4415056836854703"/>
        <n v="10.873452071449501"/>
        <n v="8.0787191164780694"/>
        <n v="14.266649748421401"/>
        <n v="6.44724961805671"/>
        <n v="9.1480073614055701"/>
        <n v="7.5138341224802101"/>
        <n v="9.2325257293342293"/>
        <n v="8.5677013898302103"/>
        <n v="11.461882538767"/>
        <n v="6.9477236213423401"/>
        <n v="10.0142430281154"/>
        <n v="6.1257642246130004"/>
        <n v="9.8868387327815803"/>
        <n v="13.1310815459449"/>
        <n v="10.700781813413199"/>
        <n v="14.7556196392984"/>
        <n v="8.0355278174574991"/>
        <n v="7.6182401491042802"/>
        <n v="7.0954264218935297"/>
        <n v="10.6422204244141"/>
        <n v="7.3663406711247204"/>
        <n v="10.821386818376499"/>
        <n v="15.277757286016101"/>
        <n v="10.723172227418701"/>
        <n v="10.8287176895962"/>
        <n v="13.3665402215941"/>
        <n v="11.871356568126499"/>
        <n v="9.3681410237640801"/>
        <n v="8.4348943955324902"/>
        <n v="6.8524750364985998"/>
        <n v="9.3238669923100499"/>
        <n v="8.0483261888716893"/>
        <n v="5.71181933746821"/>
        <n v="6.41618766230446"/>
        <n v="8.4679480305272694"/>
        <n v="7.1722429593876198"/>
        <n v="7.6204608339989699"/>
        <n v="9.6510454409243494"/>
        <n v="10.5895386991454"/>
        <n v="6.7758036141894102"/>
        <n v="8.8380656546268792"/>
        <n v="5.3966067038232204"/>
        <n v="13.307166901219301"/>
        <n v="10.175688015930101"/>
        <n v="9.1078974250244897"/>
        <n v="10.938383623524199"/>
        <n v="9.5573631972652002"/>
        <n v="11.6805838492097"/>
        <n v="7.5852641569053096"/>
        <n v="7.9568500722248698"/>
        <n v="7.9919519078673096"/>
        <n v="10.736387447770401"/>
        <n v="8.6363642423974607"/>
        <n v="6.8139298564111597"/>
        <n v="11.960885538849899"/>
        <n v="10.6716671140488"/>
        <n v="7.9617595346401204"/>
        <n v="9.4632300417536008"/>
        <n v="6.8810168482771301"/>
        <n v="9.4365173823570494"/>
        <n v="10.513509852604001"/>
        <n v="6.8102112111256297"/>
        <n v="10.588042872779001"/>
        <n v="7.6549688832168901"/>
        <n v="12.713236805739299"/>
        <n v="7.5230754401147202"/>
        <n v="7.2974927310739597"/>
        <n v="13.244275138805"/>
        <n v="11.931220260141901"/>
        <n v="7.5520366776984504"/>
        <n v="6.1887977301119399"/>
        <n v="8.5390548434647293"/>
        <n v="6.3540371332575498"/>
        <n v="13.2752043335173"/>
        <n v="10.9916356357285"/>
        <n v="11.4573509271557"/>
        <n v="12.2921823538507"/>
        <n v="12.018801152745899"/>
        <n v="12.041351885214"/>
        <n v="9.6850594099202105"/>
        <n v="7.1425955175804896"/>
        <n v="7.2640943942151699"/>
        <n v="9.1201940668961505"/>
        <n v="12.240384612798101"/>
        <n v="12.876764316165"/>
        <n v="10.4709815803374"/>
        <n v="9.4899395767139296"/>
        <n v="11.315650068876399"/>
        <n v="12.909412762053"/>
        <n v="11.863260642842601"/>
        <n v="15.4804254495302"/>
        <n v="12.2426124020205"/>
        <n v="9.6600620373882204"/>
        <n v="8.7453537335330491"/>
        <n v="11.2375830285481"/>
        <n v="10.474907863785299"/>
        <n v="6.5804344319637504"/>
        <n v="10.7283152903724"/>
        <n v="6.2735689418194998"/>
        <n v="10.671269784167899"/>
        <n v="6.0639289908503997"/>
        <n v="11.1064258721849"/>
        <n v="7.9773512450872204"/>
        <n v="5.4210848539719096"/>
        <n v="8.94615756293061"/>
        <n v="9.8194000856810497"/>
        <n v="8.5422069179545108"/>
        <n v="9.79294051745803"/>
        <n v="16.353233014293998"/>
        <n v="8.3508538568754993"/>
        <n v="9.7955081210346897"/>
        <n v="7.0801747582061703"/>
        <n v="10.8495042435278"/>
        <n v="8.8655639488344793"/>
        <n v="9.0630771042415699"/>
        <n v="9.7027913626616602"/>
        <n v="10.895289473760901"/>
        <n v="8.5775138689909802"/>
        <n v="7.6889879094462197"/>
        <n v="9.1750529769292299"/>
        <n v="9.2429921911659498"/>
        <n v="9.2862579271621897"/>
        <n v="9.55423246078281"/>
        <n v="12.8930475355184"/>
        <n v="7.0170027125499104"/>
        <n v="8.1560297318176698"/>
        <n v="10.065576532871299"/>
        <n v="9.0300970875593194"/>
        <n v="11.766110244859"/>
        <n v="17.016367225335699"/>
        <n v="15.764136268488301"/>
        <n v="12.7734725500273"/>
        <n v="11.560313722130999"/>
        <n v="5.7354392915272996"/>
        <n v="11.850612316342801"/>
        <n v="8.1501419162745599"/>
        <n v="5.2800313257935798"/>
        <n v="10.223171336649299"/>
        <n v="11.4848047171315"/>
        <n v="9.6472460572641694"/>
        <n v="10.8697127887859"/>
        <n v="7.9864937608967503"/>
        <n v="12.680812960816001"/>
        <n v="15.7680968347399"/>
        <n v="9.4434361533965792"/>
        <n v="13.4812499976399"/>
        <n v="9.0518117416475299"/>
        <n v="10.258495669376201"/>
        <n v="11.048849128799"/>
        <n v="13.114170658653901"/>
        <n v="9.2912212315046592"/>
        <n v="13.204142452032899"/>
        <n v="5.9529292412335701"/>
        <n v="8.9942092737274404"/>
        <n v="13.8985030946849"/>
        <n v="10.0043596595346"/>
        <n v="15.4161228207909"/>
        <n v="11.192997257411101"/>
        <n v="7.6523626881588198"/>
        <n v="7.8961089544397201"/>
        <n v="10.5026356159537"/>
        <n v="7.5407441906009396"/>
        <n v="9.4402988680587701"/>
        <n v="6.8650819281311204"/>
        <n v="12.6078393396055"/>
        <n v="11.6063243799634"/>
        <n v="10.9751702237541"/>
        <n v="7.9844434004718101"/>
        <n v="12.3860877491307"/>
        <n v="8.9949230174960508"/>
        <n v="9.3324032357393794"/>
        <n v="16.165071683951801"/>
        <n v="7.1659448056620203"/>
        <n v="14.434976467608699"/>
        <n v="9.9480034016241401"/>
        <n v="12.018524939878001"/>
        <n v="6.8467621812738404"/>
        <n v="8.2843231514034894"/>
        <n v="12.0929399656212"/>
        <n v="13.3324930904065"/>
        <n v="10.738831187915901"/>
        <n v="10.5367935308543"/>
        <n v="5.6682661356443296"/>
        <n v="8.9806841102299408"/>
        <n v="11.1645052795973"/>
        <n v="6.5714437733616498"/>
        <n v="9.9554446590935992"/>
        <n v="5.4892280222690202"/>
        <n v="10.5205375194229"/>
        <n v="8.2327914529521298"/>
        <n v="9.6796697152324604"/>
        <n v="10.2065950623302"/>
        <n v="6.14737943758269"/>
        <n v="15.7556053815929"/>
        <n v="13.145674113052699"/>
        <n v="13.169171084283301"/>
        <n v="6.3520149706058504"/>
        <n v="13.955668872476901"/>
        <n v="8.9325990237087094"/>
        <n v="11.081907548541"/>
        <n v="7.3247416985214002"/>
        <n v="14.903956559421999"/>
        <n v="10.9747182251919"/>
        <n v="12.3751877015688"/>
        <n v="9.84146673333405"/>
        <n v="9.7289636661102303"/>
        <n v="12.853857415920301"/>
        <n v="8.4904176080253198"/>
        <n v="5.2973074880397997"/>
        <n v="8.7331724081511108"/>
        <n v="10.525976483002699"/>
        <n v="12.981327070847"/>
        <n v="9.8136217518399107"/>
        <n v="7.1434683303023796"/>
        <n v="11.625095837123499"/>
        <n v="9.8938456161235795"/>
        <n v="12.993409704359999"/>
        <n v="12.6162903983712"/>
        <n v="8.0045105265991392"/>
        <n v="9.7129551385570192"/>
        <n v="12.4779106346476"/>
        <n v="8.8013242540818393"/>
        <n v="7.44656627706929"/>
        <n v="17.178688443399999"/>
        <n v="11.080302997724999"/>
        <n v="9.0681497716454604"/>
        <n v="7.4979787894172798"/>
        <n v="12.289637602386099"/>
        <n v="11.737235788764499"/>
        <n v="13.4777823299068"/>
        <n v="8.9933015379069694"/>
        <n v="10.2223118613024"/>
        <n v="5.7177952297280896"/>
        <n v="11.5877575602712"/>
        <n v="7.4469837284603404"/>
        <n v="5.8198304830253296"/>
        <n v="15.663037959443599"/>
        <n v="10.0179814164718"/>
        <n v="10.580933934406801"/>
        <n v="15.5576881077632"/>
        <n v="8.33039235384771"/>
        <n v="9.3503298921506008"/>
        <n v="8.1889989622094195"/>
        <n v="7.2886339060630201"/>
        <n v="8.9554381642573997"/>
        <n v="7.5869143996671298"/>
        <n v="10.2584764579814"/>
        <n v="8.4120196833566396"/>
        <n v="14.5937852005053"/>
        <n v="10.9024342392647"/>
        <n v="7.1916985635719"/>
        <n v="14.2032310126095"/>
        <n v="9.4984101245071706"/>
        <n v="5.6103676298059302"/>
        <n v="8.6357630646827293"/>
        <n v="8.13089631527364"/>
        <n v="10.214932984646"/>
        <n v="11.2485404319031"/>
        <n v="16.349169948268901"/>
        <n v="8.3129633012949"/>
        <n v="9.5808427419610993"/>
        <n v="8.9913865869181109"/>
        <n v="10.0273954690627"/>
        <n v="8.4340881098447493"/>
        <n v="8.7412223700652891"/>
        <n v="11.3952296583038"/>
        <n v="6.4606710156845599"/>
        <n v="8.9122343038731699"/>
        <n v="9.4388379099752306"/>
        <n v="11.051320054676401"/>
        <n v="11.673336912137801"/>
        <n v="12.080876528287799"/>
        <n v="14.9003809581783"/>
        <n v="10.473256727014901"/>
        <n v="11.0695243934784"/>
        <n v="8.5976332375414799"/>
        <n v="10.0337152763198"/>
        <n v="9.3152324422708492"/>
        <n v="10.7352183026067"/>
        <n v="9.6443755264597701"/>
        <n v="8.1228487460541192"/>
        <n v="7.46793990819722"/>
        <n v="9.2598972304350493"/>
        <n v="13.1095217005441"/>
        <n v="8.4185817468687496"/>
        <n v="5.3172995475298803"/>
        <n v="11.4937395508581"/>
        <n v="11.251820542457001"/>
        <n v="10.654733024315201"/>
        <n v="12.0489735010716"/>
        <n v="12.831810332110299"/>
        <n v="8.52043344470869"/>
        <n v="10.8038624232298"/>
        <n v="11.2914407840808"/>
        <n v="10.2451655948688"/>
        <n v="11.614975104332499"/>
        <n v="10.025505318883599"/>
        <n v="11.6094855745107"/>
        <n v="5.2959102452379803"/>
        <n v="9.5913364877592606"/>
        <n v="12.9917091858491"/>
        <n v="11.003963628729201"/>
        <n v="5.9547411643457799"/>
        <n v="8.8759619156366298"/>
        <n v="12.9546334949809"/>
        <n v="10.581420795428601"/>
        <n v="8.4769618023770406"/>
        <n v="9.9616406043928496"/>
        <n v="9.45378957997303"/>
        <n v="11.2222308000618"/>
        <n v="10.678872083515399"/>
        <n v="9.0655772674837198"/>
        <n v="8.83238097766165"/>
        <n v="6.6002466046764798"/>
        <n v="7.8976715023722504"/>
        <n v="7.9234341284953498"/>
        <n v="15.7683240800687"/>
        <n v="9.1194906722538498"/>
        <n v="10.8791781730501"/>
        <n v="10.9639981995153"/>
        <n v="10.933232435531901"/>
        <n v="9.0344145206365507"/>
        <n v="11.7611621085248"/>
        <n v="12.935380244177299"/>
        <n v="9.2999030621241907"/>
        <n v="5.2935416555663597"/>
        <n v="12.2058244825686"/>
        <n v="5.3487590830781402"/>
        <n v="18.866608420604098"/>
        <n v="11.773858127753799"/>
        <n v="11.032923337401501"/>
        <n v="11.5971001525795"/>
        <n v="8.8628200354323194"/>
        <n v="11.579370801539699"/>
        <n v="6.3116742868867597"/>
        <n v="13.5792369151839"/>
        <n v="14.1135670678081"/>
        <n v="11.087301213197"/>
        <n v="13.042976658856"/>
        <n v="13.808557549238101"/>
        <n v="9.5766116076070205"/>
        <n v="7.5677983589683198"/>
        <n v="14.041789030238199"/>
        <n v="8.5890658928551993"/>
        <n v="10.5416807144094"/>
        <n v="7.8889663328692397"/>
        <n v="16.294754484639501"/>
        <n v="6.41544703442369"/>
        <n v="9.5394542844155801"/>
        <n v="10.8758692917585"/>
        <n v="10.1323129294515"/>
        <n v="8.9482043075631097"/>
        <n v="11.2979924513377"/>
        <n v="10.937699741581"/>
        <n v="6.8501639646217001"/>
        <n v="10.2268522907512"/>
        <n v="13.504475749713301"/>
        <n v="8.0598592394315496"/>
        <n v="12.137811757421099"/>
        <n v="12.5277463329257"/>
        <n v="9.8838700003967297"/>
        <n v="5.9782443425045999"/>
        <n v="9.1660569829529699"/>
        <n v="9.0583563286465392"/>
        <n v="12.4036798387109"/>
        <n v="6.0827464789770804"/>
        <n v="13.3834276127071"/>
        <n v="8.7254750724404797"/>
        <n v="5.4861241766492599"/>
        <n v="11.359660989585301"/>
        <n v="13.8357660162039"/>
        <n v="11.0436623215249"/>
        <n v="7.5771086753306598"/>
        <n v="10.216731394906599"/>
        <n v="13.5157703013292"/>
        <n v="11.650911751759701"/>
        <n v="7.5033189219679501"/>
        <n v="8.7823555306833594"/>
        <n v="6.4504666582486099"/>
        <n v="11.0658820746486"/>
        <n v="11.445600334051401"/>
        <n v="10.372178683044"/>
        <n v="11.189160047225"/>
        <n v="9.6279601999318896"/>
        <n v="10.348422805939601"/>
        <n v="8.9311242691130506"/>
        <n v="10.411016450889599"/>
        <n v="7.0336899439373397"/>
        <n v="6.3295431708439196"/>
        <n v="13.729059390636699"/>
        <n v="7.2911699933880998"/>
        <n v="8.7822529099545807"/>
        <n v="10.258491451314899"/>
        <n v="11.554064596187899"/>
        <n v="13.513198110427799"/>
        <n v="10.956531017477101"/>
        <n v="6.4099012028133"/>
        <n v="7.4337546447770704"/>
        <n v="8.0207603434841808"/>
        <n v="10.6698819492489"/>
        <n v="6.38427579869761"/>
        <n v="8.1060532428551593"/>
        <n v="7.0241676872391201"/>
        <n v="17.238249219719901"/>
        <n v="15.290192202012999"/>
        <n v="14.2187551666287"/>
        <n v="9.0548808530091396"/>
        <n v="8.6774044453534405"/>
        <n v="10.093960702894799"/>
        <n v="7.24209150642137"/>
        <n v="13.850168099357001"/>
        <n v="10.6793236030064"/>
        <n v="7.8984910468477496"/>
        <n v="5.9735233485948598"/>
        <n v="8.81702202928963"/>
        <n v="14.553172037104799"/>
        <n v="8.5573392497129692"/>
        <n v="11.5331580746141"/>
        <n v="12.819396330760799"/>
        <n v="12.414726402230301"/>
        <n v="14.5157865597373"/>
        <n v="10.980773542218699"/>
        <n v="5.2060606043231701"/>
        <n v="12.469718889973599"/>
        <n v="10.3609191124565"/>
        <n v="10.166338426528901"/>
        <n v="10.397677302461"/>
        <n v="11.2500102133071"/>
        <n v="13.2988486436307"/>
        <n v="8.4761843894156392"/>
        <n v="8.4973655772162093"/>
        <n v="11.469162897120199"/>
        <n v="9.0578869426585396"/>
        <n v="9.8679309303765201"/>
        <n v="8.6663604565273804"/>
        <n v="6.1149662079866802"/>
        <n v="11.6514166363824"/>
        <n v="5.5255196644489999"/>
        <n v="9.9849934603378596"/>
        <n v="11.8231731243563"/>
        <n v="5.59082220930443"/>
        <n v="6.7514677295716297"/>
        <n v="10.372230772376099"/>
        <n v="7.8342837927130198"/>
        <n v="17.4959114531006"/>
        <n v="14.2592177880341"/>
        <n v="11.4353222593799"/>
        <n v="8.1285848256492592"/>
        <n v="8.4880606103776"/>
        <n v="9.7054454326444599"/>
        <n v="9.0855013144546692"/>
        <n v="5.6630337947219598"/>
        <n v="13.7604917073657"/>
        <n v="5.8503418417966602"/>
        <n v="11.447355053447"/>
        <n v="10.5154278025429"/>
        <n v="9.7795749611110008"/>
        <n v="10.0861156453427"/>
        <n v="9.5832896852647593"/>
        <n v="10.439988664926499"/>
        <n v="9.4222747984229205"/>
        <n v="9.3154275329127607"/>
        <n v="11.1543733017119"/>
        <n v="11.1470268004483"/>
        <n v="8.0131799502320504"/>
        <n v="13.629716925788999"/>
        <n v="7.1472811851370297"/>
        <n v="7.9114576303028699"/>
        <n v="11.1944569959667"/>
        <n v="12.773604637539499"/>
        <n v="7.1518598974428498"/>
        <n v="15.394185774519"/>
        <n v="8.2800819282035292"/>
        <n v="10.914652512730401"/>
        <n v="5.5718698904136197"/>
        <n v="10.406670248236701"/>
        <n v="11.348413608318101"/>
        <n v="12.712484284046999"/>
        <n v="5.9186459081885703"/>
        <n v="17.669604178522299"/>
        <n v="5.5921898038917899"/>
        <n v="10.062784616031999"/>
        <n v="7.4619135149399902"/>
        <n v="9.8454295472628193"/>
        <n v="8.3728080716053093"/>
        <n v="12.2862556884524"/>
        <n v="8.4296538776792307"/>
        <n v="7.0654259659769796"/>
        <n v="13.3218504555021"/>
        <n v="8.7734930021146198"/>
        <n v="9.7121830576096002"/>
        <n v="11.0619201846543"/>
        <n v="8.7908667318738196"/>
        <n v="11.517956652272799"/>
        <n v="11.2715430869664"/>
        <n v="9.7299035627516002"/>
        <n v="9.83170082366013"/>
        <n v="11.603689990026799"/>
        <n v="6.9966675803340497"/>
        <n v="9.4373995319884099"/>
        <n v="12.7384534379995"/>
        <n v="7.85607564210998"/>
        <n v="11.388949585753201"/>
        <n v="5.5990966188908802"/>
        <n v="10.1109991827692"/>
        <n v="8.9482918829505191"/>
        <n v="8.2451479535068497"/>
        <n v="13.335409508229001"/>
        <n v="11.937661547715299"/>
        <n v="10.950045984961699"/>
        <n v="8.7018073938193901"/>
        <n v="12.9127427898151"/>
        <n v="13.327367880113"/>
        <n v="10.0862206612791"/>
        <n v="5.1839791316965096"/>
        <n v="13.7592507960882"/>
        <n v="7.3326478731318803"/>
        <n v="7.3450273980171898"/>
        <n v="8.1357965550740694"/>
        <n v="9.5285159886604092"/>
        <n v="12.2690355972448"/>
        <n v="7.5392269318811298"/>
        <n v="10.3778120422431"/>
        <n v="9.4603994416115107"/>
        <n v="8.89223706904518"/>
        <n v="9.1629627744834394"/>
        <n v="11.292128570848501"/>
        <n v="7.6603922281425003"/>
        <n v="7.7146753980863796"/>
        <n v="10.380341143105399"/>
        <n v="10.3109226836646"/>
        <n v="8.6555782934863306"/>
        <n v="16.3361071559689"/>
        <n v="10.2135319514459"/>
        <n v="10.624037013063701"/>
        <n v="9.7328419738916505"/>
        <n v="5.4943181814642204"/>
        <n v="10.303922903050101"/>
        <n v="9.8153678383553"/>
      </sharedItems>
      <fieldGroup base="5">
        <rangePr startNum="5" endNum="18.866608420604098"/>
        <groupItems count="16">
          <s v="&lt;5"/>
          <s v="5-6"/>
          <s v="6-7"/>
          <s v="7-8"/>
          <s v="8-9"/>
          <s v="9-10"/>
          <s v="10-11"/>
          <s v="11-12"/>
          <s v="12-13"/>
          <s v="13-14"/>
          <s v="14-15"/>
          <s v="15-16"/>
          <s v="16-17"/>
          <s v="17-18"/>
          <s v="18-19"/>
          <s v="&gt;19"/>
        </groupItems>
      </fieldGroup>
    </cacheField>
    <cacheField name="Matches_Played_Past_Season" numFmtId="2">
      <sharedItems containsSemiMixedTypes="0" containsString="0" containsNumber="1" containsInteger="1" minValue="5" maxValue="39"/>
    </cacheField>
    <cacheField name="Previous_Injury_Count" numFmtId="0">
      <sharedItems containsSemiMixedTypes="0" containsString="0" containsNumber="1" containsInteger="1" minValue="0" maxValue="8"/>
    </cacheField>
    <cacheField name="Knee_Strength_Score" numFmtId="2">
      <sharedItems containsSemiMixedTypes="0" containsString="0" containsNumber="1" minValue="52.391351328744399" maxValue="93.900051456457206"/>
    </cacheField>
    <cacheField name="Hamstring_Flexibility" numFmtId="2">
      <sharedItems containsSemiMixedTypes="0" containsString="0" containsNumber="1" minValue="58.180380764972597" maxValue="100"/>
    </cacheField>
    <cacheField name="Reaction_Time_ms" numFmtId="2">
      <sharedItems containsSemiMixedTypes="0" containsString="0" containsNumber="1" minValue="180" maxValue="306.73085101216299"/>
    </cacheField>
    <cacheField name="Balance_Test_Score" numFmtId="2">
      <sharedItems containsSemiMixedTypes="0" containsString="0" containsNumber="1" minValue="60.059483731508202" maxValue="100"/>
    </cacheField>
    <cacheField name="Sprint_Speed_10m_s" numFmtId="2">
      <sharedItems containsSemiMixedTypes="0" containsString="0" containsNumber="1" minValue="4.8624353633801203" maxValue="6.89822786528355" count="800">
        <n v="5.8746298990950896"/>
        <n v="5.7962693526143498"/>
        <n v="5.7312087561938201"/>
        <n v="6.2202122399298796"/>
        <n v="5.3859583180046604"/>
        <n v="6.3548695403679698"/>
        <n v="6.4582974581131998"/>
        <n v="6.1614602501356899"/>
        <n v="6.1992810745419398"/>
        <n v="6.2066942932407398"/>
        <n v="6.0746199043811302"/>
        <n v="5.66107810604443"/>
        <n v="6.1330460552522501"/>
        <n v="5.94792261240356"/>
        <n v="6.1891327214525296"/>
        <n v="6.1656192909221303"/>
        <n v="5.9809347443083496"/>
        <n v="6.2453068334988897"/>
        <n v="6.0482510143576498"/>
        <n v="6.3447852852764797"/>
        <n v="6.4914675634140897"/>
        <n v="5.6588732975849396"/>
        <n v="5.7378551645846896"/>
        <n v="5.93286548553613"/>
        <n v="5.4643669577763401"/>
        <n v="6.2506617854390996"/>
        <n v="5.9017793349182002"/>
        <n v="6.1815273720687101"/>
        <n v="5.9487501531533704"/>
        <n v="6.3318957728199896"/>
        <n v="5.73690154577739"/>
        <n v="5.9419095325964699"/>
        <n v="5.9121707048188501"/>
        <n v="5.7660328751552097"/>
        <n v="6.3390368370748202"/>
        <n v="5.7620348965424597"/>
        <n v="5.8681311099951898"/>
        <n v="6.09402136048742"/>
        <n v="6.17816631989567"/>
        <n v="5.8593621612753299"/>
        <n v="6.1074895287412199"/>
        <n v="5.5856109011937001"/>
        <n v="6.3321488657709901"/>
        <n v="5.0560388043670903"/>
        <n v="5.8938546373877303"/>
        <n v="6.2338568535519299"/>
        <n v="6.2091647750546803"/>
        <n v="6.0427901321953197"/>
        <n v="6.0878200304409997"/>
        <n v="6.5218138578893399"/>
        <n v="5.5667355723735499"/>
        <n v="6.1702324437907903"/>
        <n v="6.2805954563132698"/>
        <n v="5.8947233769965601"/>
        <n v="5.9074952491726602"/>
        <n v="5.7512224931222304"/>
        <n v="5.5753428858511498"/>
        <n v="5.7920685146666901"/>
        <n v="5.8491459105118997"/>
        <n v="6.0557012746173999"/>
        <n v="5.8943043630358298"/>
        <n v="5.9913781928956196"/>
        <n v="5.5750908203406002"/>
        <n v="5.7687549040913799"/>
        <n v="5.5587226407865096"/>
        <n v="6.4538507105131702"/>
        <n v="5.6232859139895801"/>
        <n v="6.5983027377500898"/>
        <n v="5.5593505941557"/>
        <n v="5.5265651603931998"/>
        <n v="6.0703176369283502"/>
        <n v="5.7557291450054304"/>
        <n v="6.8880631871783198"/>
        <n v="6.1133118800041801"/>
        <n v="5.6254877324222496"/>
        <n v="5.2664551060115903"/>
        <n v="6.0841536979245996"/>
        <n v="5.7999037906908599"/>
        <n v="6.2823146389177902"/>
        <n v="6.65269287689582"/>
        <n v="6.6750391611500497"/>
        <n v="5.5174203129515602"/>
        <n v="5.8799177211096696"/>
        <n v="5.7425520759946203"/>
        <n v="5.58676205269738"/>
        <n v="5.8541260199276204"/>
        <n v="5.7726157017525903"/>
        <n v="5.8109620514091098"/>
        <n v="5.96053018856046"/>
        <n v="5.6877506068059898"/>
        <n v="5.7954184157562896"/>
        <n v="6.3875182445306002"/>
        <n v="6.0627893176249401"/>
        <n v="5.8812272952943196"/>
        <n v="5.9043864259800403"/>
        <n v="6.3268009606771001"/>
        <n v="5.5851089443559703"/>
        <n v="6.1294635648072902"/>
        <n v="5.8801136410703396"/>
        <n v="5.8597135583570097"/>
        <n v="5.4359662197120002"/>
        <n v="6.2221797474154803"/>
        <n v="5.9823143032508996"/>
        <n v="5.9013746302240104"/>
        <n v="6.3012638211927099"/>
        <n v="5.6884075709844897"/>
        <n v="6.3932159712468399"/>
        <n v="5.7556738192318297"/>
        <n v="5.2253730415809203"/>
        <n v="6.1262057677367201"/>
        <n v="5.8742604869823598"/>
        <n v="5.5578303272018301"/>
        <n v="5.4160685309324501"/>
        <n v="6.0096503803292496"/>
        <n v="6.6164244323849903"/>
        <n v="5.4943467995132096"/>
        <n v="6.0857439280894097"/>
        <n v="6.0600262236174096"/>
        <n v="5.7205461709898398"/>
        <n v="5.8202575125205298"/>
        <n v="6.0261987350167496"/>
        <n v="6.1850544554758997"/>
        <n v="5.4730098686431603"/>
        <n v="6.0337002172011998"/>
        <n v="5.76737268865066"/>
        <n v="6.3161946743063"/>
        <n v="5.6236345576850999"/>
        <n v="5.4462821330261599"/>
        <n v="6.2208285569615898"/>
        <n v="6.0595509448267197"/>
        <n v="6.8257114812784101"/>
        <n v="6.0636081018670502"/>
        <n v="5.9466648123051904"/>
        <n v="6.1230542398365104"/>
        <n v="5.5848492859439398"/>
        <n v="6.2065271377847697"/>
        <n v="6.2194992965058802"/>
        <n v="5.8002294195344897"/>
        <n v="5.6436035853852404"/>
        <n v="6.2079556946239602"/>
        <n v="6.2809748716992901"/>
        <n v="6.1557114233633596"/>
        <n v="6.89822786528355"/>
        <n v="5.5972311879185597"/>
        <n v="6.0394709276882201"/>
        <n v="6.3799227486708396"/>
        <n v="6.2730005700314901"/>
        <n v="5.8277035307024301"/>
        <n v="5.8959431044558404"/>
        <n v="6.1176972526507898"/>
        <n v="5.88559597332178"/>
        <n v="5.5973119144439103"/>
        <n v="6.47723998219685"/>
        <n v="6.0662056091142498"/>
        <n v="5.9566832340532496"/>
        <n v="6.0630938911830397"/>
        <n v="5.86348579981395"/>
        <n v="6.1407494745464604"/>
        <n v="6.6497928725406199"/>
        <n v="6.1424840268079999"/>
        <n v="5.5689053635359302"/>
        <n v="6.1277549353434297"/>
        <n v="6.0778420073724497"/>
        <n v="6.0793985071476904"/>
        <n v="5.8466140927408103"/>
        <n v="4.8624353633801203"/>
        <n v="5.8235312175731799"/>
        <n v="5.6685247977161701"/>
        <n v="6.0795210761721998"/>
        <n v="5.9714130329395898"/>
        <n v="5.6732281311138602"/>
        <n v="5.6217091532510697"/>
        <n v="5.9281223684148499"/>
        <n v="5.7233322051450104"/>
        <n v="6.2524908374078896"/>
        <n v="5.7013146183029102"/>
        <n v="5.1640203786908696"/>
        <n v="6.2474148328731403"/>
        <n v="6.3222947302222403"/>
        <n v="6.0216616954623801"/>
        <n v="6.07340425624965"/>
        <n v="6.1362578608400202"/>
        <n v="5.8608763064864"/>
        <n v="6.5613527998475103"/>
        <n v="6.4260932473778496"/>
        <n v="5.6421325385519703"/>
        <n v="6.2630742292867598"/>
        <n v="6.4630461140613296"/>
        <n v="5.9720541506994396"/>
        <n v="6.2462838402265799"/>
        <n v="6.2939454672851198"/>
        <n v="5.9683947084452704"/>
        <n v="5.6205587823794199"/>
        <n v="6.0847842942852104"/>
        <n v="5.8420073559850696"/>
        <n v="5.9864724628774901"/>
        <n v="6.22608864822047"/>
        <n v="5.4756122237782101"/>
        <n v="5.8862776599763"/>
        <n v="6.0852071400142398"/>
        <n v="6.1100340693539996"/>
        <n v="5.8230660167404897"/>
        <n v="6.1848158521921501"/>
        <n v="5.9879833792035804"/>
        <n v="5.7818286764589999"/>
        <n v="5.6874632510857301"/>
        <n v="5.5107496609584503"/>
        <n v="6.3886129366458997"/>
        <n v="6.1088653146366703"/>
        <n v="6.2921295717639296"/>
        <n v="6.6496675259355902"/>
        <n v="5.4804664606685103"/>
        <n v="5.9964891749118499"/>
        <n v="5.7190601320944303"/>
        <n v="5.4805996745509997"/>
        <n v="6.4646981044395799"/>
        <n v="5.8893968476471104"/>
        <n v="5.36254739345208"/>
        <n v="5.4771082206351203"/>
        <n v="5.9352083531285098"/>
        <n v="5.9894979027400703"/>
        <n v="5.3227538896528399"/>
        <n v="6.0864287456860202"/>
        <n v="6.0278389148365203"/>
        <n v="5.7651082966159999"/>
        <n v="6.0109365675062598"/>
        <n v="5.7959757065947102"/>
        <n v="6.3733277576953498"/>
        <n v="6.1001232290127696"/>
        <n v="5.2405495649575702"/>
        <n v="5.8002005041334197"/>
        <n v="5.4833374356016602"/>
        <n v="5.4510118100198497"/>
        <n v="6.0877209431266301"/>
        <n v="5.8087830217361498"/>
        <n v="5.6779997513208098"/>
        <n v="6.4392397396693299"/>
        <n v="5.8387841578054802"/>
        <n v="6.0737781487416402"/>
        <n v="5.4117834821247799"/>
        <n v="5.5844920844582404"/>
        <n v="5.59897890609966"/>
        <n v="5.8995214242798699"/>
        <n v="6.4452943789266399"/>
        <n v="5.3220440544798899"/>
        <n v="6.1477010964768803"/>
        <n v="5.5653902407831701"/>
        <n v="6.3256254755171"/>
        <n v="5.7515682181268204"/>
        <n v="5.6235686273772396"/>
        <n v="5.7672542231414399"/>
        <n v="6.2269238331608996"/>
        <n v="5.5679469125166099"/>
        <n v="5.6953379532148203"/>
        <n v="6.4835788879959004"/>
        <n v="5.9921526171071804"/>
        <n v="5.2593605171570399"/>
        <n v="6.5699619147692703"/>
        <n v="5.4277857476434601"/>
        <n v="5.7327812815897898"/>
        <n v="5.6383311200892896"/>
        <n v="5.7510851783075703"/>
        <n v="5.7123077226127004"/>
        <n v="6.1924965515544796"/>
        <n v="6.0339306166718796"/>
        <n v="5.7621370363688804"/>
        <n v="5.6847822568549997"/>
        <n v="5.5961078037791703"/>
        <n v="6.1074784733435603"/>
        <n v="6.3070205151350498"/>
        <n v="5.8117776187917602"/>
        <n v="6.1132845582474102"/>
        <n v="5.8693182877708798"/>
        <n v="5.9580170027988801"/>
        <n v="5.7793159263426803"/>
        <n v="5.6598321758240902"/>
        <n v="6.1149780660154196"/>
        <n v="6.6910517795054298"/>
        <n v="5.86271390738208"/>
        <n v="5.9343272541482204"/>
        <n v="6.1134721126002596"/>
        <n v="5.9493711565421297"/>
        <n v="6.1752752608881503"/>
        <n v="6.3833801563187"/>
        <n v="5.9297861524800402"/>
        <n v="6.0839206113288302"/>
        <n v="6.4317913759141199"/>
        <n v="5.8016741941432803"/>
        <n v="5.7899603426323196"/>
        <n v="5.6249825429623899"/>
        <n v="6.1091523789275097"/>
        <n v="6.2836476105089298"/>
        <n v="5.1719993946791103"/>
        <n v="6.6561609533399002"/>
        <n v="6.26966937893412"/>
        <n v="6.52391059630044"/>
        <n v="5.5977135296760503"/>
        <n v="5.7035414683192602"/>
        <n v="5.8319139823982296"/>
        <n v="6.2475898537004904"/>
        <n v="6.0479758926185001"/>
        <n v="6.1993280746256598"/>
        <n v="6.0561366469455704"/>
        <n v="6.3801471686756797"/>
        <n v="6.6547561786437699"/>
        <n v="5.9092701360379998"/>
        <n v="5.9029465896037703"/>
        <n v="5.68574087957413"/>
        <n v="5.7094807417622704"/>
        <n v="5.4386429027686303"/>
        <n v="5.44798169969983"/>
        <n v="5.9769632848152998"/>
        <n v="6.1527652772897898"/>
        <n v="6.0250293272403503"/>
        <n v="5.7799032428992696"/>
        <n v="5.9600410876407999"/>
        <n v="5.8508881399759796"/>
        <n v="6.0367505260321899"/>
        <n v="5.92055416764354"/>
        <n v="6.2047878044750098"/>
        <n v="5.4578798325492901"/>
        <n v="5.9088843717871997"/>
        <n v="5.8446552497019102"/>
        <n v="6.0544926711607401"/>
        <n v="5.1839626141682098"/>
        <n v="5.9008977802509603"/>
        <n v="6.17127465050861"/>
        <n v="5.7316339835458701"/>
        <n v="6.1075930294722198"/>
        <n v="6.05657412429019"/>
        <n v="5.4443430460012596"/>
        <n v="6.5438797618058704"/>
        <n v="6.54387296109714"/>
        <n v="5.9772543834896998"/>
        <n v="6.4585724373734097"/>
        <n v="5.5752165887738503"/>
        <n v="5.6642507908672499"/>
        <n v="5.9368571264240204"/>
        <n v="5.9938360884411299"/>
        <n v="5.5323398625839104"/>
        <n v="6.03952717922511"/>
        <n v="6.0814443597125898"/>
        <n v="6.0545965549752001"/>
        <n v="6.6843384579991998"/>
        <n v="6.13836340725305"/>
        <n v="5.8907391100783197"/>
        <n v="6.6849414392461197"/>
        <n v="5.8008208808332302"/>
        <n v="5.9308887528304197"/>
        <n v="5.73198177630612"/>
        <n v="6.1255037683650704"/>
        <n v="6.1069255055540701"/>
        <n v="5.5774294748129503"/>
        <n v="6.1888965511226601"/>
        <n v="5.5185232041103003"/>
        <n v="5.9176009880544402"/>
        <n v="5.8567031335157598"/>
        <n v="5.8466831646044701"/>
        <n v="5.6717459321991299"/>
        <n v="5.3227226610820901"/>
        <n v="5.7062674001318703"/>
        <n v="5.9376674044005604"/>
        <n v="5.54468719655664"/>
        <n v="6.1756840658121996"/>
        <n v="5.6997518879074196"/>
        <n v="5.7762917203770403"/>
        <n v="5.3912032734109196"/>
        <n v="5.7296771776152999"/>
        <n v="6.1268538273294997"/>
        <n v="5.7985365327037304"/>
        <n v="6.1161626052169096"/>
        <n v="5.9550629773284198"/>
        <n v="6.08171810407429"/>
        <n v="5.8995461464641696"/>
        <n v="5.73665542390982"/>
        <n v="6.7488610008269099"/>
        <n v="5.9185310781660299"/>
        <n v="5.9630426594246604"/>
        <n v="5.8222925642185199"/>
        <n v="5.26903569936123"/>
        <n v="5.69787149862867"/>
        <n v="5.6572564629247699"/>
        <n v="6.3435030935680503"/>
        <n v="5.9072025722627899"/>
        <n v="6.3428179686492703"/>
        <n v="5.5484515478521397"/>
        <n v="6.1253889356120501"/>
        <n v="5.6161587591901396"/>
        <n v="5.9121155756112396"/>
        <n v="5.6703228406629398"/>
        <n v="6.1919303353115902"/>
        <n v="6.2390746940572201"/>
        <n v="6.1726895314498096"/>
        <n v="6.1368643918218497"/>
        <n v="5.6713661472351404"/>
        <n v="5.5542108812757398"/>
        <n v="6.2006939901557798"/>
        <n v="5.4541527748869996"/>
        <n v="5.4952027224259901"/>
        <n v="6.0647906357488397"/>
        <n v="5.2551489489389001"/>
        <n v="5.61869973989449"/>
        <n v="5.3771609880197797"/>
        <n v="6.3597286537306799"/>
        <n v="6.0349179587932902"/>
        <n v="5.5456945396761199"/>
        <n v="5.5756961595913204"/>
        <n v="5.96630839798895"/>
        <n v="5.47155527716279"/>
        <n v="5.71317620307076"/>
        <n v="5.7742133616108298"/>
        <n v="6.3960184592435603"/>
        <n v="5.7075059310176401"/>
        <n v="5.9836284921141702"/>
        <n v="5.9768184464363303"/>
        <n v="6.0697665965191003"/>
        <n v="6.2851240678574696"/>
        <n v="5.4866512728427503"/>
        <n v="5.9422444279431401"/>
        <n v="5.76866799355198"/>
        <n v="5.9027398867523502"/>
        <n v="6.6212914894735304"/>
        <n v="5.5530208554420497"/>
        <n v="5.9810127005613296"/>
        <n v="5.7994720040616397"/>
        <n v="6.3354858771758602"/>
        <n v="5.4099302055661296"/>
        <n v="6.0648968851451004"/>
        <n v="5.5578532812691801"/>
        <n v="5.8692199809975598"/>
        <n v="6.2993815782572797"/>
        <n v="5.9050473424100298"/>
        <n v="6.0115970512899297"/>
        <n v="5.8397891233237198"/>
        <n v="6.6117063432600203"/>
        <n v="5.9804347128944304"/>
        <n v="5.8258576874245502"/>
        <n v="5.8885870651246899"/>
        <n v="5.2970229344932003"/>
        <n v="5.7406230594857801"/>
        <n v="5.6053525134984001"/>
        <n v="5.4309370586338899"/>
        <n v="5.7412147375712301"/>
        <n v="6.3474536636189098"/>
        <n v="5.7201356007955999"/>
        <n v="5.2501541857927396"/>
        <n v="6.04630133955677"/>
        <n v="5.5637607483357003"/>
        <n v="5.9800366343320697"/>
        <n v="5.9286109511795502"/>
        <n v="5.9755139381469196"/>
        <n v="6.0610823738399997"/>
        <n v="5.6682800644814204"/>
        <n v="6.4313629527397804"/>
        <n v="5.6174518694437996"/>
        <n v="5.6412044063645199"/>
        <n v="5.8484093416988001"/>
        <n v="5.9492608735367103"/>
        <n v="6.04096554073758"/>
        <n v="6.1030427158587797"/>
        <n v="6.1885621271158398"/>
        <n v="5.7715691063546499"/>
        <n v="5.9447048127156696"/>
        <n v="5.9334322274864899"/>
        <n v="5.5746055906687202"/>
        <n v="6.1314011119345704"/>
        <n v="6.0225215777136203"/>
        <n v="5.8556197428321699"/>
        <n v="5.6600359865190697"/>
        <n v="6.4754319632034196"/>
        <n v="5.8922185101954998"/>
        <n v="6.0029192239348399"/>
        <n v="6.5618346295451504"/>
        <n v="5.4944178612013399"/>
        <n v="5.3358286061300699"/>
        <n v="5.9647110241082402"/>
        <n v="5.9407942343636"/>
        <n v="6.18680113711949"/>
        <n v="5.97119391619401"/>
        <n v="5.9905539581408398"/>
        <n v="6.1406078001525"/>
        <n v="5.9600858176098503"/>
        <n v="6.1467257305546701"/>
        <n v="5.5967539679319298"/>
        <n v="6.0250837942607696"/>
        <n v="6.1877249814057302"/>
        <n v="5.9151001837875201"/>
        <n v="6.2980154299639901"/>
        <n v="5.5894430608859604"/>
        <n v="5.77563320514761"/>
        <n v="5.96389909926895"/>
        <n v="6.3960724137503897"/>
        <n v="6.1711726196817702"/>
        <n v="6.0717373209548198"/>
        <n v="5.8279994949205802"/>
        <n v="5.78089830064562"/>
        <n v="5.7391236391945597"/>
        <n v="5.7407649371369001"/>
        <n v="6.1241428925505597"/>
        <n v="5.10480450361334"/>
        <n v="6.0803313765590703"/>
        <n v="6.0873328692975797"/>
        <n v="6.1681781912425704"/>
        <n v="6.0343362660802997"/>
        <n v="5.7160708686934996"/>
        <n v="6.5442329342082202"/>
        <n v="6.22910402182755"/>
        <n v="5.9606356227109103"/>
        <n v="5.9271946677284797"/>
        <n v="5.9227998775988802"/>
        <n v="5.4715812123064103"/>
        <n v="6.2486352288084497"/>
        <n v="6.2967507582291002"/>
        <n v="5.5866037801374304"/>
        <n v="5.8994836693285997"/>
        <n v="6.6201717848788597"/>
        <n v="6.2197831378245096"/>
        <n v="5.7660516626355598"/>
        <n v="6.2088679206608299"/>
        <n v="5.90213252448138"/>
        <n v="5.7291929803427397"/>
        <n v="6.13388559051557"/>
        <n v="6.3956113620158801"/>
        <n v="6.0770700489050604"/>
        <n v="5.98639795556445"/>
        <n v="5.9417211986130898"/>
        <n v="6.4525961459594203"/>
        <n v="6.0026168688996098"/>
        <n v="5.8887899397767196"/>
        <n v="6.3913489394980099"/>
        <n v="6.1175052881354102"/>
        <n v="6.6494563424721598"/>
        <n v="5.73503409974641"/>
        <n v="6.3231855739170202"/>
        <n v="5.7833716645667703"/>
        <n v="6.0870701517666701"/>
        <n v="6.4849370870967"/>
        <n v="6.5068652679650798"/>
        <n v="6.2128877993969702"/>
        <n v="5.8336180707436496"/>
        <n v="6.2798779596703502"/>
        <n v="5.9285928499043301"/>
        <n v="6.2199856183074402"/>
        <n v="5.9180110098486303"/>
        <n v="5.7095968036415403"/>
        <n v="5.8047226131185097"/>
        <n v="5.7960833535062397"/>
        <n v="5.9289577233794502"/>
        <n v="5.7502902294332996"/>
        <n v="6.1786417128380702"/>
        <n v="6.2354851597137797"/>
        <n v="5.4021591256640802"/>
        <n v="5.7544324884132596"/>
        <n v="5.8788811186480396"/>
        <n v="5.6610136728325804"/>
        <n v="6.1453491260113404"/>
        <n v="5.82576111633895"/>
        <n v="5.9998759052835"/>
        <n v="6.2217888816837696"/>
        <n v="5.9216089124180797"/>
        <n v="6.2548996055418202"/>
        <n v="5.9825051280888299"/>
        <n v="5.4680129782261"/>
        <n v="5.7014441533000202"/>
        <n v="6.3310039032634204"/>
        <n v="6.4506196814026904"/>
        <n v="6.3933226777418897"/>
        <n v="5.63294566291425"/>
        <n v="6.1907830631200698"/>
        <n v="5.8060050418049398"/>
        <n v="6.1057848836082202"/>
        <n v="5.9636623805020799"/>
        <n v="6.0456838367939998"/>
        <n v="6.2884491641435103"/>
        <n v="6.0109096437640401"/>
        <n v="5.67346617159515"/>
        <n v="5.87953474202852"/>
        <n v="5.6989640278720497"/>
        <n v="6.2625825955279"/>
        <n v="6.2964663279441897"/>
        <n v="6.4348206145429199"/>
        <n v="5.8716083724779997"/>
        <n v="6.4333718896426699"/>
        <n v="5.9394251369931004"/>
        <n v="5.43260436359349"/>
        <n v="5.7872585905311702"/>
        <n v="5.7327417649967698"/>
        <n v="5.4352759563343902"/>
        <n v="6.5600055655743903"/>
        <n v="5.6741125886323696"/>
        <n v="5.5636211320674596"/>
        <n v="5.8084185449810599"/>
        <n v="6.0585586378915597"/>
        <n v="5.6975550708782396"/>
        <n v="5.8072813820092701"/>
        <n v="5.5164698481002397"/>
        <n v="5.90306640191986"/>
        <n v="5.4599457490310597"/>
        <n v="6.1315844429781503"/>
        <n v="6.3197760812654797"/>
        <n v="6.0038508709715597"/>
        <n v="6.5658374949995197"/>
        <n v="5.7544241303744696"/>
        <n v="5.8724782892863203"/>
        <n v="6.1825098911707803"/>
        <n v="5.8434082533015799"/>
        <n v="6.7564231646730697"/>
        <n v="6.1204228859503598"/>
        <n v="5.5486152490525198"/>
        <n v="6.0544975150543801"/>
        <n v="6.06246408430136"/>
        <n v="6.2553058037513001"/>
        <n v="6.32846605932136"/>
        <n v="5.89752418611931"/>
        <n v="6.0198955389490303"/>
        <n v="5.7368566691742098"/>
        <n v="6.0845456463739396"/>
        <n v="5.9377163640259401"/>
        <n v="6.51690578826351"/>
        <n v="5.9408040348241"/>
        <n v="5.9008089018574204"/>
        <n v="5.1074893987924304"/>
        <n v="5.5808699898811804"/>
        <n v="6.0973309694906801"/>
        <n v="5.8360435067759697"/>
        <n v="5.9001674990542297"/>
        <n v="6.3162216529939004"/>
        <n v="5.5850327665583004"/>
        <n v="5.6725017211916802"/>
        <n v="5.6196618931761799"/>
        <n v="6.1925435991275304"/>
        <n v="5.79805669211125"/>
        <n v="6.1345765149241496"/>
        <n v="5.9794010636809096"/>
        <n v="5.94567779639456"/>
        <n v="5.9292811726399703"/>
        <n v="5.9357960092016304"/>
        <n v="5.9899055635738403"/>
        <n v="6.0868983452246699"/>
        <n v="6.3286983330804203"/>
        <n v="5.8865022422253404"/>
        <n v="6.0269810772969299"/>
        <n v="5.9107843359764098"/>
        <n v="5.8980178004562802"/>
        <n v="6.4248927087592298"/>
        <n v="5.7566342749962196"/>
        <n v="6.1774347593006498"/>
        <n v="5.9760109036145703"/>
        <n v="6.2207259683758798"/>
        <n v="5.5726115537439904"/>
        <n v="5.7021753786310896"/>
        <n v="6.4313364330875604"/>
        <n v="6.1338605157264103"/>
        <n v="5.5327554904667604"/>
        <n v="5.86471432233468"/>
        <n v="6.0775816492017798"/>
        <n v="6.0896449768872998"/>
        <n v="6.05698179435434"/>
        <n v="5.9204871297820896"/>
        <n v="5.8455865915866703"/>
        <n v="4.9989327846635696"/>
        <n v="6.3139761141167901"/>
        <n v="6.0179758455653101"/>
        <n v="6.2507090507449403"/>
        <n v="6.5002618321877801"/>
        <n v="6.2126428139632397"/>
        <n v="5.8565678526357097"/>
        <n v="5.4851036069770398"/>
        <n v="5.8362000163406602"/>
        <n v="5.8988566410494601"/>
        <n v="6.6175489966759002"/>
        <n v="5.4495868429452701"/>
        <n v="6.3309180205455897"/>
        <n v="6.1675674969717402"/>
        <n v="6.1710338790178998"/>
        <n v="5.8040154196855704"/>
        <n v="5.8368839723719601"/>
        <n v="5.7099422548120398"/>
        <n v="6.8806184750567603"/>
        <n v="5.4896567646252601"/>
        <n v="5.8798664705220398"/>
        <n v="6.3100662471698703"/>
        <n v="5.5950413202795604"/>
        <n v="5.8049095119556"/>
        <n v="5.5900710598995103"/>
        <n v="5.8487866898890202"/>
        <n v="5.6903929657267902"/>
        <n v="5.8987355302192404"/>
        <n v="6.1668553970679998"/>
        <n v="5.8214027932036796"/>
        <n v="6.1427537541964101"/>
        <n v="6.4841829928247696"/>
        <n v="6.0757895560391804"/>
        <n v="5.4713816425409201"/>
        <n v="5.9579631288739296"/>
        <n v="6.0140202616925098"/>
        <n v="5.8092109100934399"/>
        <n v="5.9383938623486499"/>
        <n v="5.7502575318604796"/>
        <n v="6.4381675271653096"/>
        <n v="5.7473912374208203"/>
        <n v="6.1571765162878602"/>
        <n v="6.0706311195140099"/>
        <n v="5.9521144272265003"/>
        <n v="5.1009162550034501"/>
        <n v="5.9166025900530697"/>
        <n v="5.6495275239206997"/>
        <n v="6.0965721355364497"/>
        <n v="5.2319499645697896"/>
        <n v="5.9847022436015296"/>
        <n v="5.7780556656918201"/>
        <n v="5.7201421615899797"/>
        <n v="5.7242868126199999"/>
        <n v="6.6361416892621499"/>
        <n v="5.4532075665125603"/>
        <n v="5.76248296034625"/>
        <n v="5.5109386293172902"/>
        <n v="5.94600272587628"/>
        <n v="5.7915355478833304"/>
        <n v="5.5961900042622901"/>
        <n v="5.7030589564094303"/>
        <n v="5.9030355250612896"/>
        <n v="6.2706364489799604"/>
        <n v="6.26631317981722"/>
        <n v="6.4361795389778802"/>
        <n v="6.86795792276114"/>
        <n v="5.40275981269086"/>
        <n v="6.5283170514347804"/>
        <n v="5.6465065989746002"/>
        <n v="5.3128894688405204"/>
        <n v="6.6927290971680398"/>
        <n v="6.4496205324001501"/>
        <n v="6.0490869853644602"/>
        <n v="5.7609257584187601"/>
        <n v="5.5905549850721403"/>
        <n v="5.7499930583331"/>
        <n v="6.0450744226393702"/>
        <n v="5.8915732434579002"/>
        <n v="5.7057490080630497"/>
        <n v="6.3264664177652898"/>
        <n v="6.3161283089144797"/>
        <n v="5.9250434239530803"/>
        <n v="5.9833084190963302"/>
        <n v="5.5077012150752402"/>
        <n v="5.8837267832365496"/>
        <n v="5.8057876452706898"/>
        <n v="6.3641645687305299"/>
        <n v="5.7720136220255203"/>
        <n v="6.26371556738499"/>
        <n v="6.08903676151614"/>
        <n v="5.7850570127035104"/>
        <n v="6.1694660871934301"/>
        <n v="5.9839049941224403"/>
        <n v="5.7733922955588204"/>
        <n v="6.4407645109640903"/>
        <n v="5.5648250792610803"/>
        <n v="6.2837647005131796"/>
        <n v="6.57290173634963"/>
        <n v="5.8218058101657002"/>
        <n v="5.4075662735863599"/>
        <n v="5.9328068672162404"/>
        <n v="6.8219590418884302"/>
        <n v="6.4697967951850197"/>
        <n v="6.1584533987108099"/>
        <n v="5.77451890753537"/>
        <n v="6.1420381723604898"/>
        <n v="5.8595943155959098"/>
        <n v="6.0873293667579897"/>
        <n v="5.7295927248507903"/>
        <n v="6.0109650236531804"/>
        <n v="5.2659232823947102"/>
        <n v="6.2360769980879098"/>
        <n v="5.6624022395397304"/>
        <n v="5.5923815851410197"/>
        <n v="6.0070285158503003"/>
        <n v="5.9306974631486504"/>
        <n v="5.7273762441580196"/>
        <n v="6.2013151759434297"/>
        <n v="5.3189576588881504"/>
        <n v="6.15226104265383"/>
        <n v="5.7810898491282003"/>
        <n v="6.1771620387059896"/>
        <n v="5.9173130998860604"/>
        <n v="6.6864773375896398"/>
        <n v="5.72373768177318"/>
        <n v="5.7890006574238599"/>
        <n v="5.9628294657053997"/>
        <n v="5.6851975885962496"/>
        <n v="5.2940045087605503"/>
        <n v="6.1147198063033699"/>
        <n v="6.4479634257071101"/>
        <n v="6.5118268493610598"/>
        <n v="5.9462745779687403"/>
        <n v="5.9627153038877099"/>
        <n v="6.0407434884177604"/>
        <n v="5.7895107790166103"/>
        <n v="5.59187427501959"/>
        <n v="5.4667712851055201"/>
        <n v="6.5439956922876403"/>
        <n v="5.8792011487827098"/>
      </sharedItems>
      <fieldGroup base="12">
        <rangePr startNum="4.8624353633801203" endNum="6.89822786528355" groupInterval="2"/>
        <groupItems count="4">
          <s v="&lt;4.86243536338012"/>
          <s v="4.86243536338012-6.86243536338012"/>
          <s v="6.86243536338012-8.86243536338012"/>
          <s v="&gt;8.86243536338012"/>
        </groupItems>
      </fieldGroup>
    </cacheField>
    <cacheField name="Agility_Score" numFmtId="2">
      <sharedItems containsSemiMixedTypes="0" containsString="0" containsNumber="1" minValue="50" maxValue="100"/>
    </cacheField>
    <cacheField name="Sleep_Hours_Per_Night" numFmtId="2">
      <sharedItems containsSemiMixedTypes="0" containsString="0" containsNumber="1" minValue="5" maxValue="9.86055338550198" count="800">
        <n v="8.2382930308722795"/>
        <n v="8.9837371932666201"/>
        <n v="7.2291926538447404"/>
        <n v="7.6810288088560803"/>
        <n v="6.7280905014596604"/>
        <n v="8.5380273653716294"/>
        <n v="7.3393272021677296"/>
        <n v="8.0728946383717108"/>
        <n v="7.6611897190133096"/>
        <n v="6.0355046991021197"/>
        <n v="8.2874599702316996"/>
        <n v="6.5181126772361999"/>
        <n v="7.5273615773165403"/>
        <n v="6.4525573561155003"/>
        <n v="7.8843630253613304"/>
        <n v="5.8821565578950903"/>
        <n v="7.7342757222630896"/>
        <n v="7.3000530039241198"/>
        <n v="8.4931848258496103"/>
        <n v="7.3132196436142802"/>
        <n v="6.8340416368061501"/>
        <n v="7.8271694658452002"/>
        <n v="6.7438649743949499"/>
        <n v="8.5144962638268602"/>
        <n v="7.2187053138681803"/>
        <n v="6.3340860228412899"/>
        <n v="7.7695520256491601"/>
        <n v="7.91583877330085"/>
        <n v="8.5193821166404504"/>
        <n v="8.1506089953085699"/>
        <n v="7.2955744551618302"/>
        <n v="7.4319683047134397"/>
        <n v="6.02019275370629"/>
        <n v="7.55640812974461"/>
        <n v="6.2093289251477"/>
        <n v="6.4899110756993101"/>
        <n v="6.6784551666146301"/>
        <n v="6.8215323299756703"/>
        <n v="7.6287633676825202"/>
        <n v="7.6137311551152296"/>
        <n v="7.92197246708312"/>
        <n v="7.4119711727393103"/>
        <n v="6.9268517652622501"/>
        <n v="6.6638324150004404"/>
        <n v="6.7194015027341996"/>
        <n v="7.9684922575225503"/>
        <n v="7.2908297102721003"/>
        <n v="8.1699137771949708"/>
        <n v="7.6435651740388"/>
        <n v="6.4283592477764202"/>
        <n v="6.6971651600997903"/>
        <n v="7.3970786411217002"/>
        <n v="9.3038490290130706"/>
        <n v="7.2159497162581703"/>
        <n v="7.7388560018719001"/>
        <n v="7.2944140496220298"/>
        <n v="6.99638867873007"/>
        <n v="7.0750709368298299"/>
        <n v="7.0940858224482399"/>
        <n v="7.2105016625617004"/>
        <n v="6.6335824613558101"/>
        <n v="8.0339140771811905"/>
        <n v="6.9028111547787701"/>
        <n v="6.99633197007718"/>
        <n v="7.0502085400095202"/>
        <n v="6.4283020557976398"/>
        <n v="7.6504241638124197"/>
        <n v="8.0048169381608805"/>
        <n v="6.79008921099945"/>
        <n v="6.1354992827290298"/>
        <n v="7.5584399684257599"/>
        <n v="7.1972793325063602"/>
        <n v="6.2437586318104001"/>
        <n v="7.6585137722511103"/>
        <n v="7.5541257694799802"/>
        <n v="6.2995068669075396"/>
        <n v="5.9906756069259899"/>
        <n v="6.8440781112454099"/>
        <n v="8.5443400897107207"/>
        <n v="7.6804045535821199"/>
        <n v="7.6959956954910798"/>
        <n v="6.1461054118061602"/>
        <n v="7.0889498471589603"/>
        <n v="7.6327826865736803"/>
        <n v="6.7521057587066098"/>
        <n v="7.2286685178682699"/>
        <n v="8.3952616923019701"/>
        <n v="6.2230293244128303"/>
        <n v="6.7986354162107503"/>
        <n v="7.0522538262471901"/>
        <n v="8.45343941610607"/>
        <n v="7.9209921089332704"/>
        <n v="7.5688166306718703"/>
        <n v="6.8638499314614201"/>
        <n v="8.1381182563753001"/>
        <n v="7.7067343041034997"/>
        <n v="7.5811757657929704"/>
        <n v="7.5874989544310703"/>
        <n v="7.0252793963913902"/>
        <n v="7.9089243033143397"/>
        <n v="7.5015441215422403"/>
        <n v="8.7843957971857503"/>
        <n v="7.8914465941309997"/>
        <n v="6.92559580600006"/>
        <n v="5.63880408650496"/>
        <n v="7.64623348080368"/>
        <n v="7.14603769866918"/>
        <n v="8.1137339185622892"/>
        <n v="6.1179128974983499"/>
        <n v="7.0116980330118803"/>
        <n v="9.86055338550198"/>
        <n v="8.4344003584615095"/>
        <n v="7.5192475026527701"/>
        <n v="6.4981359473709102"/>
        <n v="7.5748209640091"/>
        <n v="7.7225149384723801"/>
        <n v="7.0527457332861898"/>
        <n v="7.5826700990976503"/>
        <n v="7.1703414723164203"/>
        <n v="7.1126395952033903"/>
        <n v="6.9100086073309104"/>
        <n v="6.9475641773967496"/>
        <n v="6.4622727527106996"/>
        <n v="8.5170945650154799"/>
        <n v="7.25733731018037"/>
        <n v="6.2845316583455899"/>
        <n v="7.1601836932769096"/>
        <n v="5.6585367282858297"/>
        <n v="7.3980869191506802"/>
        <n v="8.7797913285081108"/>
        <n v="7.11749138202212"/>
        <n v="5.9855035288018001"/>
        <n v="5.9454521298972498"/>
        <n v="7.2710707903086904"/>
        <n v="6.7942377800529901"/>
        <n v="8.7298655292769798"/>
        <n v="7.9326512200251296"/>
        <n v="7.6552006098348002"/>
        <n v="7.2323352231359603"/>
        <n v="8.1371183584610893"/>
        <n v="6.4981094082559796"/>
        <n v="8.5801301661235705"/>
        <n v="7.4161248979276602"/>
        <n v="7.7540512209678303"/>
        <n v="7.9581712598103502"/>
        <n v="7.7946701860417802"/>
        <n v="8.0382010634430703"/>
        <n v="6.45391308603336"/>
        <n v="8.6985422554523097"/>
        <n v="7.6996503144504302"/>
        <n v="6.2939257215540598"/>
        <n v="7.8199826701692299"/>
        <n v="7.2911357091647302"/>
        <n v="6.9047242565483602"/>
        <n v="7.0544280205738099"/>
        <n v="9.6423159635851405"/>
        <n v="8.9705793085101302"/>
        <n v="7.2079040801337202"/>
        <n v="8.6843189502864693"/>
        <n v="7.7920549906927299"/>
        <n v="7.7766690908838898"/>
        <n v="8.377722304033"/>
        <n v="6.0910913895450296"/>
        <n v="8.1655768833152997"/>
        <n v="7.4245330324361296"/>
        <n v="8.0905763546966991"/>
        <n v="6.6778531816864604"/>
        <n v="6.5602931636195896"/>
        <n v="6.4304063881624796"/>
        <n v="7.6234347103543598"/>
        <n v="6.5394779609027998"/>
        <n v="7.35589342229291"/>
        <n v="6.50968858839747"/>
        <n v="6.4440629510523602"/>
        <n v="7.6543432648306"/>
        <n v="8.1276329592959407"/>
        <n v="7.2501134808544698"/>
        <n v="7.1686206135553201"/>
        <n v="7.2932931289987604"/>
        <n v="7.4189646557046496"/>
        <n v="7.2311748362265904"/>
        <n v="8.0307868817214807"/>
        <n v="5.48011807956685"/>
        <n v="8.4598413842906908"/>
        <n v="7.5660169488472899"/>
        <n v="7.9565980078663898"/>
        <n v="9.0390299436247901"/>
        <n v="7.5730179031103102"/>
        <n v="8.5322735119998594"/>
        <n v="7.79792068519982"/>
        <n v="6.7716272029042601"/>
        <n v="8.7665758157285207"/>
        <n v="8.0039512803569597"/>
        <n v="7.33474035607329"/>
        <n v="7.0148699788100402"/>
        <n v="7.6173766714389997"/>
        <n v="8.5331378435956395"/>
        <n v="6.0478686622232303"/>
        <n v="7.8268117202917598"/>
        <n v="7.9238017138926402"/>
        <n v="5.9182259099600198"/>
        <n v="6.4658670642126603"/>
        <n v="6.72611064545913"/>
        <n v="8.6505487516877508"/>
        <n v="6.3128480300795804"/>
        <n v="7.0564809954315697"/>
        <n v="6.9497260967213199"/>
        <n v="7.1487346884700997"/>
        <n v="7.0801016762992397"/>
        <n v="7.7359948546666697"/>
        <n v="7.6963540686110798"/>
        <n v="8.1334929537172709"/>
        <n v="7.1063496544890903"/>
        <n v="6.0130962655558502"/>
        <n v="7.9887171118345304"/>
        <n v="5.9922168239014599"/>
        <n v="7.1857206074625299"/>
        <n v="7.4912125036931396"/>
        <n v="7.9907475912596002"/>
        <n v="7.4452568151725904"/>
        <n v="8.0648036402545298"/>
        <n v="6.9372430204709499"/>
        <n v="7.9301783871309102"/>
        <n v="7.5215253726240299"/>
        <n v="6.7340094468892104"/>
        <n v="7.6549458492272304"/>
        <n v="6.9581806448093602"/>
        <n v="7.4254495273279399"/>
        <n v="7.52489436837398"/>
        <n v="6.5857606952396699"/>
        <n v="7.86214627455103"/>
        <n v="7.0855107808215596"/>
        <n v="7.0570342822902603"/>
        <n v="6.7497658390022197"/>
        <n v="8.1063165698929698"/>
        <n v="6.9982069235306499"/>
        <n v="8.4947462588818095"/>
        <n v="6.70090271221527"/>
        <n v="8.3785418822290705"/>
        <n v="7.0424628884638398"/>
        <n v="7.6348572383907403"/>
        <n v="7.1429115549067896"/>
        <n v="7.9345817489032804"/>
        <n v="8.2116452206860799"/>
        <n v="7.3715306191660899"/>
        <n v="8.0140453505494698"/>
        <n v="5.6071464076790596"/>
        <n v="7.2568163342302299"/>
        <n v="7.4302306227879198"/>
        <n v="6.5748962386015304"/>
        <n v="8.2687355590311906"/>
        <n v="7.2020058471541901"/>
        <n v="7.3854224602579297"/>
        <n v="7.1091407137246803"/>
        <n v="9.0208968753313705"/>
        <n v="6.1060893945656503"/>
        <n v="6.9455376430274498"/>
        <n v="8.4752888607775194"/>
        <n v="7.33836108241149"/>
        <n v="5.6762899031393701"/>
        <n v="8.6822696372211698"/>
        <n v="7.5346574952880196"/>
        <n v="6.7735462857574102"/>
        <n v="6.9423248505528301"/>
        <n v="7.3053138910756497"/>
        <n v="7.4233402311948504"/>
        <n v="7.5086798788783504"/>
        <n v="7.60635362988255"/>
        <n v="7.5881991752491498"/>
        <n v="8.7584871138327998"/>
        <n v="7.1290820762156297"/>
        <n v="8.0411404737841892"/>
        <n v="6.8267267145133497"/>
        <n v="6.8474123773431401"/>
        <n v="7.5800991918672596"/>
        <n v="8.4551167610110198"/>
        <n v="7.4979192886448303"/>
        <n v="8.2086753178910303"/>
        <n v="7.2756620603537501"/>
        <n v="8.3858549623052898"/>
        <n v="8.1716178875255299"/>
        <n v="5.1853114665158797"/>
        <n v="7.1941502801651396"/>
        <n v="7.0143745859356796"/>
        <n v="7.68908374029506"/>
        <n v="6.7286293608366696"/>
        <n v="7.7156231749777398"/>
        <n v="7.1897737291686301"/>
        <n v="6.1830425082222096"/>
        <n v="8.0698806979510795"/>
        <n v="8.1981866122251201"/>
        <n v="7.5624659755656003"/>
        <n v="6.5425169020629701"/>
        <n v="8.8485875231089697"/>
        <n v="8.2884619483314506"/>
        <n v="5.8844347506626598"/>
        <n v="7.1304184620894597"/>
        <n v="7.8184376070378701"/>
        <n v="7.9515184575763804"/>
        <n v="7.2512519439394199"/>
        <n v="8.7980452976185894"/>
        <n v="6.8393768920211899"/>
        <n v="7.8990634904483903"/>
        <n v="7.5747600514712898"/>
        <n v="7.6272905621559204"/>
        <n v="8.1357057961515693"/>
        <n v="7.5350897185395596"/>
        <n v="6.8307464502120396"/>
        <n v="7.5689469905201801"/>
        <n v="5.8995664653650701"/>
        <n v="5.7063589995355901"/>
        <n v="6.7079998895716502"/>
        <n v="8.1451005815370898"/>
        <n v="7.6158964609651401"/>
        <n v="8.6159882575212201"/>
        <n v="7.2112006062223504"/>
        <n v="7.6092799192327103"/>
        <n v="8.4276850654259299"/>
        <n v="7.9551619340707997"/>
        <n v="7.76265150474633"/>
        <n v="6.5130302903523898"/>
        <n v="6.4093199211707503"/>
        <n v="8.5617136416228892"/>
        <n v="7.3580802328382298"/>
        <n v="6.3703743527318801"/>
        <n v="6.7417284807753299"/>
        <n v="5.83445491563098"/>
        <n v="7.9366621482570601"/>
        <n v="8.6434606098897699"/>
        <n v="7.3108565895165496"/>
        <n v="6.3943857710797696"/>
        <n v="6.9782353910831896"/>
        <n v="7.1847807977921097"/>
        <n v="7.6237886293564001"/>
        <n v="7.8914871607386496"/>
        <n v="7.8204241587579402"/>
        <n v="7.48618632771276"/>
        <n v="6.5487020299295899"/>
        <n v="7.0756978545820202"/>
        <n v="6.8433178729189201"/>
        <n v="6.8433984819177001"/>
        <n v="8.5204668622294193"/>
        <n v="8.2857923435526004"/>
        <n v="9.0555824308488493"/>
        <n v="7.48405946551593"/>
        <n v="7.4894618016133796"/>
        <n v="8.3840043875355796"/>
        <n v="6.4830018844361597"/>
        <n v="6.7194874923751504"/>
        <n v="6.8280039965879702"/>
        <n v="8.5096803878849894"/>
        <n v="7.7177835243167099"/>
        <n v="8.0913937523916797"/>
        <n v="7.71510928539674"/>
        <n v="7.8619914026103102"/>
        <n v="7.3949333214613304"/>
        <n v="6.5631716413813503"/>
        <n v="7.8757125199157096"/>
        <n v="6.6247343897354796"/>
        <n v="8.5515887684669103"/>
        <n v="8.6801411799412893"/>
        <n v="8.1888278999815896"/>
        <n v="6.8882307494284003"/>
        <n v="6.3528585068626704"/>
        <n v="8.0691036045033595"/>
        <n v="6.9068573873190902"/>
        <n v="5.7883887609701397"/>
        <n v="6.88216651469798"/>
        <n v="8.7950993584055901"/>
        <n v="5.7013198219150203"/>
        <n v="7.2345831526217603"/>
        <n v="7.4173002638221099"/>
        <n v="7.2524375212432801"/>
        <n v="5.8705950514029901"/>
        <n v="7.8804274575782101"/>
        <n v="7.4281696350766602"/>
        <n v="8.7924824649148103"/>
        <n v="8.3744750564151502"/>
        <n v="7.1543008663314396"/>
        <n v="7.8104546825368999"/>
        <n v="7.8356762029249802"/>
        <n v="5.8466370737263196"/>
        <n v="6.75073773339422"/>
        <n v="8.2456015027380705"/>
        <n v="8.1082679054054996"/>
        <n v="7.2347323877402197"/>
        <n v="7.3021146092403901"/>
        <n v="5.2890227859556997"/>
        <n v="8.3844201836717005"/>
        <n v="7.3298256837698599"/>
        <n v="7.6341364693496301"/>
        <n v="8.1002900393446993"/>
        <n v="8.7545725768412801"/>
        <n v="8.0702769707206095"/>
        <n v="7.91601542438233"/>
        <n v="8.5340305969513199"/>
        <n v="7.9721150731235104"/>
        <n v="8.6915741348613693"/>
        <n v="7.4170782530361699"/>
        <n v="7.5891139428816503"/>
        <n v="6.5548055686128999"/>
        <n v="7.2250467301135597"/>
        <n v="7.4255525824582698"/>
        <n v="7.4806143115273196"/>
        <n v="8.0243355653859307"/>
        <n v="6.5140519601318996"/>
        <n v="7.0281270446528099"/>
        <n v="7.9490272193072897"/>
        <n v="6.8465844342866404"/>
        <n v="7.6823497240548999"/>
        <n v="7.5380959704459398"/>
        <n v="8.3526655252160502"/>
        <n v="6.4707806113901798"/>
        <n v="7.0295909600656898"/>
        <n v="7.93639949067577"/>
        <n v="6.9489369572673496"/>
        <n v="7.8815678801223799"/>
        <n v="7.17093247256296"/>
        <n v="6.4785314405670604"/>
        <n v="6.94120262674587"/>
        <n v="7.6748737268588396"/>
        <n v="7.9879786935160304"/>
        <n v="7.0946773332362003"/>
        <n v="6.2871054112705202"/>
        <n v="7.9884631454964996"/>
        <n v="8.2589528721987993"/>
        <n v="5.8241923154615796"/>
        <n v="7.8899848334055003"/>
        <n v="7.5690334164761204"/>
        <n v="7.4630498241692003"/>
        <n v="8.5564486082063098"/>
        <n v="7.5881287642073501"/>
        <n v="6.7597953122707199"/>
        <n v="6.0531454414051797"/>
        <n v="7.2222524547454698"/>
        <n v="6.60868742744473"/>
        <n v="5.9970719361882496"/>
        <n v="6.0777915625882502"/>
        <n v="5.7166054904278703"/>
        <n v="7.4465593463006297"/>
        <n v="6.5816589446254099"/>
        <n v="8.0954003140981303"/>
        <n v="6.2934584760504002"/>
        <n v="8.2185237693831201"/>
        <n v="7.4247029586919897"/>
        <n v="6.9179040151511"/>
        <n v="8.3690232306144807"/>
        <n v="6.7915537623103202"/>
        <n v="8.4554240432128402"/>
        <n v="7.73194231995347"/>
        <n v="6.3451182239845902"/>
        <n v="7.44337863099428"/>
        <n v="6.6591365347478497"/>
        <n v="7.4786730175823797"/>
        <n v="6.4384156151114098"/>
        <n v="6.0920326122575297"/>
        <n v="6.8035158956493103"/>
        <n v="7.4140722958337104"/>
        <n v="6.03677296854144"/>
        <n v="6.6536781557855296"/>
        <n v="8.4010617198388697"/>
        <n v="7.6742405119205497"/>
        <n v="7.0571792659545096"/>
        <n v="7.7914075698047904"/>
        <n v="7.2086081072867199"/>
        <n v="6.4732644351383701"/>
        <n v="7.8196477935068396"/>
        <n v="8.1627380236819498"/>
        <n v="7.6979989913039502"/>
        <n v="8.36359230226725"/>
        <n v="6.7588457870141196"/>
        <n v="7.8014582275229101"/>
        <n v="8.9963819682929405"/>
        <n v="6.8417810551176599"/>
        <n v="6.4965722873098297"/>
        <n v="7.9741486990755996"/>
        <n v="5.6980281533320696"/>
        <n v="8.3274502005653392"/>
        <n v="6.25914817565564"/>
        <n v="7.2772505794901097"/>
        <n v="7.0789256008647596"/>
        <n v="6.9184957996143899"/>
        <n v="7.4859940946761796"/>
        <n v="6.7384037720286702"/>
        <n v="9.0244082639024992"/>
        <n v="8.5627161964630396"/>
        <n v="7.8367612142447101"/>
        <n v="8.1693606330461197"/>
        <n v="8.4874775501878297"/>
        <n v="6.7989254600982196"/>
        <n v="6.5378755318952599"/>
        <n v="8.6142973524037796"/>
        <n v="8.0660717578566601"/>
        <n v="6.76800961330179"/>
        <n v="7.4761751015939"/>
        <n v="7.7517647581528903"/>
        <n v="6.6445903497153402"/>
        <n v="7.9748015469717801"/>
        <n v="6.5162030344712596"/>
        <n v="8.1782976076985001"/>
        <n v="7.9452762440746802"/>
        <n v="7.1802790367900302"/>
        <n v="7.9033290443680997"/>
        <n v="6.99577667392614"/>
        <n v="7.3777974930191901"/>
        <n v="8.0790805428981294"/>
        <n v="7.1177081650720302"/>
        <n v="8.8809184338028899"/>
        <n v="6.9371215421901002"/>
        <n v="8.2002419701934297"/>
        <n v="6.3973186663566697"/>
        <n v="6.4028717532145301"/>
        <n v="8.9124269745226101"/>
        <n v="6.3769779587295998"/>
        <n v="8.9869278516423297"/>
        <n v="7.8584814765747604"/>
        <n v="8.4042482096402296"/>
        <n v="6.6676055122702502"/>
        <n v="8.5866209263031692"/>
        <n v="6.4711774270265501"/>
        <n v="6.7139164441017698"/>
        <n v="7.1286349655356096"/>
        <n v="7.10848801291288"/>
        <n v="8.3326785106623102"/>
        <n v="7.4789766302946896"/>
        <n v="6.2431105072904201"/>
        <n v="7.59420957503227"/>
        <n v="7.8321236981749198"/>
        <n v="8.1387764834279697"/>
        <n v="7.1476155187777302"/>
        <n v="7.7028887038572202"/>
        <n v="7.7591840083745902"/>
        <n v="6.86231464067522"/>
        <n v="8.4183385648702806"/>
        <n v="8.6535965495273306"/>
        <n v="6.9907926263034099"/>
        <n v="8.6943122841754708"/>
        <n v="8.1409868595463806"/>
        <n v="7.8231596512793402"/>
        <n v="7.04755130339821"/>
        <n v="7.3072876110051697"/>
        <n v="6.4103008424590797"/>
        <n v="7.5984314806248499"/>
        <n v="8.0977825527120402"/>
        <n v="7.5186653826566596"/>
        <n v="8.1080321056183298"/>
        <n v="5.6234680211430899"/>
        <n v="7.1453298197647399"/>
        <n v="6.4986475522673803"/>
        <n v="9.0765996315704296"/>
        <n v="6.8294363570723498"/>
        <n v="6.4293551116494001"/>
        <n v="7.4858190105844304"/>
        <n v="6.8293495777963296"/>
        <n v="7.2427670681299396"/>
        <n v="7.7354852119549804"/>
        <n v="6.6998605116821697"/>
        <n v="7.9357354050128999"/>
        <n v="6.9645943886384698"/>
        <n v="7.9071382444260303"/>
        <n v="8.6248407956269499"/>
        <n v="5.9934134972883397"/>
        <n v="7.5017418098984301"/>
        <n v="7.3345962333322401"/>
        <n v="8.4795995512383104"/>
        <n v="8.0500469312282501"/>
        <n v="6.1006025924512297"/>
        <n v="7.2290743644370599"/>
        <n v="6.3654901439721598"/>
        <n v="7.0018626674801299"/>
        <n v="7.38021265110378"/>
        <n v="7.1839060132153403"/>
        <n v="7.9655152194483403"/>
        <n v="7.4923739997555803"/>
        <n v="7.1725846478712398"/>
        <n v="8.2380513489343592"/>
        <n v="6.9144126369185104"/>
        <n v="6.67369117963342"/>
        <n v="8.3104967112831698"/>
        <n v="8.6671144140753906"/>
        <n v="7.5529357742558201"/>
        <n v="7.17964981336889"/>
        <n v="7.9723176671914997"/>
        <n v="7.1008696638137403"/>
        <n v="6.9548568523203196"/>
        <n v="5.9205227047140196"/>
        <n v="7.0737313397705401"/>
        <n v="7.2731719223983502"/>
        <n v="6.5391378594582896"/>
        <n v="6.7588502710455902"/>
        <n v="6.0883594463766997"/>
        <n v="5.5694978613505004"/>
        <n v="7.16940899795389"/>
        <n v="6.9507552895267404"/>
        <n v="5.8246222118739501"/>
        <n v="7.0624407493066998"/>
        <n v="7.5371045711150897"/>
        <n v="7.3865286800665002"/>
        <n v="7.7339598417955999"/>
        <n v="8.3037786721771205"/>
        <n v="7.4547947926765596"/>
        <n v="8.4739903771293896"/>
        <n v="7.7784905709105399"/>
        <n v="8.7220678100277702"/>
        <n v="7.9999947290906004"/>
        <n v="7.0431539917139201"/>
        <n v="6.7381181041835001"/>
        <n v="8.7341472799530298"/>
        <n v="8.4007118685059208"/>
        <n v="7.2259086797024796"/>
        <n v="8.6344472048889607"/>
        <n v="7.9786656793157498"/>
        <n v="7.9148727027220502"/>
        <n v="6.1632245084389599"/>
        <n v="6.8459821637074096"/>
        <n v="7.8221510907724801"/>
        <n v="7.7582624409060301"/>
        <n v="5.5568652326861896"/>
        <n v="6.9777793736230702"/>
        <n v="7.9144045080398397"/>
        <n v="8.2202924013410499"/>
        <n v="6.3631961088807198"/>
        <n v="6.8531565629364604"/>
        <n v="8.3015461415248009"/>
        <n v="7.5887235479562998"/>
        <n v="7.57405602760823"/>
        <n v="7.6357633359912596"/>
        <n v="7.0865607870853999"/>
        <n v="7.7633111563181298"/>
        <n v="7.65749679468761"/>
        <n v="8.4443681112838096"/>
        <n v="6.4800442167049903"/>
        <n v="7.6602455633364803"/>
        <n v="7.0427935541429996"/>
        <n v="7.5728255503474804"/>
        <n v="8.6763244952842609"/>
        <n v="6.9309105561650997"/>
        <n v="6.3143061358953601"/>
        <n v="7.2393093482867599"/>
        <n v="7.88138365603435"/>
        <n v="8.3326886870172192"/>
        <n v="7.4285763710431203"/>
        <n v="7.2710648904251798"/>
        <n v="8.0054457724820001"/>
        <n v="7.1045749115322696"/>
        <n v="8.2000499772506608"/>
        <n v="7.4006106293640901"/>
        <n v="8.1271280012788907"/>
        <n v="7.9037647494028702"/>
        <n v="8.2585208293364705"/>
        <n v="6.0125232017741101"/>
        <n v="7.9900541976765904"/>
        <n v="7.5436942734297396"/>
        <n v="7.3586082837578104"/>
        <n v="7.9786198589633903"/>
        <n v="7.1802936449206296"/>
        <n v="8.2487066339197899"/>
        <n v="8.1959361149866403"/>
        <n v="8.9941816558319694"/>
        <n v="8.7793130630890808"/>
        <n v="6.7297411376070597"/>
        <n v="8.5447222592537493"/>
        <n v="7.1723954640720899"/>
        <n v="7.8867395541598704"/>
        <n v="8.5375134086625497"/>
        <n v="9.3309553581647702"/>
        <n v="7.3664596041143797"/>
        <n v="7.1333192221313002"/>
        <n v="7.4063711530969503"/>
        <n v="6.7757693263306997"/>
        <n v="8.1746781627929401"/>
        <n v="7.6719132970302102"/>
        <n v="7.5727979675335302"/>
        <n v="8.1835651337676101"/>
        <n v="7.1708715850583999"/>
        <n v="8.3758740100603006"/>
        <n v="8.1277962982171896"/>
        <n v="6.74322553245071"/>
        <n v="8.1889164669315999"/>
        <n v="7.7030829299207397"/>
        <n v="8.5007774787050607"/>
        <n v="8.1823635532877397"/>
        <n v="7.2450991257615698"/>
        <n v="6.9470827936876702"/>
        <n v="8.6739414724474404"/>
        <n v="7.4162975902760397"/>
        <n v="8.1978680143485398"/>
        <n v="6.04550473676795"/>
        <n v="9.1605933772809092"/>
        <n v="7.6690821563321396"/>
        <n v="6.4740906724532596"/>
        <n v="7.8887908456300302"/>
        <n v="7.0737539151129702"/>
        <n v="6.9729814103021797"/>
        <n v="8.4097967295432401"/>
        <n v="7.5482062427683303"/>
        <n v="7.0269385161551501"/>
        <n v="6.8509452794836703"/>
        <n v="7.6912160422250304"/>
        <n v="6.5640583282024503"/>
        <n v="7.8074059426733902"/>
        <n v="6.5307814984802199"/>
        <n v="8.3229556343584896"/>
        <n v="6.6792023834040402"/>
        <n v="7.2510249040272203"/>
        <n v="6.4805589593222797"/>
        <n v="8.8494881896486799"/>
        <n v="6.9742467394806003"/>
        <n v="7.2222928944996703"/>
        <n v="6.5672582912400896"/>
        <n v="6.92996798507225"/>
        <n v="8.7121864799582909"/>
        <n v="6.5180951946529797"/>
        <n v="7.4741851106457302"/>
        <n v="8.3701303849411701"/>
        <n v="8.1995495987158495"/>
        <n v="7.4195794942881097"/>
        <n v="8.3586051134698902"/>
        <n v="8.0912585233839494"/>
        <n v="6.4785248962047"/>
        <n v="7.7798541560955501"/>
        <n v="6.2942959337990798"/>
        <n v="7.7323532254613303"/>
        <n v="8.5379808755253102"/>
        <n v="7.3876839424581"/>
        <n v="8.9333530465672109"/>
        <n v="6.6727723169716198"/>
        <n v="7.9894204012851402"/>
        <n v="6.7230795419380396"/>
        <n v="6.9179645107963701"/>
        <n v="7.7499649938192201"/>
        <n v="8.1668646249772898"/>
        <n v="7.2664990720854599"/>
        <n v="7.1534576519562298"/>
        <n v="5.8448325468340299"/>
        <n v="7.3599197257596103"/>
        <n v="7.2893933603937198"/>
        <n v="8.3134663553792798"/>
        <n v="7.2238907036695696"/>
        <n v="6.8159870005424903"/>
        <n v="6.8011369246760998"/>
        <n v="8.1643638576610797"/>
        <n v="7.4773557918303197"/>
        <n v="6.88800635075747"/>
        <n v="7.7276121963600497"/>
        <n v="6.9100089934657101"/>
        <n v="8.3199243216025298"/>
        <n v="6.8331974525844297"/>
        <n v="7.3135433993196299"/>
        <n v="6.8336266713094203"/>
        <n v="9.0311122466047493"/>
        <n v="6.4665117270461296"/>
        <n v="8.0314039910271298"/>
        <n v="7.6550483100312698"/>
        <n v="7.2017236338159201"/>
        <n v="7.1209634643111297"/>
        <n v="6.9140897715346403"/>
        <n v="8.1108465687420903"/>
        <n v="6.3840302291895803"/>
        <n v="7.5397199890894804"/>
        <n v="7.9138246688515999"/>
        <n v="7.0565600668361697"/>
        <n v="8.4117700954867107"/>
        <n v="8.1794476676785592"/>
        <n v="5.9512856645685197"/>
        <n v="6.6410634883658703"/>
        <n v="8.1204681484142007"/>
        <n v="8.3736135241198895"/>
        <n v="6.2970064212285797"/>
        <n v="6.9130147737776602"/>
        <n v="7.5478871750831296"/>
        <n v="7.2220912833112596"/>
        <n v="6.2421978962646403"/>
        <n v="6.1258589791267601"/>
        <n v="7.3721501185168501"/>
        <n v="6.8239150306295198"/>
        <n v="6.7486219799159297"/>
        <n v="7.5263518662894002"/>
        <n v="6.3747111148562796"/>
        <n v="7.2729218872971204"/>
        <n v="7.1773686097343896"/>
        <n v="9.0947306673902197"/>
        <n v="6.6158565645562399"/>
        <n v="7.8648140405689801"/>
        <n v="5"/>
        <n v="7.23587654940824"/>
        <n v="7.3968215114763698"/>
        <n v="7.3997820539774599"/>
        <n v="7.5353436397055704"/>
        <n v="6.2886242126757601"/>
        <n v="8.5125136849271499"/>
        <n v="8.0364969562693105"/>
        <n v="8.1991870861269494"/>
        <n v="7.1202031572969897"/>
        <n v="8.5941575370473497"/>
        <n v="7.6315469308306803"/>
        <n v="7.6762960955952897"/>
        <n v="6.7980352439748701"/>
        <n v="8.8464762073186307"/>
        <n v="8.1096296938322006"/>
      </sharedItems>
      <fieldGroup base="14">
        <rangePr startNum="5" endNum="9.86055338550198"/>
        <groupItems count="7">
          <s v="&lt;5"/>
          <s v="5-6"/>
          <s v="6-7"/>
          <s v="7-8"/>
          <s v="8-9"/>
          <s v="9-10"/>
          <s v="&gt;10"/>
        </groupItems>
      </fieldGroup>
    </cacheField>
    <cacheField name="Stress_Level_Score" numFmtId="2">
      <sharedItems containsSemiMixedTypes="0" containsString="0" containsNumber="1" minValue="21.561185943923601" maxValue="87.065007174630793"/>
    </cacheField>
    <cacheField name="Nutrition_Quality_Score" numFmtId="2">
      <sharedItems containsSemiMixedTypes="0" containsString="0" containsNumber="1" minValue="50" maxValue="100"/>
    </cacheField>
    <cacheField name="Nutrition grade" numFmtId="2">
      <sharedItems count="3">
        <s v="Good Nutrition"/>
        <s v="Average Nutrition"/>
        <s v="Poor Nutrition"/>
      </sharedItems>
    </cacheField>
    <cacheField name="Warmup_Routine_Adherence" numFmtId="0">
      <sharedItems containsSemiMixedTypes="0" containsString="0" containsNumber="1" containsInteger="1" minValue="0" maxValue="1"/>
    </cacheField>
    <cacheField name="Routine_Status" numFmtId="0">
      <sharedItems count="2">
        <s v="Adherent"/>
        <s v="Non-Adherent"/>
      </sharedItems>
    </cacheField>
    <cacheField name="Injury_Next_Season" numFmtId="0">
      <sharedItems containsSemiMixedTypes="0" containsString="0" containsNumber="1" containsInteger="1" minValue="0" maxValue="1"/>
    </cacheField>
    <cacheField name="Injury_Status" numFmtId="0">
      <sharedItems count="2">
        <s v="No Injury"/>
        <s v="Injury"/>
      </sharedItems>
    </cacheField>
    <cacheField name="BMI" numFmtId="2">
      <sharedItems containsSemiMixedTypes="0" containsString="0" containsNumber="1" minValue="14.3463264247123" maxValue="36.262438859841403" count="538">
        <n v="21.383941996057299"/>
        <n v="23.183391003460201"/>
        <n v="21.678806798473801"/>
        <n v="20.957274202271499"/>
        <n v="31.773931855056698"/>
        <n v="24.915315920606901"/>
        <n v="19.876263262506601"/>
        <n v="22.152646502835498"/>
        <n v="23.450918219051299"/>
        <n v="22.205989773557299"/>
        <n v="19.5682363337962"/>
        <n v="22.9176097781801"/>
        <n v="21.4995968825584"/>
        <n v="19.130700948882701"/>
        <n v="25.0297609963065"/>
        <n v="22.7903289734443"/>
        <n v="26.5731292517006"/>
        <n v="22.8623685413808"/>
        <n v="21.0076677987465"/>
        <n v="22.308149910767401"/>
        <n v="17.921146953405"/>
        <n v="26.4489795918367"/>
        <n v="22.024322512687899"/>
        <n v="24.6181037747759"/>
        <n v="27.414453692693801"/>
        <n v="24.6229609110495"/>
        <n v="25.393431120317999"/>
        <n v="20.661157024793301"/>
        <n v="23.095409007209501"/>
        <n v="28.0750429383009"/>
        <n v="22.783308885490399"/>
        <n v="21.138855859426599"/>
        <n v="23.306680053067499"/>
        <n v="20.371208691715701"/>
        <n v="20.0154958677685"/>
        <n v="22.471208763771401"/>
        <n v="14.7415886229621"/>
        <n v="24.2122933884297"/>
        <n v="27.681660899653899"/>
        <n v="23.054562464499298"/>
        <n v="25.1428571428571"/>
        <n v="19.607156612163401"/>
        <n v="21.276000111978899"/>
        <n v="26.794938016528899"/>
        <n v="23.597004206422401"/>
        <n v="21.296296296296202"/>
        <n v="30.8112461048282"/>
        <n v="25.436466643542602"/>
        <n v="20.307412205454899"/>
        <n v="23.671253629592201"/>
        <n v="22.944088878154801"/>
        <n v="20.9711720226843"/>
        <n v="24.3823729785937"/>
        <n v="15.292905964233301"/>
        <n v="22.893074081987699"/>
        <n v="21.633315305570498"/>
        <n v="24.163265306122401"/>
        <n v="21.3294375456537"/>
        <n v="28.384802161348698"/>
        <n v="21.366869143188499"/>
        <n v="22.694018931589401"/>
        <n v="27.053802773967298"/>
        <n v="20.3815697149921"/>
        <n v="21.200991370300599"/>
        <n v="24.9307479224376"/>
        <n v="26.989619377162601"/>
        <n v="21.461936624163599"/>
        <n v="24.85907356185"/>
        <n v="25.0593070266296"/>
        <n v="20.451146179908999"/>
        <n v="28.0889910306744"/>
        <n v="19.470777873535699"/>
        <n v="25.102391333069001"/>
        <n v="23.1206235962478"/>
        <n v="20.156210632401098"/>
        <n v="28.010223731661998"/>
        <n v="20.8979591836734"/>
        <n v="28.344671201813998"/>
        <n v="28.668892437218702"/>
        <n v="26.027582477014601"/>
        <n v="19.321338002656599"/>
        <n v="22.395789591556699"/>
        <n v="25.963047941069899"/>
        <n v="22.282592106468002"/>
        <n v="23.356331713603002"/>
        <n v="29.061224489795901"/>
        <n v="20.9366391184573"/>
        <n v="27.732299776136799"/>
        <n v="22.790357925493002"/>
        <n v="21.799445105033598"/>
        <n v="18.61970025335"/>
        <n v="19.9445022545959"/>
        <n v="27.636054421768701"/>
        <n v="21.913580246913501"/>
        <n v="23.620287912157998"/>
        <n v="22.498173849525099"/>
        <n v="29.7370443382672"/>
        <n v="19.6675900277008"/>
        <n v="24.913494809688501"/>
        <n v="20.4361580022955"/>
        <n v="26.296566837107299"/>
        <n v="25.592209980961801"/>
        <n v="20.160701241782299"/>
        <n v="21.477086633198201"/>
        <n v="27.217302946726601"/>
        <n v="29.0697674418604"/>
        <n v="23.183673469387699"/>
        <n v="19.605191995673302"/>
        <n v="21.718066089745701"/>
        <n v="18.415650283782099"/>
        <n v="17.043302613306398"/>
        <n v="25.854639471416199"/>
        <n v="24.879178701135199"/>
        <n v="32.596371882086103"/>
        <n v="27.450604870886298"/>
        <n v="16.654492330168001"/>
        <n v="29.340039628105401"/>
        <n v="18.513198633853602"/>
        <n v="28.710479324953599"/>
        <n v="28.408184110568399"/>
        <n v="20.305174833527399"/>
        <n v="24.031709372366599"/>
        <n v="28.981143437840998"/>
        <n v="23.566632231404899"/>
        <n v="18.407596785975102"/>
        <n v="28.7317468902109"/>
        <n v="20.528921627822701"/>
        <n v="26.927437641723301"/>
        <n v="28.409090909090899"/>
        <n v="25.7959183673469"/>
        <n v="25.746944318696201"/>
        <n v="22.096807907073899"/>
        <n v="22.98190175237"/>
        <n v="26.078971533516899"/>
        <n v="26.491508201480599"/>
        <n v="24.4897959183673"/>
        <n v="23.040020199469701"/>
        <n v="22.5981404958677"/>
        <n v="20.675803402646501"/>
        <n v="19.868517165814399"/>
        <n v="22.351742870076901"/>
        <n v="26.309016557522298"/>
        <n v="22.159108642052299"/>
        <n v="24.8981439565414"/>
        <n v="25.9909031838856"/>
        <n v="21.306818181818102"/>
        <n v="27.166447910625401"/>
        <n v="30.486657382663999"/>
        <n v="22.985397512168699"/>
        <n v="22.1453287197231"/>
        <n v="26.8786781349026"/>
        <n v="20.589665131974002"/>
        <n v="21.9671201814059"/>
        <n v="27.9903628117913"/>
        <n v="20.452885317750098"/>
        <n v="28.734693877550999"/>
        <n v="23.6669101533966"/>
        <n v="19.840664204389299"/>
        <n v="28.360351528307799"/>
        <n v="25.5354463915222"/>
        <n v="30.071168431955599"/>
        <n v="28.726787729557799"/>
        <n v="27.7574872169466"/>
        <n v="30.859607376561499"/>
        <n v="22.5914381309159"/>
        <n v="20.147971991015901"/>
        <n v="25.4326859558726"/>
        <n v="26.2975778546712"/>
        <n v="20.808561236623"/>
        <n v="24.858365128916599"/>
        <n v="23.888440980620398"/>
        <n v="26.493025631204301"/>
        <n v="23.719609250647601"/>
        <n v="24.3374797187669"/>
        <n v="22.058051188683802"/>
        <n v="28.721121070571801"/>
        <n v="18.005540166204899"/>
        <n v="29.961611685028501"/>
        <n v="23.924858223062301"/>
        <n v="15.389350569405901"/>
        <n v="20.2335530119088"/>
        <n v="23.355636914530901"/>
        <n v="21.672110130948301"/>
        <n v="17.708576965484902"/>
        <n v="18.699780861943001"/>
        <n v="23.6652443615762"/>
        <n v="24.772096710265501"/>
        <n v="23.629489603024499"/>
        <n v="21.385936352899801"/>
        <n v="27.281746031746"/>
        <n v="19.576333089846599"/>
        <n v="17.426748582230601"/>
        <n v="22.587833094227801"/>
        <n v="19.1358024691358"/>
        <n v="26.6435986159169"/>
        <n v="16.5168948237731"/>
        <n v="29.0367377856331"/>
        <n v="15.570887809068701"/>
        <n v="24.508945765204299"/>
        <n v="26.171874999999901"/>
        <n v="27.131411790992299"/>
        <n v="31.3535787870644"/>
        <n v="20.1771485243322"/>
        <n v="26.543209876543202"/>
        <n v="22.839506172839499"/>
        <n v="20.598608033457101"/>
        <n v="18.938775510204"/>
        <n v="25.458065904119898"/>
        <n v="30.470521541950099"/>
        <n v="22.758306781975399"/>
        <n v="14.863258026159301"/>
        <n v="26.264943847361401"/>
        <n v="27.717685235262302"/>
        <n v="23.030045351473898"/>
        <n v="21.5029425079221"/>
        <n v="26.892323138154801"/>
        <n v="18.873859704309499"/>
        <n v="20.910708155176099"/>
        <n v="25.7629805786761"/>
        <n v="19.157088122605298"/>
        <n v="21.7051294327938"/>
        <n v="19.031141868512101"/>
        <n v="23.991212856977601"/>
        <n v="23.808797045267202"/>
        <n v="20.8308175341142"/>
        <n v="19.835162956123199"/>
        <n v="23.986870344653401"/>
        <n v="22.835009827725699"/>
        <n v="23.456790123456699"/>
        <n v="20.603780345785101"/>
        <n v="20.370370370370299"/>
        <n v="23.999459167117301"/>
        <n v="17.0934953145508"/>
        <n v="24.382716049382701"/>
        <n v="20.085066162570801"/>
        <n v="24.453568409612298"/>
        <n v="25.970115548195199"/>
        <n v="18.812147272238601"/>
        <n v="19.038107424861799"/>
        <n v="25.648917615676599"/>
        <n v="30.487804878048699"/>
        <n v="25.351541373715499"/>
        <n v="20.6716958844532"/>
        <n v="27.335640138408301"/>
        <n v="22.662708672475901"/>
        <n v="22.530612244897899"/>
        <n v="22.0385674931129"/>
        <n v="28.735632183907999"/>
        <n v="21.733535417083701"/>
        <n v="20.515086478979899"/>
        <n v="22.6473769605192"/>
        <n v="20.519134092541201"/>
        <n v="24.114038033027001"/>
        <n v="28.395061728395"/>
        <n v="27.3981756824484"/>
        <n v="24.691358024691301"/>
        <n v="17.916330735465301"/>
        <n v="26.173832551310198"/>
        <n v="22.2222222222222"/>
        <n v="23.301094832263999"/>
        <n v="15"/>
        <n v="17.5418741511996"/>
        <n v="20.996052742084402"/>
        <n v="28.6989795918367"/>
        <n v="20.202020202020201"/>
        <n v="14.356605599076101"/>
        <n v="21.0498179023689"/>
        <n v="19.110752784496398"/>
        <n v="23.038752362948902"/>
        <n v="16.727685898245099"/>
        <n v="22.751569310051799"/>
        <n v="21.6296487603305"/>
        <n v="21.534908398614199"/>
        <n v="28.719723183391"/>
        <n v="25.402816083611501"/>
        <n v="19.9251298152397"/>
        <n v="26.528510346118999"/>
        <n v="26.5831758034026"/>
        <n v="29.402920244578802"/>
        <n v="19.252619618735"/>
        <n v="25.727555214006401"/>
        <n v="17.990152758490002"/>
        <n v="25.7551580302903"/>
        <n v="36.262438859841403"/>
        <n v="26.446280991735499"/>
        <n v="25.909456951787401"/>
        <n v="15.4603313664356"/>
        <n v="28.055705786911801"/>
        <n v="19.198960302457401"/>
        <n v="24.835646457267998"/>
        <n v="16.014183991535301"/>
        <n v="16.6666666666666"/>
        <n v="18.4013429752066"/>
        <n v="30.083829096809001"/>
        <n v="17.319119710949799"/>
        <n v="29.700413223140401"/>
        <n v="27.064051588760002"/>
        <n v="23.082542001460901"/>
        <n v="26.365603028664101"/>
        <n v="18.7924508040484"/>
        <n v="27.143037495265698"/>
        <n v="26.423569824283199"/>
        <n v="20.1994697639186"/>
        <n v="18.836565096952899"/>
        <n v="18.612244897959101"/>
        <n v="22.340297065571701"/>
        <n v="21.9138056975894"/>
        <n v="16.2629757785467"/>
        <n v="19.0470041322314"/>
        <n v="24.755464315903801"/>
        <n v="19.1515847936416"/>
        <n v="17.236426314277502"/>
        <n v="14.3463264247123"/>
        <n v="34.577632361689403"/>
        <n v="25.359256128486798"/>
        <n v="18.210197710717999"/>
        <n v="25"/>
        <n v="27.1020408163265"/>
        <n v="23.1404958677685"/>
        <n v="19.369834710743799"/>
        <n v="23.2459847844463"/>
        <n v="27.293224160436601"/>
        <n v="27.4405991735537"/>
        <n v="18.913955209561099"/>
        <n v="25.344352617079799"/>
        <n v="25.8264462809917"/>
        <n v="21.222808276895201"/>
        <n v="23.889462809917301"/>
        <n v="18.0159569904772"/>
        <n v="17.4406497292794"/>
        <n v="24.515595463137899"/>
        <n v="28.305995064595699"/>
        <n v="23.939480992052001"/>
        <n v="20.109164033323701"/>
        <n v="24.6755002704164"/>
        <n v="32.446723281525301"/>
        <n v="24.343809494085701"/>
        <n v="22.634676324128499"/>
        <n v="21.3809928455908"/>
        <n v="29.053287981859398"/>
        <n v="30.668904958677601"/>
        <n v="20.756387167668802"/>
        <n v="25.6611520347784"/>
        <n v="21.469150482230098"/>
        <n v="17.040328778108101"/>
        <n v="18.991964937910801"/>
        <n v="26.609712545078899"/>
        <n v="29.752066115702402"/>
        <n v="23.3341209829867"/>
        <n v="23.407509128928499"/>
        <n v="22.6757369614512"/>
        <n v="29.407787993509999"/>
        <n v="19.753086419753"/>
        <n v="18.017485822306199"/>
        <n v="17.5310445580715"/>
        <n v="25.0135208220659"/>
        <n v="28.060018903591601"/>
        <n v="21.777553339224799"/>
        <n v="21.066743273005802"/>
        <n v="30.323342589932601"/>
        <n v="26.216410224399901"/>
        <n v="22.920971074380098"/>
        <n v="29.0005948839976"/>
        <n v="25.280109859242799"/>
        <n v="23.413111342351701"/>
        <n v="25.765713456234501"/>
        <n v="27.099251006812398"/>
        <n v="21.5510204081632"/>
        <n v="19.3905817174515"/>
        <n v="24.816326530612201"/>
        <n v="28.326580372189699"/>
        <n v="27.660095935016201"/>
        <n v="21.8572778827977"/>
        <n v="25.503615702479301"/>
        <n v="23.3886865581877"/>
        <n v="25.689561925364998"/>
        <n v="18.518518518518501"/>
        <n v="27.688778133776299"/>
        <n v="26.234567901234499"/>
        <n v="18.903591682419599"/>
        <n v="30.7173999207292"/>
        <n v="18.710949246550101"/>
        <n v="32.830614548066002"/>
        <n v="30.367346938775501"/>
        <n v="21.604938271604901"/>
        <n v="23.148148148148099"/>
        <n v="25.816630212628599"/>
        <n v="23.722810651876099"/>
        <n v="19.692665289256102"/>
        <n v="20.047445621303702"/>
        <n v="21.155294202015099"/>
        <n v="20.4032323015382"/>
        <n v="22.857142857142801"/>
        <n v="24.9337204898371"/>
        <n v="18.0092182778303"/>
        <n v="26.674874320303601"/>
        <n v="27.141582391433602"/>
        <n v="27.968016063680999"/>
        <n v="24.074074074074002"/>
        <n v="22.204081632653001"/>
        <n v="18.413907181423799"/>
        <n v="17.823228634039399"/>
        <n v="23.2912299561049"/>
        <n v="16.0047743055555"/>
        <n v="24.111507464658398"/>
        <n v="24.767565919829199"/>
        <n v="16.9132057236435"/>
        <n v="27.469135802469101"/>
        <n v="26.827420780204498"/>
        <n v="30.6938775510204"/>
        <n v="24.740937287102401"/>
        <n v="18.726007303142801"/>
        <n v="17.703977290070501"/>
        <n v="25.559329155141601"/>
        <n v="17.398736302310599"/>
        <n v="18.621386188612501"/>
        <n v="19.019442096365101"/>
        <n v="21.0616281554287"/>
        <n v="17.343045438779001"/>
        <n v="20.380434782608599"/>
        <n v="21.977351118708199"/>
        <n v="17.4440218479224"/>
        <n v="26.303618915481501"/>
        <n v="22.038401159280198"/>
        <n v="25.945483959585999"/>
        <n v="19.8838530488574"/>
        <n v="24.092970521541901"/>
        <n v="27.471688898385199"/>
        <n v="18.206645425580302"/>
        <n v="24.447278911564599"/>
        <n v="23.510204081632601"/>
        <n v="20.796729893506399"/>
        <n v="17.755681818181799"/>
        <n v="19.1880705024533"/>
        <n v="30.0568106751222"/>
        <n v="20.679012345678998"/>
        <n v="17.505615008587601"/>
        <n v="20.088275237664099"/>
        <n v="29.757584555087799"/>
        <n v="22.460034350640701"/>
        <n v="22.743383742911099"/>
        <n v="20.747550193111799"/>
        <n v="18.587892133032099"/>
        <n v="25.880570635020799"/>
        <n v="18.196579043139799"/>
        <n v="25.216253311628201"/>
        <n v="25.099501595611098"/>
        <n v="21.266540642722099"/>
        <n v="27.117768595041301"/>
        <n v="21.106877552698599"/>
        <n v="25.3086419753086"/>
        <n v="22.724403484408501"/>
        <n v="30.0232438016528"/>
        <n v="23.374726077428701"/>
        <n v="18.956541421457601"/>
        <n v="19.4444444444444"/>
        <n v="25.181077410593002"/>
        <n v="22.913033070004399"/>
        <n v="24.725182932941198"/>
        <n v="23.051754907792901"/>
        <n v="22.4913494809688"/>
        <n v="27.358845456721699"/>
        <n v="27.513384889946401"/>
        <n v="28.081632653061199"/>
        <n v="22.136739730004301"/>
        <n v="22.275309917355301"/>
        <n v="23.588329220496401"/>
        <n v="20.657540002100699"/>
        <n v="15.3591682419659"/>
        <n v="26.023048986244898"/>
        <n v="20.2448979591836"/>
        <n v="32.629352074294502"/>
        <n v="30.486685032139501"/>
        <n v="26.775510204081598"/>
        <n v="30.4611183081824"/>
        <n v="18.214936247723099"/>
        <n v="25.2493372048983"/>
        <n v="16.9753086419753"/>
        <n v="24.810964083175801"/>
        <n v="29.065926806711499"/>
        <n v="18.3019245617546"/>
        <n v="26.5926696727945"/>
        <n v="27.776929886145101"/>
        <n v="24.1516725033208"/>
        <n v="18.286779733945199"/>
        <n v="22.019502988361101"/>
        <n v="19.4943289224952"/>
        <n v="24.577867151840099"/>
        <n v="19.0609143869634"/>
        <n v="19.2335607490201"/>
        <n v="21.707923392038001"/>
        <n v="24.441802087462001"/>
        <n v="19.53125"/>
        <n v="31.161373901474001"/>
        <n v="29.714285714285701"/>
        <n v="19.267171444023798"/>
        <n v="26.250724947345901"/>
        <n v="16.184436517373499"/>
        <n v="20.4283571132177"/>
        <n v="22.642192971863299"/>
        <n v="21.521947071952301"/>
        <n v="25.925925925925899"/>
        <n v="26.149276859504099"/>
        <n v="22.093170054285999"/>
        <n v="33.672765629437301"/>
        <n v="21.847008520333301"/>
        <n v="25.864512471655299"/>
        <n v="18.1077410593028"/>
        <n v="25.904310102680899"/>
        <n v="16.362308254200101"/>
        <n v="18.282548476454199"/>
        <n v="24.5674740484429"/>
        <n v="32.979591836734599"/>
        <n v="27.829313543599199"/>
        <n v="17.174515235457001"/>
        <n v="21.872422819032501"/>
        <n v="20.286507911737999"/>
        <n v="24.2802636142906"/>
        <n v="17.6177252232076"/>
        <n v="22.309356408869601"/>
        <n v="18.3657246237767"/>
        <n v="24.391058839252899"/>
        <n v="23.2438016528925"/>
        <n v="23.836734693877499"/>
        <n v="34.6626518679318"/>
        <n v="23.1633732734707"/>
        <n v="31.992171327486901"/>
        <n v="27.084159069890301"/>
        <n v="21.146319909102299"/>
        <n v="21.037253469685901"/>
        <n v="26.861206922865598"/>
        <n v="30.7598702001081"/>
        <n v="33.425160697887897"/>
        <n v="15.002074755019301"/>
        <n v="17.269263452207898"/>
        <n v="20.145905192149201"/>
        <n v="24.3322770484382"/>
        <n v="21.100705283847802"/>
      </sharedItems>
      <fieldGroup base="22">
        <rangePr startNum="14.3463264247123" endNum="36.262438859841403" groupInterval="3"/>
        <groupItems count="10">
          <s v="&lt;14.3463264247123"/>
          <s v="14.3463264247123-17.3463264247123"/>
          <s v="17.3463264247123-20.3463264247123"/>
          <s v="20.3463264247123-23.3463264247123"/>
          <s v="23.3463264247123-26.3463264247123"/>
          <s v="26.3463264247123-29.3463264247123"/>
          <s v="29.3463264247123-32.3463264247123"/>
          <s v="32.3463264247123-35.3463264247123"/>
          <s v="35.3463264247123-38.3463264247123"/>
          <s v="&gt;38.3463264247123"/>
        </groupItems>
      </fieldGroup>
    </cacheField>
  </cacheFields>
  <extLst>
    <ext xmlns:x14="http://schemas.microsoft.com/office/spreadsheetml/2009/9/main" uri="{725AE2AE-9491-48be-B2B4-4EB974FC3084}">
      <x14:pivotCacheDefinition pivotCacheId="2406938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x v="0"/>
    <x v="0"/>
    <n v="173"/>
    <n v="64"/>
    <x v="0"/>
    <x v="0"/>
    <n v="36"/>
    <n v="1"/>
    <n v="77.460279010038505"/>
    <n v="79.115738177839503"/>
    <n v="284.48785262294302"/>
    <n v="91.212476285626707"/>
    <x v="0"/>
    <n v="77.599705086405194"/>
    <x v="0"/>
    <n v="46.616415208512102"/>
    <n v="81.472206064713504"/>
    <x v="0"/>
    <n v="1"/>
    <x v="0"/>
    <n v="0"/>
    <x v="0"/>
    <x v="0"/>
  </r>
  <r>
    <x v="1"/>
    <x v="1"/>
    <n v="170"/>
    <n v="67"/>
    <x v="0"/>
    <x v="1"/>
    <n v="37"/>
    <n v="2"/>
    <n v="72.634442260600906"/>
    <n v="82.541687947786599"/>
    <n v="250.57924940551601"/>
    <n v="87.294078241387595"/>
    <x v="1"/>
    <n v="94.418986937468503"/>
    <x v="1"/>
    <n v="49.368036742293498"/>
    <n v="81.056676890143507"/>
    <x v="0"/>
    <n v="1"/>
    <x v="0"/>
    <n v="0"/>
    <x v="0"/>
    <x v="1"/>
  </r>
  <r>
    <x v="0"/>
    <x v="0"/>
    <n v="186"/>
    <n v="75"/>
    <x v="1"/>
    <x v="2"/>
    <n v="12"/>
    <n v="2"/>
    <n v="77.064489784147796"/>
    <n v="75.943630535565703"/>
    <n v="269.11991825792597"/>
    <n v="83.440688470033294"/>
    <x v="2"/>
    <n v="70.1791762962945"/>
    <x v="2"/>
    <n v="43.132808041337199"/>
    <n v="64.877456880321105"/>
    <x v="1"/>
    <n v="0"/>
    <x v="1"/>
    <n v="1"/>
    <x v="1"/>
    <x v="2"/>
  </r>
  <r>
    <x v="2"/>
    <x v="2"/>
    <n v="172"/>
    <n v="62"/>
    <x v="2"/>
    <x v="3"/>
    <n v="11"/>
    <n v="1"/>
    <n v="82.810231613515498"/>
    <n v="73.878324442628099"/>
    <n v="226.376411845321"/>
    <n v="87.591893607081502"/>
    <x v="3"/>
    <n v="83.473824124544706"/>
    <x v="3"/>
    <n v="51.528529395795601"/>
    <n v="89.824743939365902"/>
    <x v="0"/>
    <n v="1"/>
    <x v="0"/>
    <n v="0"/>
    <x v="0"/>
    <x v="3"/>
  </r>
  <r>
    <x v="1"/>
    <x v="1"/>
    <n v="172"/>
    <n v="94"/>
    <x v="0"/>
    <x v="4"/>
    <n v="10"/>
    <n v="2"/>
    <n v="76.772859134508593"/>
    <n v="76.653042625272093"/>
    <n v="229.02104237848599"/>
    <n v="83.125161410286594"/>
    <x v="4"/>
    <n v="87.0372558304188"/>
    <x v="4"/>
    <n v="52.379718098727501"/>
    <n v="71.569196845230607"/>
    <x v="1"/>
    <n v="0"/>
    <x v="1"/>
    <n v="1"/>
    <x v="1"/>
    <x v="4"/>
  </r>
  <r>
    <x v="3"/>
    <x v="3"/>
    <n v="189"/>
    <n v="89"/>
    <x v="3"/>
    <x v="5"/>
    <n v="31"/>
    <n v="2"/>
    <n v="78.450720132638907"/>
    <n v="80.927983773225506"/>
    <n v="265.80162314087198"/>
    <n v="81.106338859813206"/>
    <x v="5"/>
    <n v="86.418954281388807"/>
    <x v="5"/>
    <n v="39.929697065494999"/>
    <n v="74.982475762831697"/>
    <x v="1"/>
    <n v="1"/>
    <x v="0"/>
    <n v="0"/>
    <x v="0"/>
    <x v="5"/>
  </r>
  <r>
    <x v="0"/>
    <x v="0"/>
    <n v="189"/>
    <n v="71"/>
    <x v="0"/>
    <x v="6"/>
    <n v="5"/>
    <n v="4"/>
    <n v="63.045009439922197"/>
    <n v="75.032029899406297"/>
    <n v="269.099907386665"/>
    <n v="76.787368826264"/>
    <x v="6"/>
    <n v="65.179994521770396"/>
    <x v="6"/>
    <n v="75.039112208657798"/>
    <n v="65.790191596277893"/>
    <x v="1"/>
    <n v="0"/>
    <x v="1"/>
    <n v="1"/>
    <x v="1"/>
    <x v="6"/>
  </r>
  <r>
    <x v="3"/>
    <x v="3"/>
    <n v="184"/>
    <n v="75"/>
    <x v="3"/>
    <x v="7"/>
    <n v="26"/>
    <n v="0"/>
    <n v="77.566677371043099"/>
    <n v="76.9472131502813"/>
    <n v="226.96643119773"/>
    <n v="93.317382345596698"/>
    <x v="7"/>
    <n v="79.260416808803996"/>
    <x v="7"/>
    <n v="25.783370953475"/>
    <n v="89.782578445675995"/>
    <x v="0"/>
    <n v="0"/>
    <x v="1"/>
    <n v="0"/>
    <x v="0"/>
    <x v="7"/>
  </r>
  <r>
    <x v="0"/>
    <x v="0"/>
    <n v="174"/>
    <n v="71"/>
    <x v="0"/>
    <x v="8"/>
    <n v="23"/>
    <n v="0"/>
    <n v="78.877904576825401"/>
    <n v="89.584501314210698"/>
    <n v="240.74505444451901"/>
    <n v="80.898574611393798"/>
    <x v="8"/>
    <n v="77.152290278632194"/>
    <x v="8"/>
    <n v="52.581600212718598"/>
    <n v="78.587201059790004"/>
    <x v="1"/>
    <n v="1"/>
    <x v="0"/>
    <n v="0"/>
    <x v="0"/>
    <x v="8"/>
  </r>
  <r>
    <x v="3"/>
    <x v="3"/>
    <n v="185"/>
    <n v="76"/>
    <x v="0"/>
    <x v="9"/>
    <n v="22"/>
    <n v="0"/>
    <n v="83.194761398675496"/>
    <n v="82.244363993279194"/>
    <n v="259.62816144592898"/>
    <n v="89.077577028617299"/>
    <x v="9"/>
    <n v="90.396479616578105"/>
    <x v="9"/>
    <n v="55.049721939951098"/>
    <n v="83.947948935827"/>
    <x v="0"/>
    <n v="1"/>
    <x v="0"/>
    <n v="0"/>
    <x v="0"/>
    <x v="9"/>
  </r>
  <r>
    <x v="1"/>
    <x v="1"/>
    <n v="178"/>
    <n v="62"/>
    <x v="1"/>
    <x v="10"/>
    <n v="29"/>
    <n v="4"/>
    <n v="78.714829833067498"/>
    <n v="74.726305717489694"/>
    <n v="264.04754574334902"/>
    <n v="74.261621932457501"/>
    <x v="10"/>
    <n v="80.813246791005696"/>
    <x v="10"/>
    <n v="77.7288531752626"/>
    <n v="63.488951492664"/>
    <x v="1"/>
    <n v="1"/>
    <x v="0"/>
    <n v="1"/>
    <x v="1"/>
    <x v="10"/>
  </r>
  <r>
    <x v="4"/>
    <x v="4"/>
    <n v="188"/>
    <n v="81"/>
    <x v="2"/>
    <x v="11"/>
    <n v="16"/>
    <n v="1"/>
    <n v="67.936757957387599"/>
    <n v="76.301272701324706"/>
    <n v="269.81123204269397"/>
    <n v="74.462333502943395"/>
    <x v="11"/>
    <n v="74.857101372821504"/>
    <x v="11"/>
    <n v="60.335046063987797"/>
    <n v="59.963239176885999"/>
    <x v="2"/>
    <n v="0"/>
    <x v="1"/>
    <n v="1"/>
    <x v="1"/>
    <x v="11"/>
  </r>
  <r>
    <x v="1"/>
    <x v="1"/>
    <n v="183"/>
    <n v="72"/>
    <x v="0"/>
    <x v="12"/>
    <n v="12"/>
    <n v="2"/>
    <n v="79.477854721930797"/>
    <n v="80.691881249397497"/>
    <n v="259.18983004770899"/>
    <n v="88.796646318203301"/>
    <x v="12"/>
    <n v="79.846485684462095"/>
    <x v="12"/>
    <n v="43.653777253489501"/>
    <n v="75.520237797554699"/>
    <x v="1"/>
    <n v="1"/>
    <x v="0"/>
    <n v="0"/>
    <x v="0"/>
    <x v="12"/>
  </r>
  <r>
    <x v="4"/>
    <x v="4"/>
    <n v="198"/>
    <n v="75"/>
    <x v="2"/>
    <x v="13"/>
    <n v="28"/>
    <n v="2"/>
    <n v="72.172302792465402"/>
    <n v="75.804658382958195"/>
    <n v="282.08164947929902"/>
    <n v="82.108524612757705"/>
    <x v="13"/>
    <n v="71.881053777147201"/>
    <x v="13"/>
    <n v="46.226068114309598"/>
    <n v="88.220704490575898"/>
    <x v="0"/>
    <n v="1"/>
    <x v="0"/>
    <n v="1"/>
    <x v="1"/>
    <x v="13"/>
  </r>
  <r>
    <x v="5"/>
    <x v="5"/>
    <n v="181"/>
    <n v="82"/>
    <x v="2"/>
    <x v="14"/>
    <n v="20"/>
    <n v="1"/>
    <n v="74.311419706413702"/>
    <n v="69.513526800522598"/>
    <n v="276.56355262998397"/>
    <n v="79.782254087689594"/>
    <x v="14"/>
    <n v="83.618914346525202"/>
    <x v="14"/>
    <n v="47.493992172018601"/>
    <n v="77.838180319715903"/>
    <x v="1"/>
    <n v="1"/>
    <x v="0"/>
    <n v="1"/>
    <x v="1"/>
    <x v="14"/>
  </r>
  <r>
    <x v="1"/>
    <x v="1"/>
    <n v="174"/>
    <n v="69"/>
    <x v="0"/>
    <x v="15"/>
    <n v="36"/>
    <n v="2"/>
    <n v="66.709014376683896"/>
    <n v="78.570402322529702"/>
    <n v="265.14407812261197"/>
    <n v="65.586739410876604"/>
    <x v="15"/>
    <n v="76.818886564764597"/>
    <x v="15"/>
    <n v="33.381322549868699"/>
    <n v="66.087768872505293"/>
    <x v="1"/>
    <n v="0"/>
    <x v="1"/>
    <n v="1"/>
    <x v="1"/>
    <x v="15"/>
  </r>
  <r>
    <x v="1"/>
    <x v="1"/>
    <n v="168"/>
    <n v="75"/>
    <x v="3"/>
    <x v="16"/>
    <n v="30"/>
    <n v="1"/>
    <n v="69.299743451910999"/>
    <n v="86.759011865487807"/>
    <n v="221.74141206392801"/>
    <n v="83.909147857068604"/>
    <x v="16"/>
    <n v="78.751624619992"/>
    <x v="16"/>
    <n v="55.377512001951999"/>
    <n v="69.060857744026407"/>
    <x v="1"/>
    <n v="0"/>
    <x v="1"/>
    <n v="1"/>
    <x v="1"/>
    <x v="16"/>
  </r>
  <r>
    <x v="2"/>
    <x v="2"/>
    <n v="162"/>
    <n v="60"/>
    <x v="2"/>
    <x v="17"/>
    <n v="25"/>
    <n v="1"/>
    <n v="66.734752287743802"/>
    <n v="78.781087404451"/>
    <n v="269.14447530494903"/>
    <n v="78.0837697373575"/>
    <x v="17"/>
    <n v="83.659734848798806"/>
    <x v="17"/>
    <n v="54.651794339188598"/>
    <n v="65.700243020111103"/>
    <x v="1"/>
    <n v="1"/>
    <x v="0"/>
    <n v="1"/>
    <x v="1"/>
    <x v="17"/>
  </r>
  <r>
    <x v="2"/>
    <x v="2"/>
    <n v="169"/>
    <n v="60"/>
    <x v="3"/>
    <x v="18"/>
    <n v="23"/>
    <n v="1"/>
    <n v="76.266892154150199"/>
    <n v="75.758770809712203"/>
    <n v="265.321084682341"/>
    <n v="84.687990779620705"/>
    <x v="18"/>
    <n v="69.153116505155694"/>
    <x v="18"/>
    <n v="62.317566935737901"/>
    <n v="79.764971620110799"/>
    <x v="1"/>
    <n v="1"/>
    <x v="0"/>
    <n v="0"/>
    <x v="0"/>
    <x v="18"/>
  </r>
  <r>
    <x v="0"/>
    <x v="0"/>
    <n v="164"/>
    <n v="60"/>
    <x v="0"/>
    <x v="19"/>
    <n v="26"/>
    <n v="0"/>
    <n v="81.084701792280995"/>
    <n v="72.186632251939201"/>
    <n v="229.75034696887599"/>
    <n v="84.697161034980596"/>
    <x v="19"/>
    <n v="76.845292293704802"/>
    <x v="19"/>
    <n v="49.673912716412502"/>
    <n v="85.9173634865042"/>
    <x v="0"/>
    <n v="1"/>
    <x v="0"/>
    <n v="0"/>
    <x v="0"/>
    <x v="19"/>
  </r>
  <r>
    <x v="4"/>
    <x v="4"/>
    <n v="186"/>
    <n v="62"/>
    <x v="2"/>
    <x v="20"/>
    <n v="24"/>
    <n v="0"/>
    <n v="82.133043217026199"/>
    <n v="78.211800293976594"/>
    <n v="238.37377589284"/>
    <n v="90.438687333244403"/>
    <x v="20"/>
    <n v="71.521769487222102"/>
    <x v="20"/>
    <n v="45.024989448225497"/>
    <n v="68.823026764293701"/>
    <x v="1"/>
    <n v="1"/>
    <x v="0"/>
    <n v="0"/>
    <x v="0"/>
    <x v="20"/>
  </r>
  <r>
    <x v="5"/>
    <x v="5"/>
    <n v="175"/>
    <n v="81"/>
    <x v="1"/>
    <x v="21"/>
    <n v="37"/>
    <n v="0"/>
    <n v="82.540321101409106"/>
    <n v="77.862831749925903"/>
    <n v="240.17736345274"/>
    <n v="97.203753232489504"/>
    <x v="21"/>
    <n v="86.667615455211305"/>
    <x v="21"/>
    <n v="49.959157727204001"/>
    <n v="81.816653327103197"/>
    <x v="0"/>
    <n v="1"/>
    <x v="0"/>
    <n v="0"/>
    <x v="0"/>
    <x v="21"/>
  </r>
  <r>
    <x v="6"/>
    <x v="6"/>
    <n v="177"/>
    <n v="69"/>
    <x v="3"/>
    <x v="22"/>
    <n v="33"/>
    <n v="1"/>
    <n v="72.331228143733895"/>
    <n v="81.659261004370904"/>
    <n v="230.35330033062201"/>
    <n v="94.854732253517398"/>
    <x v="22"/>
    <n v="91.561437055286504"/>
    <x v="22"/>
    <n v="30.135888538050899"/>
    <n v="72.363929610992599"/>
    <x v="1"/>
    <n v="1"/>
    <x v="0"/>
    <n v="0"/>
    <x v="0"/>
    <x v="22"/>
  </r>
  <r>
    <x v="0"/>
    <x v="0"/>
    <n v="178"/>
    <n v="78"/>
    <x v="3"/>
    <x v="23"/>
    <n v="7"/>
    <n v="0"/>
    <n v="69.828983996562997"/>
    <n v="98.635667698633696"/>
    <n v="245.066502352052"/>
    <n v="87.398312408668502"/>
    <x v="23"/>
    <n v="77.621710692201901"/>
    <x v="23"/>
    <n v="43.803944205189403"/>
    <n v="87.355766951725499"/>
    <x v="0"/>
    <n v="1"/>
    <x v="0"/>
    <n v="0"/>
    <x v="0"/>
    <x v="23"/>
  </r>
  <r>
    <x v="5"/>
    <x v="5"/>
    <n v="174"/>
    <n v="83"/>
    <x v="0"/>
    <x v="24"/>
    <n v="39"/>
    <n v="2"/>
    <n v="69.691517396741006"/>
    <n v="71.1927820049075"/>
    <n v="260.01536984144298"/>
    <n v="74.171560096923997"/>
    <x v="24"/>
    <n v="82.964566608895595"/>
    <x v="24"/>
    <n v="54.176530571621001"/>
    <n v="66.3221361799215"/>
    <x v="1"/>
    <n v="1"/>
    <x v="0"/>
    <n v="1"/>
    <x v="1"/>
    <x v="24"/>
  </r>
  <r>
    <x v="1"/>
    <x v="1"/>
    <n v="171"/>
    <n v="72"/>
    <x v="2"/>
    <x v="25"/>
    <n v="7"/>
    <n v="0"/>
    <n v="71.505838774907005"/>
    <n v="87.057381111321305"/>
    <n v="249.75665550524499"/>
    <n v="81.146616287874906"/>
    <x v="25"/>
    <n v="84.742881219966904"/>
    <x v="25"/>
    <n v="71.251767007153006"/>
    <n v="61.405131451432197"/>
    <x v="1"/>
    <n v="0"/>
    <x v="1"/>
    <n v="1"/>
    <x v="1"/>
    <x v="25"/>
  </r>
  <r>
    <x v="6"/>
    <x v="6"/>
    <n v="173"/>
    <n v="76"/>
    <x v="3"/>
    <x v="26"/>
    <n v="5"/>
    <n v="0"/>
    <n v="69.590651889288296"/>
    <n v="77.518238822706707"/>
    <n v="281.48950211011697"/>
    <n v="77.005723182265797"/>
    <x v="26"/>
    <n v="73.522567931518395"/>
    <x v="26"/>
    <n v="47.429827590678499"/>
    <n v="65.636346293320301"/>
    <x v="1"/>
    <n v="1"/>
    <x v="0"/>
    <n v="1"/>
    <x v="1"/>
    <x v="26"/>
  </r>
  <r>
    <x v="5"/>
    <x v="5"/>
    <n v="176"/>
    <n v="64"/>
    <x v="3"/>
    <x v="27"/>
    <n v="6"/>
    <n v="0"/>
    <n v="76.437855394728402"/>
    <n v="89.113009817011402"/>
    <n v="241.33325419471899"/>
    <n v="100"/>
    <x v="27"/>
    <n v="83.855419977153502"/>
    <x v="27"/>
    <n v="49.0456145210945"/>
    <n v="73.080282591380893"/>
    <x v="1"/>
    <n v="1"/>
    <x v="0"/>
    <n v="0"/>
    <x v="0"/>
    <x v="27"/>
  </r>
  <r>
    <x v="3"/>
    <x v="3"/>
    <n v="179"/>
    <n v="74"/>
    <x v="1"/>
    <x v="28"/>
    <n v="34"/>
    <n v="1"/>
    <n v="75.088231742219094"/>
    <n v="84.905377530375105"/>
    <n v="238.594319866631"/>
    <n v="83.5304845428074"/>
    <x v="28"/>
    <n v="90.704647380277194"/>
    <x v="28"/>
    <n v="47.175971965800898"/>
    <n v="88.321811889427593"/>
    <x v="0"/>
    <n v="1"/>
    <x v="0"/>
    <n v="0"/>
    <x v="0"/>
    <x v="28"/>
  </r>
  <r>
    <x v="2"/>
    <x v="2"/>
    <n v="174"/>
    <n v="85"/>
    <x v="3"/>
    <x v="29"/>
    <n v="19"/>
    <n v="1"/>
    <n v="71.981835495719906"/>
    <n v="76.226399283303195"/>
    <n v="261.95809514333399"/>
    <n v="80.001905772930598"/>
    <x v="29"/>
    <n v="75.751353167140707"/>
    <x v="29"/>
    <n v="63.326109495925301"/>
    <n v="86.594697324213001"/>
    <x v="0"/>
    <n v="1"/>
    <x v="0"/>
    <n v="0"/>
    <x v="0"/>
    <x v="29"/>
  </r>
  <r>
    <x v="3"/>
    <x v="3"/>
    <n v="179"/>
    <n v="73"/>
    <x v="3"/>
    <x v="30"/>
    <n v="11"/>
    <n v="3"/>
    <n v="69.076375962093095"/>
    <n v="79.924124240447597"/>
    <n v="259.64886881623102"/>
    <n v="86.381199740640895"/>
    <x v="30"/>
    <n v="70.452502796048194"/>
    <x v="30"/>
    <n v="60.439114468105302"/>
    <n v="59.054694204552803"/>
    <x v="2"/>
    <n v="0"/>
    <x v="1"/>
    <n v="1"/>
    <x v="1"/>
    <x v="30"/>
  </r>
  <r>
    <x v="3"/>
    <x v="3"/>
    <n v="174"/>
    <n v="64"/>
    <x v="3"/>
    <x v="31"/>
    <n v="13"/>
    <n v="1"/>
    <n v="61.912909125206902"/>
    <n v="69.777538202787099"/>
    <n v="241.970730279962"/>
    <n v="66.286336139903099"/>
    <x v="31"/>
    <n v="66.041147855945596"/>
    <x v="31"/>
    <n v="44.6402658251166"/>
    <n v="62.267213019348098"/>
    <x v="1"/>
    <n v="1"/>
    <x v="0"/>
    <n v="1"/>
    <x v="1"/>
    <x v="31"/>
  </r>
  <r>
    <x v="4"/>
    <x v="4"/>
    <n v="167"/>
    <n v="65"/>
    <x v="2"/>
    <x v="32"/>
    <n v="21"/>
    <n v="0"/>
    <n v="85.130515328813701"/>
    <n v="91.417055826965395"/>
    <n v="255.85760038933799"/>
    <n v="84.458472731875602"/>
    <x v="32"/>
    <n v="95.997029270065397"/>
    <x v="32"/>
    <n v="40.381166714266897"/>
    <n v="70.700858293816196"/>
    <x v="1"/>
    <n v="1"/>
    <x v="0"/>
    <n v="0"/>
    <x v="0"/>
    <x v="32"/>
  </r>
  <r>
    <x v="0"/>
    <x v="0"/>
    <n v="188"/>
    <n v="72"/>
    <x v="2"/>
    <x v="33"/>
    <n v="16"/>
    <n v="0"/>
    <n v="80.667805427837493"/>
    <n v="76.519325213209498"/>
    <n v="244.02164233540901"/>
    <n v="78.7509228835724"/>
    <x v="33"/>
    <n v="77.635599708121404"/>
    <x v="33"/>
    <n v="56.731193501607002"/>
    <n v="61.582537630043198"/>
    <x v="1"/>
    <n v="0"/>
    <x v="1"/>
    <n v="1"/>
    <x v="1"/>
    <x v="33"/>
  </r>
  <r>
    <x v="0"/>
    <x v="0"/>
    <n v="176"/>
    <n v="62"/>
    <x v="2"/>
    <x v="34"/>
    <n v="6"/>
    <n v="1"/>
    <n v="65.647118539392494"/>
    <n v="73.868452993341407"/>
    <n v="254.56631261893401"/>
    <n v="76.254803807188196"/>
    <x v="34"/>
    <n v="75.676628604716001"/>
    <x v="34"/>
    <n v="48.724460000146301"/>
    <n v="81.375698533725199"/>
    <x v="0"/>
    <n v="0"/>
    <x v="1"/>
    <n v="1"/>
    <x v="1"/>
    <x v="34"/>
  </r>
  <r>
    <x v="6"/>
    <x v="6"/>
    <n v="179"/>
    <n v="72"/>
    <x v="2"/>
    <x v="35"/>
    <n v="34"/>
    <n v="2"/>
    <n v="71.658466596974307"/>
    <n v="70.004307685121404"/>
    <n v="257.21624312107599"/>
    <n v="86.535486702018602"/>
    <x v="35"/>
    <n v="85.237684200996895"/>
    <x v="35"/>
    <n v="47.804751833658202"/>
    <n v="60.985577507066097"/>
    <x v="1"/>
    <n v="0"/>
    <x v="1"/>
    <n v="1"/>
    <x v="1"/>
    <x v="35"/>
  </r>
  <r>
    <x v="5"/>
    <x v="5"/>
    <n v="186"/>
    <n v="51"/>
    <x v="0"/>
    <x v="36"/>
    <n v="14"/>
    <n v="0"/>
    <n v="77.859488213251097"/>
    <n v="79.449173811330795"/>
    <n v="212.784330533597"/>
    <n v="91.698375490512603"/>
    <x v="36"/>
    <n v="81.438744330172298"/>
    <x v="36"/>
    <n v="44.883812375397603"/>
    <n v="68.728216103726893"/>
    <x v="1"/>
    <n v="1"/>
    <x v="0"/>
    <n v="0"/>
    <x v="0"/>
    <x v="36"/>
  </r>
  <r>
    <x v="3"/>
    <x v="3"/>
    <n v="170"/>
    <n v="67"/>
    <x v="3"/>
    <x v="37"/>
    <n v="28"/>
    <n v="2"/>
    <n v="80.790286073949304"/>
    <n v="79.068012037569602"/>
    <n v="263.03041229015298"/>
    <n v="79.987885717133693"/>
    <x v="37"/>
    <n v="83.225702486667004"/>
    <x v="37"/>
    <n v="59.736847756695298"/>
    <n v="69.685577873783799"/>
    <x v="1"/>
    <n v="0"/>
    <x v="1"/>
    <n v="1"/>
    <x v="1"/>
    <x v="1"/>
  </r>
  <r>
    <x v="3"/>
    <x v="3"/>
    <n v="176"/>
    <n v="75"/>
    <x v="0"/>
    <x v="38"/>
    <n v="39"/>
    <n v="0"/>
    <n v="84.267586139881104"/>
    <n v="76.192060229128899"/>
    <n v="221.46598290409599"/>
    <n v="89.365256491008594"/>
    <x v="38"/>
    <n v="88.1332341084033"/>
    <x v="38"/>
    <n v="48.928106568159798"/>
    <n v="70.220037208140994"/>
    <x v="1"/>
    <n v="1"/>
    <x v="0"/>
    <n v="0"/>
    <x v="0"/>
    <x v="37"/>
  </r>
  <r>
    <x v="5"/>
    <x v="5"/>
    <n v="170"/>
    <n v="80"/>
    <x v="0"/>
    <x v="39"/>
    <n v="7"/>
    <n v="0"/>
    <n v="81.226313917096903"/>
    <n v="79.022511917738299"/>
    <n v="241.97164674262501"/>
    <n v="91.003638103108798"/>
    <x v="39"/>
    <n v="84.020305141397401"/>
    <x v="39"/>
    <n v="44.814835335110999"/>
    <n v="77.370174237290001"/>
    <x v="1"/>
    <n v="1"/>
    <x v="0"/>
    <n v="0"/>
    <x v="0"/>
    <x v="38"/>
  </r>
  <r>
    <x v="2"/>
    <x v="2"/>
    <n v="173"/>
    <n v="69"/>
    <x v="3"/>
    <x v="40"/>
    <n v="15"/>
    <n v="3"/>
    <n v="76.652816316763406"/>
    <n v="81.560310147407293"/>
    <n v="282.78861997889499"/>
    <n v="81.5818894510398"/>
    <x v="40"/>
    <n v="90.143219663611006"/>
    <x v="40"/>
    <n v="75.307463864333101"/>
    <n v="68.376945303499099"/>
    <x v="1"/>
    <n v="0"/>
    <x v="1"/>
    <n v="1"/>
    <x v="1"/>
    <x v="39"/>
  </r>
  <r>
    <x v="6"/>
    <x v="6"/>
    <n v="175"/>
    <n v="77"/>
    <x v="3"/>
    <x v="41"/>
    <n v="21"/>
    <n v="1"/>
    <n v="52.391351328744399"/>
    <n v="65.614185790222706"/>
    <n v="251.833730682674"/>
    <n v="87.0943925813189"/>
    <x v="41"/>
    <n v="69.952087665272003"/>
    <x v="41"/>
    <n v="75.830283627020293"/>
    <n v="91.782401345361095"/>
    <x v="0"/>
    <n v="1"/>
    <x v="0"/>
    <n v="1"/>
    <x v="1"/>
    <x v="40"/>
  </r>
  <r>
    <x v="3"/>
    <x v="3"/>
    <n v="169"/>
    <n v="56"/>
    <x v="0"/>
    <x v="42"/>
    <n v="36"/>
    <n v="2"/>
    <n v="64.063474624380802"/>
    <n v="74.294810286572798"/>
    <n v="247.055113787979"/>
    <n v="81.510105036238699"/>
    <x v="42"/>
    <n v="91.934458164260604"/>
    <x v="42"/>
    <n v="61.194076433580101"/>
    <n v="64.915671273690904"/>
    <x v="1"/>
    <n v="1"/>
    <x v="0"/>
    <n v="1"/>
    <x v="1"/>
    <x v="41"/>
  </r>
  <r>
    <x v="4"/>
    <x v="4"/>
    <n v="189"/>
    <n v="76"/>
    <x v="2"/>
    <x v="43"/>
    <n v="8"/>
    <n v="1"/>
    <n v="69.871327769809895"/>
    <n v="80.404457419375206"/>
    <n v="229.26700015834101"/>
    <n v="83.4848721210289"/>
    <x v="43"/>
    <n v="71.271135660573407"/>
    <x v="43"/>
    <n v="58.456594216150997"/>
    <n v="84.556894415389294"/>
    <x v="0"/>
    <n v="0"/>
    <x v="1"/>
    <n v="1"/>
    <x v="1"/>
    <x v="42"/>
  </r>
  <r>
    <x v="2"/>
    <x v="2"/>
    <n v="176"/>
    <n v="83"/>
    <x v="3"/>
    <x v="44"/>
    <n v="23"/>
    <n v="2"/>
    <n v="82.807464843077"/>
    <n v="84.328817379259903"/>
    <n v="242.367081349383"/>
    <n v="98.132326401575597"/>
    <x v="44"/>
    <n v="82.575123406684796"/>
    <x v="44"/>
    <n v="68.390492259332106"/>
    <n v="90.985265307238393"/>
    <x v="0"/>
    <n v="1"/>
    <x v="0"/>
    <n v="0"/>
    <x v="0"/>
    <x v="43"/>
  </r>
  <r>
    <x v="4"/>
    <x v="4"/>
    <n v="171"/>
    <n v="69"/>
    <x v="1"/>
    <x v="45"/>
    <n v="34"/>
    <n v="0"/>
    <n v="80.216696564828098"/>
    <n v="95.570873824139795"/>
    <n v="254.523699203749"/>
    <n v="89.415801172792897"/>
    <x v="45"/>
    <n v="70.603764430041295"/>
    <x v="45"/>
    <n v="59.270202385867201"/>
    <n v="59.066074436740003"/>
    <x v="2"/>
    <n v="1"/>
    <x v="0"/>
    <n v="0"/>
    <x v="0"/>
    <x v="44"/>
  </r>
  <r>
    <x v="2"/>
    <x v="2"/>
    <n v="180"/>
    <n v="69"/>
    <x v="2"/>
    <x v="46"/>
    <n v="23"/>
    <n v="0"/>
    <n v="80.547020738933497"/>
    <n v="86.111363811657299"/>
    <n v="251.94824345559101"/>
    <n v="88.5404133247483"/>
    <x v="46"/>
    <n v="98.483967933144996"/>
    <x v="46"/>
    <n v="45.0392413211096"/>
    <n v="75.762147279738898"/>
    <x v="1"/>
    <n v="1"/>
    <x v="0"/>
    <n v="0"/>
    <x v="0"/>
    <x v="45"/>
  </r>
  <r>
    <x v="4"/>
    <x v="4"/>
    <n v="169"/>
    <n v="88"/>
    <x v="0"/>
    <x v="47"/>
    <n v="9"/>
    <n v="0"/>
    <n v="72.120322219222302"/>
    <n v="78.928839658987599"/>
    <n v="284.51542344830699"/>
    <n v="91.635238856415"/>
    <x v="47"/>
    <n v="76.017037686745098"/>
    <x v="47"/>
    <n v="61.138582287632403"/>
    <n v="65.854199394932294"/>
    <x v="1"/>
    <n v="1"/>
    <x v="0"/>
    <n v="0"/>
    <x v="0"/>
    <x v="46"/>
  </r>
  <r>
    <x v="0"/>
    <x v="0"/>
    <n v="186"/>
    <n v="88"/>
    <x v="2"/>
    <x v="48"/>
    <n v="26"/>
    <n v="5"/>
    <n v="83.984055369752099"/>
    <n v="79.9380408434061"/>
    <n v="261.32394028765299"/>
    <n v="85.753073932861994"/>
    <x v="48"/>
    <n v="83.952197516892497"/>
    <x v="48"/>
    <n v="48.507216056461303"/>
    <n v="65.967493967180303"/>
    <x v="1"/>
    <n v="1"/>
    <x v="0"/>
    <n v="0"/>
    <x v="0"/>
    <x v="47"/>
  </r>
  <r>
    <x v="3"/>
    <x v="3"/>
    <n v="169"/>
    <n v="58"/>
    <x v="3"/>
    <x v="49"/>
    <n v="24"/>
    <n v="1"/>
    <n v="87.440295453966598"/>
    <n v="75.839150554816101"/>
    <n v="228.267519952047"/>
    <n v="89.445116334900106"/>
    <x v="49"/>
    <n v="71.924438103165699"/>
    <x v="49"/>
    <n v="44.107660591274403"/>
    <n v="86.340696547479894"/>
    <x v="0"/>
    <n v="1"/>
    <x v="0"/>
    <n v="0"/>
    <x v="0"/>
    <x v="48"/>
  </r>
  <r>
    <x v="3"/>
    <x v="3"/>
    <n v="171"/>
    <n v="72"/>
    <x v="0"/>
    <x v="50"/>
    <n v="24"/>
    <n v="1"/>
    <n v="74.868321030082399"/>
    <n v="80.559333265264897"/>
    <n v="276.61263800453298"/>
    <n v="75.506867401590796"/>
    <x v="50"/>
    <n v="80.747962803114703"/>
    <x v="50"/>
    <n v="70.679794909231902"/>
    <n v="68.027103531480407"/>
    <x v="1"/>
    <n v="1"/>
    <x v="0"/>
    <n v="1"/>
    <x v="1"/>
    <x v="25"/>
  </r>
  <r>
    <x v="1"/>
    <x v="1"/>
    <n v="171"/>
    <n v="72"/>
    <x v="2"/>
    <x v="51"/>
    <n v="31"/>
    <n v="2"/>
    <n v="68.039565711073706"/>
    <n v="73.050778687240694"/>
    <n v="279.78627680464803"/>
    <n v="85.926045082712506"/>
    <x v="51"/>
    <n v="86.389638101788407"/>
    <x v="51"/>
    <n v="71.404404387978204"/>
    <n v="64.213070223540996"/>
    <x v="1"/>
    <n v="0"/>
    <x v="1"/>
    <n v="1"/>
    <x v="1"/>
    <x v="25"/>
  </r>
  <r>
    <x v="1"/>
    <x v="1"/>
    <n v="178"/>
    <n v="75"/>
    <x v="2"/>
    <x v="52"/>
    <n v="33"/>
    <n v="3"/>
    <n v="77.339167057923802"/>
    <n v="83.204336494251095"/>
    <n v="250.80006225884301"/>
    <n v="78.742458285362403"/>
    <x v="52"/>
    <n v="75.871406018514307"/>
    <x v="52"/>
    <n v="39.914922063926902"/>
    <n v="85.227239000751496"/>
    <x v="0"/>
    <n v="1"/>
    <x v="0"/>
    <n v="0"/>
    <x v="0"/>
    <x v="49"/>
  </r>
  <r>
    <x v="4"/>
    <x v="4"/>
    <n v="182"/>
    <n v="76"/>
    <x v="1"/>
    <x v="53"/>
    <n v="26"/>
    <n v="3"/>
    <n v="71.4397653826463"/>
    <n v="73.247595300102503"/>
    <n v="225.246383076065"/>
    <n v="85.931174869098598"/>
    <x v="53"/>
    <n v="73.205286083862305"/>
    <x v="53"/>
    <n v="60.7949434181917"/>
    <n v="68.3859199261572"/>
    <x v="1"/>
    <n v="0"/>
    <x v="1"/>
    <n v="1"/>
    <x v="1"/>
    <x v="50"/>
  </r>
  <r>
    <x v="1"/>
    <x v="1"/>
    <n v="184"/>
    <n v="71"/>
    <x v="0"/>
    <x v="54"/>
    <n v="9"/>
    <n v="3"/>
    <n v="79.069297999043002"/>
    <n v="75.4392599797157"/>
    <n v="245.49835556870599"/>
    <n v="89.414235704050995"/>
    <x v="54"/>
    <n v="79.794014096521806"/>
    <x v="54"/>
    <n v="59.983516549867602"/>
    <n v="59.895287912934599"/>
    <x v="2"/>
    <n v="0"/>
    <x v="1"/>
    <n v="1"/>
    <x v="1"/>
    <x v="51"/>
  </r>
  <r>
    <x v="4"/>
    <x v="4"/>
    <n v="167"/>
    <n v="68"/>
    <x v="2"/>
    <x v="55"/>
    <n v="25"/>
    <n v="1"/>
    <n v="65.072423589253404"/>
    <n v="80.428423185905501"/>
    <n v="286.769457132029"/>
    <n v="80.465951938459099"/>
    <x v="55"/>
    <n v="66.001438295205105"/>
    <x v="55"/>
    <n v="73.093796097201107"/>
    <n v="62.082781437426803"/>
    <x v="1"/>
    <n v="1"/>
    <x v="0"/>
    <n v="1"/>
    <x v="1"/>
    <x v="52"/>
  </r>
  <r>
    <x v="1"/>
    <x v="1"/>
    <n v="179"/>
    <n v="49"/>
    <x v="1"/>
    <x v="56"/>
    <n v="33"/>
    <n v="1"/>
    <n v="89.322006038637696"/>
    <n v="85.750506006458593"/>
    <n v="221.06248256854801"/>
    <n v="79.997703971370996"/>
    <x v="56"/>
    <n v="69.200858674600099"/>
    <x v="56"/>
    <n v="31.3277714718817"/>
    <n v="76.767070169479993"/>
    <x v="1"/>
    <n v="0"/>
    <x v="1"/>
    <n v="0"/>
    <x v="0"/>
    <x v="53"/>
  </r>
  <r>
    <x v="6"/>
    <x v="6"/>
    <n v="181"/>
    <n v="75"/>
    <x v="2"/>
    <x v="57"/>
    <n v="23"/>
    <n v="1"/>
    <n v="72.764630307676697"/>
    <n v="73.336110560935197"/>
    <n v="284.473872129965"/>
    <n v="76.195981124096903"/>
    <x v="57"/>
    <n v="70.521681246696303"/>
    <x v="57"/>
    <n v="85.702209929163999"/>
    <n v="66.861020354482704"/>
    <x v="1"/>
    <n v="0"/>
    <x v="1"/>
    <n v="1"/>
    <x v="1"/>
    <x v="54"/>
  </r>
  <r>
    <x v="1"/>
    <x v="1"/>
    <n v="172"/>
    <n v="64"/>
    <x v="2"/>
    <x v="58"/>
    <n v="33"/>
    <n v="1"/>
    <n v="68.542633715965394"/>
    <n v="84.071064153569296"/>
    <n v="283.16680015042698"/>
    <n v="80.672736012201696"/>
    <x v="58"/>
    <n v="76.366779619668705"/>
    <x v="58"/>
    <n v="70.014873092820196"/>
    <n v="76.095393204743203"/>
    <x v="1"/>
    <n v="0"/>
    <x v="1"/>
    <n v="1"/>
    <x v="1"/>
    <x v="55"/>
  </r>
  <r>
    <x v="3"/>
    <x v="3"/>
    <n v="175"/>
    <n v="74"/>
    <x v="0"/>
    <x v="59"/>
    <n v="7"/>
    <n v="7"/>
    <n v="62.232846838041503"/>
    <n v="73.688628659451396"/>
    <n v="275.87882566249698"/>
    <n v="82.921823175019796"/>
    <x v="59"/>
    <n v="77.721119520482603"/>
    <x v="59"/>
    <n v="58.388618055177098"/>
    <n v="60.828558665373798"/>
    <x v="1"/>
    <n v="1"/>
    <x v="0"/>
    <n v="1"/>
    <x v="1"/>
    <x v="56"/>
  </r>
  <r>
    <x v="3"/>
    <x v="3"/>
    <n v="185"/>
    <n v="73"/>
    <x v="1"/>
    <x v="60"/>
    <n v="32"/>
    <n v="1"/>
    <n v="75.707848875489503"/>
    <n v="88.0692625070227"/>
    <n v="228.258801804136"/>
    <n v="87.511900231063606"/>
    <x v="60"/>
    <n v="86.422098688726606"/>
    <x v="60"/>
    <n v="29.3274035417104"/>
    <n v="78.568005245627901"/>
    <x v="1"/>
    <n v="0"/>
    <x v="1"/>
    <n v="0"/>
    <x v="0"/>
    <x v="57"/>
  </r>
  <r>
    <x v="1"/>
    <x v="1"/>
    <n v="171"/>
    <n v="83"/>
    <x v="2"/>
    <x v="61"/>
    <n v="16"/>
    <n v="0"/>
    <n v="77.983085408776006"/>
    <n v="80.636523904649493"/>
    <n v="243.58969503487501"/>
    <n v="90.196005820836504"/>
    <x v="61"/>
    <n v="78.407960532097704"/>
    <x v="61"/>
    <n v="21.561185943923601"/>
    <n v="72.623803963149101"/>
    <x v="1"/>
    <n v="0"/>
    <x v="1"/>
    <n v="0"/>
    <x v="0"/>
    <x v="58"/>
  </r>
  <r>
    <x v="2"/>
    <x v="2"/>
    <n v="181"/>
    <n v="70"/>
    <x v="2"/>
    <x v="62"/>
    <n v="14"/>
    <n v="1"/>
    <n v="76.002066900875406"/>
    <n v="77.077616250587397"/>
    <n v="233.49596815594001"/>
    <n v="80.684443649137904"/>
    <x v="62"/>
    <n v="79.0717727006149"/>
    <x v="62"/>
    <n v="40.268729151037299"/>
    <n v="76.675780692820297"/>
    <x v="1"/>
    <n v="0"/>
    <x v="1"/>
    <n v="0"/>
    <x v="0"/>
    <x v="59"/>
  </r>
  <r>
    <x v="2"/>
    <x v="2"/>
    <n v="183"/>
    <n v="76"/>
    <x v="3"/>
    <x v="63"/>
    <n v="10"/>
    <n v="3"/>
    <n v="71.268828860861007"/>
    <n v="71.0342397259477"/>
    <n v="266.12578190068098"/>
    <n v="85.041695660690493"/>
    <x v="63"/>
    <n v="83.852042522577705"/>
    <x v="63"/>
    <n v="48.937421699000197"/>
    <n v="70.744827270379801"/>
    <x v="1"/>
    <n v="0"/>
    <x v="1"/>
    <n v="1"/>
    <x v="1"/>
    <x v="60"/>
  </r>
  <r>
    <x v="5"/>
    <x v="5"/>
    <n v="162"/>
    <n v="71"/>
    <x v="0"/>
    <x v="64"/>
    <n v="24"/>
    <n v="2"/>
    <n v="67.540735578939106"/>
    <n v="95.768612729215405"/>
    <n v="257.5396756582"/>
    <n v="74.922434598429405"/>
    <x v="64"/>
    <n v="74.485423120306706"/>
    <x v="64"/>
    <n v="65.755437743338902"/>
    <n v="68.371144757770594"/>
    <x v="1"/>
    <n v="1"/>
    <x v="0"/>
    <n v="1"/>
    <x v="1"/>
    <x v="61"/>
  </r>
  <r>
    <x v="5"/>
    <x v="5"/>
    <n v="173"/>
    <n v="61"/>
    <x v="1"/>
    <x v="65"/>
    <n v="20"/>
    <n v="0"/>
    <n v="74.114484254329895"/>
    <n v="74.847774671987096"/>
    <n v="236.734760368"/>
    <n v="94.696009571904995"/>
    <x v="65"/>
    <n v="74.356958107658798"/>
    <x v="65"/>
    <n v="42.113866262450699"/>
    <n v="84.331380300192905"/>
    <x v="0"/>
    <n v="1"/>
    <x v="0"/>
    <n v="0"/>
    <x v="0"/>
    <x v="62"/>
  </r>
  <r>
    <x v="6"/>
    <x v="6"/>
    <n v="183"/>
    <n v="71"/>
    <x v="1"/>
    <x v="66"/>
    <n v="37"/>
    <n v="3"/>
    <n v="64.0235931929126"/>
    <n v="78.797275087800898"/>
    <n v="275.45332484843198"/>
    <n v="72.062097168395098"/>
    <x v="66"/>
    <n v="67.946306823685603"/>
    <x v="66"/>
    <n v="64.848743462205505"/>
    <n v="69.549424033168293"/>
    <x v="1"/>
    <n v="0"/>
    <x v="1"/>
    <n v="1"/>
    <x v="1"/>
    <x v="63"/>
  </r>
  <r>
    <x v="2"/>
    <x v="2"/>
    <n v="190"/>
    <n v="90"/>
    <x v="2"/>
    <x v="67"/>
    <n v="14"/>
    <n v="0"/>
    <n v="79.597412952972704"/>
    <n v="85.366862726626906"/>
    <n v="243.02175613313599"/>
    <n v="91.477137743868198"/>
    <x v="67"/>
    <n v="72.459994563309294"/>
    <x v="67"/>
    <n v="45.9323474741865"/>
    <n v="77.249440036937102"/>
    <x v="1"/>
    <n v="0"/>
    <x v="1"/>
    <n v="0"/>
    <x v="0"/>
    <x v="64"/>
  </r>
  <r>
    <x v="2"/>
    <x v="2"/>
    <n v="170"/>
    <n v="78"/>
    <x v="2"/>
    <x v="68"/>
    <n v="8"/>
    <n v="3"/>
    <n v="72.797461481103895"/>
    <n v="70.777997851734696"/>
    <n v="269.037851427715"/>
    <n v="75.350966553138406"/>
    <x v="68"/>
    <n v="73.758080820651401"/>
    <x v="68"/>
    <n v="51.370739256088498"/>
    <n v="89.623592284761898"/>
    <x v="0"/>
    <n v="0"/>
    <x v="1"/>
    <n v="1"/>
    <x v="1"/>
    <x v="65"/>
  </r>
  <r>
    <x v="1"/>
    <x v="1"/>
    <n v="178"/>
    <n v="68"/>
    <x v="0"/>
    <x v="69"/>
    <n v="18"/>
    <n v="2"/>
    <n v="69.574038096505902"/>
    <n v="72.751627827298293"/>
    <n v="259.72389913365703"/>
    <n v="80.864009591602994"/>
    <x v="69"/>
    <n v="74.215513233257596"/>
    <x v="69"/>
    <n v="58.018946547933801"/>
    <n v="72.970841857508802"/>
    <x v="1"/>
    <n v="0"/>
    <x v="1"/>
    <n v="1"/>
    <x v="1"/>
    <x v="66"/>
  </r>
  <r>
    <x v="2"/>
    <x v="2"/>
    <n v="169"/>
    <n v="71"/>
    <x v="3"/>
    <x v="70"/>
    <n v="37"/>
    <n v="1"/>
    <n v="66.905255035036603"/>
    <n v="88.800614333044294"/>
    <n v="250.113433888684"/>
    <n v="86.063700740143005"/>
    <x v="70"/>
    <n v="91.169369925966706"/>
    <x v="70"/>
    <n v="49.455593846390201"/>
    <n v="76.340709308873301"/>
    <x v="1"/>
    <n v="1"/>
    <x v="0"/>
    <n v="0"/>
    <x v="0"/>
    <x v="67"/>
  </r>
  <r>
    <x v="3"/>
    <x v="3"/>
    <n v="173"/>
    <n v="75"/>
    <x v="0"/>
    <x v="71"/>
    <n v="18"/>
    <n v="0"/>
    <n v="79.1296403779983"/>
    <n v="58.180380764972597"/>
    <n v="244.75747681908899"/>
    <n v="89.564104451799594"/>
    <x v="71"/>
    <n v="77.246818529072499"/>
    <x v="71"/>
    <n v="46.554610493431902"/>
    <n v="64.469233810839796"/>
    <x v="1"/>
    <n v="1"/>
    <x v="0"/>
    <n v="1"/>
    <x v="1"/>
    <x v="68"/>
  </r>
  <r>
    <x v="5"/>
    <x v="5"/>
    <n v="174"/>
    <n v="83"/>
    <x v="3"/>
    <x v="72"/>
    <n v="26"/>
    <n v="0"/>
    <n v="82.459754324745504"/>
    <n v="84.023458082485107"/>
    <n v="244.72169589881901"/>
    <n v="86.690430879936301"/>
    <x v="72"/>
    <n v="85.5852748782155"/>
    <x v="72"/>
    <n v="54.383893005016802"/>
    <n v="52.197550488049302"/>
    <x v="2"/>
    <n v="1"/>
    <x v="0"/>
    <n v="0"/>
    <x v="0"/>
    <x v="24"/>
  </r>
  <r>
    <x v="6"/>
    <x v="6"/>
    <n v="167"/>
    <n v="68"/>
    <x v="0"/>
    <x v="73"/>
    <n v="20"/>
    <n v="1"/>
    <n v="75.401178061127595"/>
    <n v="82.061596960037704"/>
    <n v="290.38603046897902"/>
    <n v="80.916712228116495"/>
    <x v="73"/>
    <n v="96.212492404603594"/>
    <x v="73"/>
    <n v="34.327127063313199"/>
    <n v="66.883639961755605"/>
    <x v="1"/>
    <n v="1"/>
    <x v="0"/>
    <n v="1"/>
    <x v="1"/>
    <x v="52"/>
  </r>
  <r>
    <x v="0"/>
    <x v="0"/>
    <n v="181"/>
    <n v="67"/>
    <x v="3"/>
    <x v="74"/>
    <n v="26"/>
    <n v="2"/>
    <n v="73.910673338955803"/>
    <n v="77.566461401699101"/>
    <n v="240.581453992414"/>
    <n v="93.816813041227505"/>
    <x v="74"/>
    <n v="76.683190416765697"/>
    <x v="74"/>
    <n v="53.717771330624899"/>
    <n v="55.318640310548801"/>
    <x v="2"/>
    <n v="0"/>
    <x v="1"/>
    <n v="1"/>
    <x v="1"/>
    <x v="69"/>
  </r>
  <r>
    <x v="2"/>
    <x v="2"/>
    <n v="177"/>
    <n v="88"/>
    <x v="3"/>
    <x v="75"/>
    <n v="28"/>
    <n v="0"/>
    <n v="57.099491941903104"/>
    <n v="80.225343123725807"/>
    <n v="266.09341085575898"/>
    <n v="78.244581792129793"/>
    <x v="75"/>
    <n v="80.936849400401499"/>
    <x v="75"/>
    <n v="54.976735304639597"/>
    <n v="50"/>
    <x v="2"/>
    <n v="0"/>
    <x v="1"/>
    <n v="1"/>
    <x v="1"/>
    <x v="70"/>
  </r>
  <r>
    <x v="0"/>
    <x v="0"/>
    <n v="177"/>
    <n v="61"/>
    <x v="2"/>
    <x v="76"/>
    <n v="16"/>
    <n v="3"/>
    <n v="76.078706152289101"/>
    <n v="67.203818900939496"/>
    <n v="267.23622077968503"/>
    <n v="89.792107381923898"/>
    <x v="76"/>
    <n v="83.488067753688696"/>
    <x v="76"/>
    <n v="52.736790875246001"/>
    <n v="70.6153973046586"/>
    <x v="1"/>
    <n v="0"/>
    <x v="1"/>
    <n v="1"/>
    <x v="1"/>
    <x v="71"/>
  </r>
  <r>
    <x v="1"/>
    <x v="1"/>
    <n v="174"/>
    <n v="76"/>
    <x v="2"/>
    <x v="77"/>
    <n v="17"/>
    <n v="0"/>
    <n v="77.843612049879994"/>
    <n v="80.547820745423095"/>
    <n v="181.692203910361"/>
    <n v="82.2823287138757"/>
    <x v="77"/>
    <n v="76.641269624292207"/>
    <x v="77"/>
    <n v="52.082495447477001"/>
    <n v="68.510731452284702"/>
    <x v="1"/>
    <n v="0"/>
    <x v="1"/>
    <n v="0"/>
    <x v="0"/>
    <x v="72"/>
  </r>
  <r>
    <x v="1"/>
    <x v="1"/>
    <n v="174"/>
    <n v="70"/>
    <x v="0"/>
    <x v="78"/>
    <n v="34"/>
    <n v="3"/>
    <n v="75.572212445603498"/>
    <n v="67.670253773155807"/>
    <n v="234.21735467954301"/>
    <n v="75.331760599711799"/>
    <x v="78"/>
    <n v="85.554955568413604"/>
    <x v="78"/>
    <n v="63.165321011641801"/>
    <n v="82.306582468244002"/>
    <x v="0"/>
    <n v="1"/>
    <x v="0"/>
    <n v="0"/>
    <x v="0"/>
    <x v="73"/>
  </r>
  <r>
    <x v="6"/>
    <x v="6"/>
    <n v="189"/>
    <n v="72"/>
    <x v="3"/>
    <x v="79"/>
    <n v="7"/>
    <n v="1"/>
    <n v="74.850210881761299"/>
    <n v="79.544739017549503"/>
    <n v="237.63176155234501"/>
    <n v="88.631767127398007"/>
    <x v="79"/>
    <n v="84.757144025266896"/>
    <x v="79"/>
    <n v="51.380502147783297"/>
    <n v="72.7641867571554"/>
    <x v="1"/>
    <n v="0"/>
    <x v="1"/>
    <n v="0"/>
    <x v="0"/>
    <x v="74"/>
  </r>
  <r>
    <x v="1"/>
    <x v="1"/>
    <n v="169"/>
    <n v="80"/>
    <x v="3"/>
    <x v="80"/>
    <n v="32"/>
    <n v="2"/>
    <n v="78.118395373326607"/>
    <n v="83.324070122257496"/>
    <n v="236.429527640419"/>
    <n v="88.875901961688797"/>
    <x v="80"/>
    <n v="91.644244016468093"/>
    <x v="80"/>
    <n v="49.596895222023399"/>
    <n v="88.182632993265202"/>
    <x v="0"/>
    <n v="1"/>
    <x v="0"/>
    <n v="0"/>
    <x v="0"/>
    <x v="75"/>
  </r>
  <r>
    <x v="3"/>
    <x v="3"/>
    <n v="175"/>
    <n v="64"/>
    <x v="1"/>
    <x v="81"/>
    <n v="28"/>
    <n v="3"/>
    <n v="72.448455945831896"/>
    <n v="80.904870738615699"/>
    <n v="267.82337114549301"/>
    <n v="74.969669643571095"/>
    <x v="81"/>
    <n v="78.741170430488793"/>
    <x v="81"/>
    <n v="61.821420906263803"/>
    <n v="63.751282058604097"/>
    <x v="1"/>
    <n v="0"/>
    <x v="1"/>
    <n v="1"/>
    <x v="1"/>
    <x v="76"/>
  </r>
  <r>
    <x v="1"/>
    <x v="1"/>
    <n v="168"/>
    <n v="80"/>
    <x v="0"/>
    <x v="82"/>
    <n v="21"/>
    <n v="3"/>
    <n v="77.912985627977903"/>
    <n v="72.043917849260595"/>
    <n v="289.93029388674103"/>
    <n v="80.454723586075005"/>
    <x v="82"/>
    <n v="50"/>
    <x v="82"/>
    <n v="53.059999767412798"/>
    <n v="80.0724712094936"/>
    <x v="0"/>
    <n v="1"/>
    <x v="0"/>
    <n v="1"/>
    <x v="1"/>
    <x v="77"/>
  </r>
  <r>
    <x v="4"/>
    <x v="4"/>
    <n v="166"/>
    <n v="79"/>
    <x v="3"/>
    <x v="83"/>
    <n v="23"/>
    <n v="2"/>
    <n v="73.172377054491093"/>
    <n v="81.524010954970805"/>
    <n v="284.39631622320599"/>
    <n v="78.280558025301801"/>
    <x v="83"/>
    <n v="81.633077643714401"/>
    <x v="83"/>
    <n v="48.432757379542501"/>
    <n v="62.598926425014902"/>
    <x v="1"/>
    <n v="0"/>
    <x v="1"/>
    <n v="1"/>
    <x v="1"/>
    <x v="78"/>
  </r>
  <r>
    <x v="6"/>
    <x v="6"/>
    <n v="172"/>
    <n v="77"/>
    <x v="1"/>
    <x v="84"/>
    <n v="22"/>
    <n v="0"/>
    <n v="77.8761232114188"/>
    <n v="71.057874077333594"/>
    <n v="230.80073163935799"/>
    <n v="92.017102390394498"/>
    <x v="84"/>
    <n v="76.345037772394605"/>
    <x v="84"/>
    <n v="41.0821662948346"/>
    <n v="64.389940453483803"/>
    <x v="1"/>
    <n v="1"/>
    <x v="0"/>
    <n v="0"/>
    <x v="0"/>
    <x v="79"/>
  </r>
  <r>
    <x v="0"/>
    <x v="0"/>
    <n v="173"/>
    <n v="75"/>
    <x v="1"/>
    <x v="85"/>
    <n v="17"/>
    <n v="2"/>
    <n v="86.495570065000194"/>
    <n v="86.675784792055097"/>
    <n v="262.96839659032003"/>
    <n v="84.404612938607102"/>
    <x v="85"/>
    <n v="94.665867168321299"/>
    <x v="85"/>
    <n v="55.876970912841202"/>
    <n v="87.268175579609405"/>
    <x v="0"/>
    <n v="0"/>
    <x v="1"/>
    <n v="0"/>
    <x v="0"/>
    <x v="68"/>
  </r>
  <r>
    <x v="1"/>
    <x v="1"/>
    <n v="182"/>
    <n v="64"/>
    <x v="3"/>
    <x v="86"/>
    <n v="16"/>
    <n v="1"/>
    <n v="90.056353128119994"/>
    <n v="82.027696421561501"/>
    <n v="188.038208290471"/>
    <n v="81.967948167886505"/>
    <x v="86"/>
    <n v="83.237306201426904"/>
    <x v="86"/>
    <n v="49.152168672030101"/>
    <n v="80.903573425557099"/>
    <x v="0"/>
    <n v="0"/>
    <x v="1"/>
    <n v="0"/>
    <x v="0"/>
    <x v="80"/>
  </r>
  <r>
    <x v="0"/>
    <x v="0"/>
    <n v="189"/>
    <n v="80"/>
    <x v="1"/>
    <x v="87"/>
    <n v="31"/>
    <n v="2"/>
    <n v="68.871568569725099"/>
    <n v="71.561245738303995"/>
    <n v="243.711235397416"/>
    <n v="81.845559824469902"/>
    <x v="87"/>
    <n v="75.713448508168199"/>
    <x v="87"/>
    <n v="67.193346254938803"/>
    <n v="64.696712002343503"/>
    <x v="1"/>
    <n v="1"/>
    <x v="0"/>
    <n v="1"/>
    <x v="1"/>
    <x v="81"/>
  </r>
  <r>
    <x v="4"/>
    <x v="4"/>
    <n v="182"/>
    <n v="86"/>
    <x v="3"/>
    <x v="88"/>
    <n v="39"/>
    <n v="4"/>
    <n v="75.791028401387507"/>
    <n v="79.796098034790305"/>
    <n v="261.90185350241899"/>
    <n v="78.337518382637597"/>
    <x v="88"/>
    <n v="88.008281152149195"/>
    <x v="88"/>
    <n v="72.321076706231096"/>
    <n v="75.655721035273601"/>
    <x v="1"/>
    <n v="1"/>
    <x v="0"/>
    <n v="1"/>
    <x v="1"/>
    <x v="82"/>
  </r>
  <r>
    <x v="3"/>
    <x v="3"/>
    <n v="183"/>
    <n v="76"/>
    <x v="1"/>
    <x v="89"/>
    <n v="39"/>
    <n v="3"/>
    <n v="65.3617738668855"/>
    <n v="77.149191595452706"/>
    <n v="249.80709134149799"/>
    <n v="79.041324498418106"/>
    <x v="89"/>
    <n v="74.479773654136295"/>
    <x v="89"/>
    <n v="58.695903312700104"/>
    <n v="74.206355518130906"/>
    <x v="1"/>
    <n v="0"/>
    <x v="1"/>
    <n v="1"/>
    <x v="1"/>
    <x v="60"/>
  </r>
  <r>
    <x v="5"/>
    <x v="5"/>
    <n v="181"/>
    <n v="73"/>
    <x v="2"/>
    <x v="90"/>
    <n v="17"/>
    <n v="1"/>
    <n v="86.928476378864303"/>
    <n v="72.855384708644394"/>
    <n v="230.48197907006599"/>
    <n v="81.302198515554295"/>
    <x v="90"/>
    <n v="64.185144408947494"/>
    <x v="90"/>
    <n v="52.410465075799301"/>
    <n v="76.844328863944796"/>
    <x v="1"/>
    <n v="0"/>
    <x v="1"/>
    <n v="0"/>
    <x v="0"/>
    <x v="83"/>
  </r>
  <r>
    <x v="1"/>
    <x v="1"/>
    <n v="193"/>
    <n v="87"/>
    <x v="2"/>
    <x v="91"/>
    <n v="18"/>
    <n v="2"/>
    <n v="81.839856563678893"/>
    <n v="94.103794451819695"/>
    <n v="272.55839270895899"/>
    <n v="89.288746559075406"/>
    <x v="91"/>
    <n v="66.095235633129803"/>
    <x v="91"/>
    <n v="55.0150718350503"/>
    <n v="58.722935175155797"/>
    <x v="2"/>
    <n v="0"/>
    <x v="1"/>
    <n v="0"/>
    <x v="0"/>
    <x v="84"/>
  </r>
  <r>
    <x v="2"/>
    <x v="2"/>
    <n v="175"/>
    <n v="89"/>
    <x v="1"/>
    <x v="92"/>
    <n v="11"/>
    <n v="1"/>
    <n v="71.082330658043503"/>
    <n v="76.699628118777596"/>
    <n v="244.07196874815401"/>
    <n v="82.203688442272295"/>
    <x v="92"/>
    <n v="60.467521264419602"/>
    <x v="92"/>
    <n v="52.9469341304357"/>
    <n v="69.709471850823604"/>
    <x v="1"/>
    <n v="1"/>
    <x v="0"/>
    <n v="1"/>
    <x v="1"/>
    <x v="85"/>
  </r>
  <r>
    <x v="5"/>
    <x v="5"/>
    <n v="165"/>
    <n v="57"/>
    <x v="0"/>
    <x v="93"/>
    <n v="15"/>
    <n v="1"/>
    <n v="72.964002795300701"/>
    <n v="79.155117406844397"/>
    <n v="246.17569137604801"/>
    <n v="84.923203197685694"/>
    <x v="93"/>
    <n v="71.508752597739303"/>
    <x v="93"/>
    <n v="61.4575448471006"/>
    <n v="83.390720301715007"/>
    <x v="0"/>
    <n v="1"/>
    <x v="0"/>
    <n v="1"/>
    <x v="1"/>
    <x v="86"/>
  </r>
  <r>
    <x v="5"/>
    <x v="5"/>
    <n v="173"/>
    <n v="83"/>
    <x v="3"/>
    <x v="94"/>
    <n v="32"/>
    <n v="3"/>
    <n v="78.7044826410811"/>
    <n v="75.890813325801901"/>
    <n v="238.98337364430401"/>
    <n v="88.528201772070801"/>
    <x v="94"/>
    <n v="83.102650640734296"/>
    <x v="94"/>
    <n v="46.420695270102399"/>
    <n v="82.960306688172096"/>
    <x v="0"/>
    <n v="1"/>
    <x v="0"/>
    <n v="0"/>
    <x v="0"/>
    <x v="87"/>
  </r>
  <r>
    <x v="4"/>
    <x v="4"/>
    <n v="185"/>
    <n v="78"/>
    <x v="1"/>
    <x v="95"/>
    <n v="26"/>
    <n v="1"/>
    <n v="77.602973712599095"/>
    <n v="74.5948483738823"/>
    <n v="236.53273578844301"/>
    <n v="82.468505058361501"/>
    <x v="95"/>
    <n v="81.335091311459195"/>
    <x v="95"/>
    <n v="41.375977307332903"/>
    <n v="72.501392788862702"/>
    <x v="1"/>
    <n v="0"/>
    <x v="1"/>
    <n v="0"/>
    <x v="0"/>
    <x v="88"/>
  </r>
  <r>
    <x v="6"/>
    <x v="6"/>
    <n v="174"/>
    <n v="66"/>
    <x v="2"/>
    <x v="96"/>
    <n v="36"/>
    <n v="0"/>
    <n v="84.569473912910595"/>
    <n v="83.823652139844697"/>
    <n v="229.88407985937499"/>
    <n v="81.924709250410203"/>
    <x v="96"/>
    <n v="94.469760879351895"/>
    <x v="96"/>
    <n v="43.855021461126299"/>
    <n v="88.700996830237898"/>
    <x v="0"/>
    <n v="1"/>
    <x v="0"/>
    <n v="0"/>
    <x v="0"/>
    <x v="89"/>
  </r>
  <r>
    <x v="3"/>
    <x v="3"/>
    <n v="198"/>
    <n v="81"/>
    <x v="3"/>
    <x v="97"/>
    <n v="34"/>
    <n v="1"/>
    <n v="81.072016458705406"/>
    <n v="77.808503366112305"/>
    <n v="271.47675269307501"/>
    <n v="79.629702357962799"/>
    <x v="97"/>
    <n v="76.379775535740905"/>
    <x v="97"/>
    <n v="40.877590912594798"/>
    <n v="82.135080930311403"/>
    <x v="0"/>
    <n v="0"/>
    <x v="1"/>
    <n v="0"/>
    <x v="0"/>
    <x v="27"/>
  </r>
  <r>
    <x v="6"/>
    <x v="6"/>
    <n v="178"/>
    <n v="68"/>
    <x v="0"/>
    <x v="98"/>
    <n v="37"/>
    <n v="1"/>
    <n v="82.382177769432104"/>
    <n v="75.686378072503899"/>
    <n v="246.65623981632299"/>
    <n v="80.851663844179996"/>
    <x v="98"/>
    <n v="72.987683450214504"/>
    <x v="98"/>
    <n v="59.1311417680121"/>
    <n v="62.926125954814601"/>
    <x v="1"/>
    <n v="1"/>
    <x v="0"/>
    <n v="1"/>
    <x v="1"/>
    <x v="66"/>
  </r>
  <r>
    <x v="6"/>
    <x v="6"/>
    <n v="181"/>
    <n v="61"/>
    <x v="1"/>
    <x v="99"/>
    <n v="20"/>
    <n v="1"/>
    <n v="78.155193516907104"/>
    <n v="82.395188373014093"/>
    <n v="215.958431029091"/>
    <n v="84.647839908693101"/>
    <x v="99"/>
    <n v="88.019392946700904"/>
    <x v="99"/>
    <n v="42.613596052444201"/>
    <n v="83.816342151574602"/>
    <x v="0"/>
    <n v="1"/>
    <x v="0"/>
    <n v="0"/>
    <x v="0"/>
    <x v="90"/>
  </r>
  <r>
    <x v="2"/>
    <x v="2"/>
    <n v="186"/>
    <n v="69"/>
    <x v="2"/>
    <x v="100"/>
    <n v="16"/>
    <n v="1"/>
    <n v="66.040867603881907"/>
    <n v="68.410831819488294"/>
    <n v="237.923280834612"/>
    <n v="68.250590724494401"/>
    <x v="100"/>
    <n v="88.404530991780604"/>
    <x v="100"/>
    <n v="58.172390805814999"/>
    <n v="68.439144898872101"/>
    <x v="1"/>
    <n v="0"/>
    <x v="1"/>
    <n v="1"/>
    <x v="1"/>
    <x v="91"/>
  </r>
  <r>
    <x v="2"/>
    <x v="2"/>
    <n v="168"/>
    <n v="78"/>
    <x v="2"/>
    <x v="101"/>
    <n v="18"/>
    <n v="1"/>
    <n v="89.774969091293798"/>
    <n v="81.003629129773202"/>
    <n v="258.52711483416698"/>
    <n v="90.127099459857604"/>
    <x v="101"/>
    <n v="81.728206488897499"/>
    <x v="101"/>
    <n v="59.258415177578897"/>
    <n v="68.745370360889396"/>
    <x v="1"/>
    <n v="1"/>
    <x v="0"/>
    <n v="0"/>
    <x v="0"/>
    <x v="92"/>
  </r>
  <r>
    <x v="4"/>
    <x v="4"/>
    <n v="180"/>
    <n v="71"/>
    <x v="2"/>
    <x v="102"/>
    <n v="14"/>
    <n v="2"/>
    <n v="72.278097730311501"/>
    <n v="79.322881135508197"/>
    <n v="285.99248398849397"/>
    <n v="83.512525882987106"/>
    <x v="102"/>
    <n v="75.255396137991397"/>
    <x v="102"/>
    <n v="61.958041762864603"/>
    <n v="88.394548365063699"/>
    <x v="0"/>
    <n v="1"/>
    <x v="0"/>
    <n v="1"/>
    <x v="1"/>
    <x v="93"/>
  </r>
  <r>
    <x v="4"/>
    <x v="4"/>
    <n v="177"/>
    <n v="74"/>
    <x v="2"/>
    <x v="103"/>
    <n v="29"/>
    <n v="3"/>
    <n v="81.206489030435407"/>
    <n v="86.637461905030904"/>
    <n v="220.04942281390001"/>
    <n v="76.949361982773496"/>
    <x v="103"/>
    <n v="78.206587941637494"/>
    <x v="103"/>
    <n v="59.8062849229254"/>
    <n v="72.254219287505407"/>
    <x v="1"/>
    <n v="1"/>
    <x v="0"/>
    <n v="1"/>
    <x v="1"/>
    <x v="94"/>
  </r>
  <r>
    <x v="6"/>
    <x v="6"/>
    <n v="185"/>
    <n v="77"/>
    <x v="1"/>
    <x v="104"/>
    <n v="29"/>
    <n v="1"/>
    <n v="65.964361616489299"/>
    <n v="72.609741949000295"/>
    <n v="278.73846256265102"/>
    <n v="81.519102925973897"/>
    <x v="104"/>
    <n v="68.117787427824695"/>
    <x v="104"/>
    <n v="53.759629482427201"/>
    <n v="70.537394972196907"/>
    <x v="1"/>
    <n v="0"/>
    <x v="1"/>
    <n v="1"/>
    <x v="1"/>
    <x v="95"/>
  </r>
  <r>
    <x v="4"/>
    <x v="4"/>
    <n v="173"/>
    <n v="89"/>
    <x v="0"/>
    <x v="105"/>
    <n v="13"/>
    <n v="5"/>
    <n v="74.673507752210696"/>
    <n v="70.507280554004495"/>
    <n v="240.29959449094"/>
    <n v="82.734634916176205"/>
    <x v="105"/>
    <n v="67.120756071040603"/>
    <x v="105"/>
    <n v="68.274593605940694"/>
    <n v="71.215960816632105"/>
    <x v="1"/>
    <n v="1"/>
    <x v="0"/>
    <n v="1"/>
    <x v="1"/>
    <x v="96"/>
  </r>
  <r>
    <x v="0"/>
    <x v="0"/>
    <n v="190"/>
    <n v="71"/>
    <x v="3"/>
    <x v="106"/>
    <n v="7"/>
    <n v="0"/>
    <n v="70.346727485902207"/>
    <n v="72.9826718853068"/>
    <n v="244.507564323758"/>
    <n v="82.805654470816705"/>
    <x v="106"/>
    <n v="72.973762698008699"/>
    <x v="106"/>
    <n v="45.266562195624402"/>
    <n v="67.157233077366499"/>
    <x v="1"/>
    <n v="0"/>
    <x v="1"/>
    <n v="1"/>
    <x v="1"/>
    <x v="97"/>
  </r>
  <r>
    <x v="6"/>
    <x v="6"/>
    <n v="170"/>
    <n v="72"/>
    <x v="0"/>
    <x v="107"/>
    <n v="24"/>
    <n v="2"/>
    <n v="70.741007940372299"/>
    <n v="80.580527995933195"/>
    <n v="215.678145922071"/>
    <n v="91.736999082020404"/>
    <x v="107"/>
    <n v="93.741016011165996"/>
    <x v="107"/>
    <n v="53.832804636097002"/>
    <n v="86.736843192674897"/>
    <x v="0"/>
    <n v="0"/>
    <x v="1"/>
    <n v="0"/>
    <x v="0"/>
    <x v="98"/>
  </r>
  <r>
    <x v="0"/>
    <x v="0"/>
    <n v="189"/>
    <n v="73"/>
    <x v="3"/>
    <x v="108"/>
    <n v="29"/>
    <n v="2"/>
    <n v="79.236102161008901"/>
    <n v="72.181764076561393"/>
    <n v="268.30416051557802"/>
    <n v="75.685304564775805"/>
    <x v="108"/>
    <n v="73.9555775767694"/>
    <x v="108"/>
    <n v="65.125529866982703"/>
    <n v="55.974668837618502"/>
    <x v="2"/>
    <n v="0"/>
    <x v="1"/>
    <n v="1"/>
    <x v="1"/>
    <x v="99"/>
  </r>
  <r>
    <x v="3"/>
    <x v="3"/>
    <n v="180"/>
    <n v="71"/>
    <x v="0"/>
    <x v="109"/>
    <n v="30"/>
    <n v="4"/>
    <n v="68.488307385865397"/>
    <n v="62.670575277209799"/>
    <n v="248.65700200081201"/>
    <n v="73.555276726360702"/>
    <x v="109"/>
    <n v="78.621342175295197"/>
    <x v="109"/>
    <n v="48.477490499498202"/>
    <n v="76.351116677353005"/>
    <x v="1"/>
    <n v="0"/>
    <x v="1"/>
    <n v="1"/>
    <x v="1"/>
    <x v="93"/>
  </r>
  <r>
    <x v="6"/>
    <x v="6"/>
    <n v="171"/>
    <n v="83"/>
    <x v="1"/>
    <x v="110"/>
    <n v="34"/>
    <n v="1"/>
    <n v="78.6813419711834"/>
    <n v="80.319996813880607"/>
    <n v="256.07338499273197"/>
    <n v="91.028069599134199"/>
    <x v="110"/>
    <n v="72.630066688062698"/>
    <x v="110"/>
    <n v="62.178712889635698"/>
    <n v="83.015072827972801"/>
    <x v="0"/>
    <n v="1"/>
    <x v="0"/>
    <n v="0"/>
    <x v="0"/>
    <x v="58"/>
  </r>
  <r>
    <x v="0"/>
    <x v="0"/>
    <n v="185"/>
    <n v="90"/>
    <x v="3"/>
    <x v="111"/>
    <n v="25"/>
    <n v="0"/>
    <n v="72.984532102619497"/>
    <n v="86.886976955720002"/>
    <n v="237.95637231540201"/>
    <n v="98.077467143474806"/>
    <x v="111"/>
    <n v="70.164387011326497"/>
    <x v="111"/>
    <n v="62.983875323511498"/>
    <n v="71.512703946182597"/>
    <x v="1"/>
    <n v="0"/>
    <x v="1"/>
    <n v="0"/>
    <x v="0"/>
    <x v="100"/>
  </r>
  <r>
    <x v="4"/>
    <x v="4"/>
    <n v="179"/>
    <n v="82"/>
    <x v="0"/>
    <x v="112"/>
    <n v="5"/>
    <n v="2"/>
    <n v="71.785606146629505"/>
    <n v="85.013537639618903"/>
    <n v="282.37401903660401"/>
    <n v="78.504443278785999"/>
    <x v="112"/>
    <n v="84.189368785165101"/>
    <x v="112"/>
    <n v="63.684739648703903"/>
    <n v="72.396711457107699"/>
    <x v="1"/>
    <n v="0"/>
    <x v="1"/>
    <n v="1"/>
    <x v="1"/>
    <x v="101"/>
  </r>
  <r>
    <x v="5"/>
    <x v="5"/>
    <n v="185"/>
    <n v="69"/>
    <x v="1"/>
    <x v="113"/>
    <n v="27"/>
    <n v="2"/>
    <n v="72.462567847189206"/>
    <n v="84.295956603974602"/>
    <n v="229.93058967767701"/>
    <n v="82.386389172873606"/>
    <x v="113"/>
    <n v="81.7988567191545"/>
    <x v="113"/>
    <n v="54.663571134666299"/>
    <n v="66.159819305281005"/>
    <x v="1"/>
    <n v="1"/>
    <x v="0"/>
    <n v="1"/>
    <x v="1"/>
    <x v="102"/>
  </r>
  <r>
    <x v="0"/>
    <x v="0"/>
    <n v="193"/>
    <n v="80"/>
    <x v="3"/>
    <x v="114"/>
    <n v="24"/>
    <n v="0"/>
    <n v="71.304268348758598"/>
    <n v="72.448388849852805"/>
    <n v="228.21874088362199"/>
    <n v="77.980544833217394"/>
    <x v="114"/>
    <n v="70.561875586887993"/>
    <x v="114"/>
    <n v="51.720041332960598"/>
    <n v="79.126618814113101"/>
    <x v="1"/>
    <n v="1"/>
    <x v="0"/>
    <n v="0"/>
    <x v="0"/>
    <x v="103"/>
  </r>
  <r>
    <x v="2"/>
    <x v="2"/>
    <n v="166"/>
    <n v="75"/>
    <x v="1"/>
    <x v="115"/>
    <n v="16"/>
    <n v="4"/>
    <n v="68.86680341025"/>
    <n v="66.927677209637494"/>
    <n v="266.44183025729899"/>
    <n v="71.6044652182064"/>
    <x v="115"/>
    <n v="56.7506893023427"/>
    <x v="115"/>
    <n v="49.704051798930102"/>
    <n v="85.702681558381798"/>
    <x v="0"/>
    <n v="1"/>
    <x v="0"/>
    <n v="1"/>
    <x v="1"/>
    <x v="104"/>
  </r>
  <r>
    <x v="3"/>
    <x v="3"/>
    <n v="172"/>
    <n v="86"/>
    <x v="0"/>
    <x v="116"/>
    <n v="18"/>
    <n v="2"/>
    <n v="71.809436269968202"/>
    <n v="76.086230478778305"/>
    <n v="225.29639355785099"/>
    <n v="86.871854461811694"/>
    <x v="116"/>
    <n v="89.028224347042396"/>
    <x v="116"/>
    <n v="54.421674533070302"/>
    <n v="89.896986174841601"/>
    <x v="0"/>
    <n v="1"/>
    <x v="0"/>
    <n v="0"/>
    <x v="0"/>
    <x v="105"/>
  </r>
  <r>
    <x v="1"/>
    <x v="1"/>
    <n v="175"/>
    <n v="71"/>
    <x v="2"/>
    <x v="117"/>
    <n v="8"/>
    <n v="0"/>
    <n v="71.519776716694807"/>
    <n v="81.422699912309994"/>
    <n v="210.99599364663499"/>
    <n v="83.292962798067805"/>
    <x v="117"/>
    <n v="70.6635135673734"/>
    <x v="117"/>
    <n v="35.306374315609801"/>
    <n v="74.447167499788804"/>
    <x v="1"/>
    <n v="0"/>
    <x v="1"/>
    <n v="0"/>
    <x v="0"/>
    <x v="106"/>
  </r>
  <r>
    <x v="3"/>
    <x v="3"/>
    <n v="172"/>
    <n v="58"/>
    <x v="0"/>
    <x v="118"/>
    <n v="20"/>
    <n v="3"/>
    <n v="71.730819012032796"/>
    <n v="74.315785371271204"/>
    <n v="275.07586980039099"/>
    <n v="90.116915858585102"/>
    <x v="118"/>
    <n v="73.818539815028004"/>
    <x v="118"/>
    <n v="46.588846202026701"/>
    <n v="63.4411922073837"/>
    <x v="1"/>
    <n v="0"/>
    <x v="1"/>
    <n v="1"/>
    <x v="1"/>
    <x v="107"/>
  </r>
  <r>
    <x v="3"/>
    <x v="3"/>
    <n v="173"/>
    <n v="65"/>
    <x v="0"/>
    <x v="119"/>
    <n v="29"/>
    <n v="2"/>
    <n v="72.456953857825496"/>
    <n v="80.237023052302504"/>
    <n v="261.14962967859799"/>
    <n v="65.632667508534794"/>
    <x v="119"/>
    <n v="70.484608908026701"/>
    <x v="119"/>
    <n v="49.153144590261803"/>
    <n v="81.241833397280999"/>
    <x v="0"/>
    <n v="0"/>
    <x v="1"/>
    <n v="1"/>
    <x v="1"/>
    <x v="108"/>
  </r>
  <r>
    <x v="2"/>
    <x v="2"/>
    <n v="182"/>
    <n v="61"/>
    <x v="1"/>
    <x v="120"/>
    <n v="18"/>
    <n v="2"/>
    <n v="72.874589734306696"/>
    <n v="70.809719503095295"/>
    <n v="244.727236460906"/>
    <n v="81.720823553735599"/>
    <x v="120"/>
    <n v="71.469653923832794"/>
    <x v="120"/>
    <n v="69.866312953154093"/>
    <n v="65.083370822899695"/>
    <x v="1"/>
    <n v="1"/>
    <x v="0"/>
    <n v="1"/>
    <x v="1"/>
    <x v="109"/>
  </r>
  <r>
    <x v="0"/>
    <x v="0"/>
    <n v="178"/>
    <n v="54"/>
    <x v="3"/>
    <x v="121"/>
    <n v="38"/>
    <n v="3"/>
    <n v="79.949851841954001"/>
    <n v="80.806867054862096"/>
    <n v="249.31290570589999"/>
    <n v="72.140933197287794"/>
    <x v="121"/>
    <n v="52.870494897757602"/>
    <x v="121"/>
    <n v="71.367937194288302"/>
    <n v="75.306108222700601"/>
    <x v="1"/>
    <n v="1"/>
    <x v="0"/>
    <n v="1"/>
    <x v="1"/>
    <x v="110"/>
  </r>
  <r>
    <x v="0"/>
    <x v="0"/>
    <n v="177"/>
    <n v="81"/>
    <x v="0"/>
    <x v="122"/>
    <n v="5"/>
    <n v="1"/>
    <n v="60.450700845767997"/>
    <n v="83.434956194709997"/>
    <n v="260.760086248405"/>
    <n v="75.056176281844401"/>
    <x v="122"/>
    <n v="68.819642751411706"/>
    <x v="122"/>
    <n v="59.6072933565451"/>
    <n v="58.752771005826801"/>
    <x v="2"/>
    <n v="0"/>
    <x v="1"/>
    <n v="1"/>
    <x v="1"/>
    <x v="111"/>
  </r>
  <r>
    <x v="2"/>
    <x v="2"/>
    <n v="168"/>
    <n v="80"/>
    <x v="1"/>
    <x v="123"/>
    <n v="38"/>
    <n v="3"/>
    <n v="85.630793242366295"/>
    <n v="83.238771578663602"/>
    <n v="261.65421067062999"/>
    <n v="83.200079671931107"/>
    <x v="123"/>
    <n v="83.667154936643996"/>
    <x v="123"/>
    <n v="59.686387666957302"/>
    <n v="81.177795281407597"/>
    <x v="0"/>
    <n v="0"/>
    <x v="1"/>
    <n v="0"/>
    <x v="0"/>
    <x v="77"/>
  </r>
  <r>
    <x v="4"/>
    <x v="4"/>
    <n v="187"/>
    <n v="87"/>
    <x v="1"/>
    <x v="124"/>
    <n v="35"/>
    <n v="1"/>
    <n v="68.777577239939404"/>
    <n v="84.246961925315105"/>
    <n v="265.702545917934"/>
    <n v="73.5896692403537"/>
    <x v="124"/>
    <n v="52.9776470143266"/>
    <x v="124"/>
    <n v="56.516562513674799"/>
    <n v="60.147416575606698"/>
    <x v="1"/>
    <n v="1"/>
    <x v="0"/>
    <n v="1"/>
    <x v="1"/>
    <x v="112"/>
  </r>
  <r>
    <x v="6"/>
    <x v="6"/>
    <n v="168"/>
    <n v="92"/>
    <x v="0"/>
    <x v="125"/>
    <n v="27"/>
    <n v="3"/>
    <n v="59.963323693056601"/>
    <n v="72.341892760740294"/>
    <n v="249.04624020872799"/>
    <n v="73.915690081268295"/>
    <x v="125"/>
    <n v="54.810136168361801"/>
    <x v="125"/>
    <n v="54.191811486796198"/>
    <n v="69.929282595626205"/>
    <x v="1"/>
    <n v="0"/>
    <x v="1"/>
    <n v="1"/>
    <x v="1"/>
    <x v="113"/>
  </r>
  <r>
    <x v="3"/>
    <x v="3"/>
    <n v="177"/>
    <n v="86"/>
    <x v="1"/>
    <x v="126"/>
    <n v="6"/>
    <n v="0"/>
    <n v="84.390870179710802"/>
    <n v="81.120605160825704"/>
    <n v="281.02697100507902"/>
    <n v="81.615478534654997"/>
    <x v="126"/>
    <n v="74.138329714055899"/>
    <x v="126"/>
    <n v="42.329049542711203"/>
    <n v="93.684101085535303"/>
    <x v="0"/>
    <n v="0"/>
    <x v="1"/>
    <n v="0"/>
    <x v="0"/>
    <x v="114"/>
  </r>
  <r>
    <x v="1"/>
    <x v="1"/>
    <n v="185"/>
    <n v="57"/>
    <x v="3"/>
    <x v="127"/>
    <n v="7"/>
    <n v="4"/>
    <n v="74.217603852863903"/>
    <n v="69.472292525568406"/>
    <n v="226.79482381187199"/>
    <n v="77.062959907409393"/>
    <x v="127"/>
    <n v="62.204726606343797"/>
    <x v="127"/>
    <n v="69.897725775172901"/>
    <n v="63.565772188578599"/>
    <x v="1"/>
    <n v="1"/>
    <x v="0"/>
    <n v="1"/>
    <x v="1"/>
    <x v="115"/>
  </r>
  <r>
    <x v="5"/>
    <x v="5"/>
    <n v="162"/>
    <n v="77"/>
    <x v="2"/>
    <x v="128"/>
    <n v="35"/>
    <n v="1"/>
    <n v="80.055093678878904"/>
    <n v="74.968583290191106"/>
    <n v="293.15974416920699"/>
    <n v="82.481844550279504"/>
    <x v="128"/>
    <n v="77.305565353428804"/>
    <x v="128"/>
    <n v="71.761132695370705"/>
    <n v="62.1219420501291"/>
    <x v="1"/>
    <n v="1"/>
    <x v="0"/>
    <n v="1"/>
    <x v="1"/>
    <x v="116"/>
  </r>
  <r>
    <x v="4"/>
    <x v="4"/>
    <n v="177"/>
    <n v="58"/>
    <x v="3"/>
    <x v="129"/>
    <n v="14"/>
    <n v="2"/>
    <n v="84.809863291324504"/>
    <n v="80.002488426869604"/>
    <n v="241.21730218636699"/>
    <n v="80.994608357829094"/>
    <x v="129"/>
    <n v="79.125752568903494"/>
    <x v="129"/>
    <n v="57.568552020485903"/>
    <n v="68.904392485638795"/>
    <x v="1"/>
    <n v="1"/>
    <x v="0"/>
    <n v="0"/>
    <x v="0"/>
    <x v="117"/>
  </r>
  <r>
    <x v="6"/>
    <x v="6"/>
    <n v="169"/>
    <n v="82"/>
    <x v="2"/>
    <x v="130"/>
    <n v="35"/>
    <n v="0"/>
    <n v="67.535053118087205"/>
    <n v="90.152200141767807"/>
    <n v="235.01600128503301"/>
    <n v="86.256427867161605"/>
    <x v="130"/>
    <n v="83.573919065446404"/>
    <x v="130"/>
    <n v="47.4509905630959"/>
    <n v="78.306212074161394"/>
    <x v="1"/>
    <n v="1"/>
    <x v="0"/>
    <n v="0"/>
    <x v="0"/>
    <x v="118"/>
  </r>
  <r>
    <x v="5"/>
    <x v="5"/>
    <n v="177"/>
    <n v="89"/>
    <x v="3"/>
    <x v="131"/>
    <n v="24"/>
    <n v="1"/>
    <n v="74.939358811262196"/>
    <n v="85.83527103518"/>
    <n v="229.68082040717599"/>
    <n v="69.980440440206706"/>
    <x v="131"/>
    <n v="67.777973445469399"/>
    <x v="131"/>
    <n v="70.587937274044194"/>
    <n v="78.128261255440805"/>
    <x v="1"/>
    <n v="1"/>
    <x v="0"/>
    <n v="1"/>
    <x v="1"/>
    <x v="119"/>
  </r>
  <r>
    <x v="1"/>
    <x v="1"/>
    <n v="185"/>
    <n v="76"/>
    <x v="0"/>
    <x v="132"/>
    <n v="5"/>
    <n v="0"/>
    <n v="78.418796452633501"/>
    <n v="68.260389095787801"/>
    <n v="272.34589764415801"/>
    <n v="83.503215955974198"/>
    <x v="132"/>
    <n v="72.019515078011494"/>
    <x v="132"/>
    <n v="75.246240773973"/>
    <n v="75.307855303306297"/>
    <x v="1"/>
    <n v="1"/>
    <x v="0"/>
    <n v="1"/>
    <x v="1"/>
    <x v="9"/>
  </r>
  <r>
    <x v="6"/>
    <x v="6"/>
    <n v="183"/>
    <n v="68"/>
    <x v="1"/>
    <x v="133"/>
    <n v="24"/>
    <n v="1"/>
    <n v="76.629090326394902"/>
    <n v="89.554947291100405"/>
    <n v="214.20935849044699"/>
    <n v="86.607252568264101"/>
    <x v="133"/>
    <n v="81.848640184205806"/>
    <x v="133"/>
    <n v="35.919950682516301"/>
    <n v="86.060101543661403"/>
    <x v="0"/>
    <n v="1"/>
    <x v="0"/>
    <n v="0"/>
    <x v="0"/>
    <x v="120"/>
  </r>
  <r>
    <x v="1"/>
    <x v="1"/>
    <n v="181"/>
    <n v="73"/>
    <x v="2"/>
    <x v="134"/>
    <n v="38"/>
    <n v="0"/>
    <n v="72.542229340025003"/>
    <n v="73.811480481249006"/>
    <n v="269.517294669764"/>
    <n v="87.996878840904202"/>
    <x v="134"/>
    <n v="61.518302587709201"/>
    <x v="134"/>
    <n v="49.142937345830603"/>
    <n v="64.443349551381402"/>
    <x v="1"/>
    <n v="1"/>
    <x v="0"/>
    <n v="1"/>
    <x v="1"/>
    <x v="83"/>
  </r>
  <r>
    <x v="5"/>
    <x v="5"/>
    <n v="179"/>
    <n v="77"/>
    <x v="2"/>
    <x v="135"/>
    <n v="10"/>
    <n v="3"/>
    <n v="82.938365864942099"/>
    <n v="77.789480512098805"/>
    <n v="222.715286345105"/>
    <n v="89.362214845787804"/>
    <x v="135"/>
    <n v="82.640380083294005"/>
    <x v="135"/>
    <n v="51.2092773900536"/>
    <n v="74.000919146923906"/>
    <x v="1"/>
    <n v="1"/>
    <x v="0"/>
    <n v="0"/>
    <x v="0"/>
    <x v="121"/>
  </r>
  <r>
    <x v="5"/>
    <x v="5"/>
    <n v="163"/>
    <n v="77"/>
    <x v="1"/>
    <x v="136"/>
    <n v="5"/>
    <n v="1"/>
    <n v="70.5916826500127"/>
    <n v="77.024858286017604"/>
    <n v="235.285194645492"/>
    <n v="89.822173238681302"/>
    <x v="136"/>
    <n v="76.581209490278695"/>
    <x v="136"/>
    <n v="36.561678462294303"/>
    <n v="79.492333545361703"/>
    <x v="1"/>
    <n v="1"/>
    <x v="0"/>
    <n v="0"/>
    <x v="0"/>
    <x v="122"/>
  </r>
  <r>
    <x v="5"/>
    <x v="5"/>
    <n v="176"/>
    <n v="73"/>
    <x v="1"/>
    <x v="137"/>
    <n v="7"/>
    <n v="3"/>
    <n v="65.813204145864603"/>
    <n v="72.4650168302298"/>
    <n v="270.44493128816498"/>
    <n v="82.628922054179796"/>
    <x v="137"/>
    <n v="82.723622499479902"/>
    <x v="137"/>
    <n v="66.920006667783596"/>
    <n v="69.127550436276394"/>
    <x v="1"/>
    <n v="0"/>
    <x v="1"/>
    <n v="1"/>
    <x v="1"/>
    <x v="123"/>
  </r>
  <r>
    <x v="1"/>
    <x v="1"/>
    <n v="185"/>
    <n v="63"/>
    <x v="3"/>
    <x v="138"/>
    <n v="13"/>
    <n v="0"/>
    <n v="77.241985171007101"/>
    <n v="77.277683860060705"/>
    <n v="208.233199074308"/>
    <n v="88.824961769660007"/>
    <x v="138"/>
    <n v="91.912188403500394"/>
    <x v="138"/>
    <n v="61.2501706238995"/>
    <n v="78.063685460937094"/>
    <x v="1"/>
    <n v="1"/>
    <x v="0"/>
    <n v="0"/>
    <x v="0"/>
    <x v="124"/>
  </r>
  <r>
    <x v="0"/>
    <x v="0"/>
    <n v="172"/>
    <n v="85"/>
    <x v="0"/>
    <x v="139"/>
    <n v="8"/>
    <n v="0"/>
    <n v="75.936807271160305"/>
    <n v="91.800094055008202"/>
    <n v="239.06845951853899"/>
    <n v="86.844161096652698"/>
    <x v="139"/>
    <n v="85.308272025307204"/>
    <x v="139"/>
    <n v="55.167772939802703"/>
    <n v="76.722383962725004"/>
    <x v="1"/>
    <n v="1"/>
    <x v="0"/>
    <n v="0"/>
    <x v="0"/>
    <x v="125"/>
  </r>
  <r>
    <x v="4"/>
    <x v="4"/>
    <n v="182"/>
    <n v="68"/>
    <x v="3"/>
    <x v="140"/>
    <n v="37"/>
    <n v="4"/>
    <n v="62.148917168907097"/>
    <n v="76.765453166329294"/>
    <n v="264.470173490636"/>
    <n v="77.659312130003201"/>
    <x v="140"/>
    <n v="73.152597460625799"/>
    <x v="140"/>
    <n v="63.537188491042002"/>
    <n v="84.279453597583895"/>
    <x v="0"/>
    <n v="0"/>
    <x v="1"/>
    <n v="1"/>
    <x v="1"/>
    <x v="126"/>
  </r>
  <r>
    <x v="1"/>
    <x v="1"/>
    <n v="168"/>
    <n v="76"/>
    <x v="3"/>
    <x v="141"/>
    <n v="9"/>
    <n v="3"/>
    <n v="78.722010005720193"/>
    <n v="79.318991195668303"/>
    <n v="239.361462277453"/>
    <n v="78.644525848879098"/>
    <x v="141"/>
    <n v="77.376517338350595"/>
    <x v="141"/>
    <n v="46.351729744238199"/>
    <n v="79.899589110066202"/>
    <x v="1"/>
    <n v="0"/>
    <x v="1"/>
    <n v="0"/>
    <x v="0"/>
    <x v="127"/>
  </r>
  <r>
    <x v="0"/>
    <x v="0"/>
    <n v="176"/>
    <n v="88"/>
    <x v="2"/>
    <x v="142"/>
    <n v="16"/>
    <n v="1"/>
    <n v="73.231607872190395"/>
    <n v="82.752428836834795"/>
    <n v="236.48619114221901"/>
    <n v="94.463866278185606"/>
    <x v="142"/>
    <n v="78.996234087127704"/>
    <x v="142"/>
    <n v="62.187335795677399"/>
    <n v="76.841455931028904"/>
    <x v="1"/>
    <n v="1"/>
    <x v="0"/>
    <n v="0"/>
    <x v="0"/>
    <x v="128"/>
  </r>
  <r>
    <x v="2"/>
    <x v="2"/>
    <n v="175"/>
    <n v="79"/>
    <x v="1"/>
    <x v="143"/>
    <n v="12"/>
    <n v="4"/>
    <n v="69.794534645997203"/>
    <n v="76.5045607676781"/>
    <n v="306.33564687805199"/>
    <n v="87.112976077162799"/>
    <x v="143"/>
    <n v="78.612880690525699"/>
    <x v="143"/>
    <n v="60.779727736854703"/>
    <n v="65.674556408870799"/>
    <x v="1"/>
    <n v="1"/>
    <x v="0"/>
    <n v="1"/>
    <x v="1"/>
    <x v="129"/>
  </r>
  <r>
    <x v="0"/>
    <x v="0"/>
    <n v="188"/>
    <n v="91"/>
    <x v="2"/>
    <x v="144"/>
    <n v="5"/>
    <n v="2"/>
    <n v="73.336510795032098"/>
    <n v="75.982409129557595"/>
    <n v="293.47455562228998"/>
    <n v="82.173815906713898"/>
    <x v="144"/>
    <n v="64.613514422572905"/>
    <x v="144"/>
    <n v="45.1594797414445"/>
    <n v="76.337447824299801"/>
    <x v="1"/>
    <n v="1"/>
    <x v="0"/>
    <n v="1"/>
    <x v="1"/>
    <x v="130"/>
  </r>
  <r>
    <x v="1"/>
    <x v="1"/>
    <n v="183"/>
    <n v="74"/>
    <x v="3"/>
    <x v="145"/>
    <n v="39"/>
    <n v="0"/>
    <n v="85.221406048681999"/>
    <n v="94.697071214525494"/>
    <n v="267.876664893976"/>
    <n v="87.548915377680302"/>
    <x v="145"/>
    <n v="65.888382264212396"/>
    <x v="145"/>
    <n v="45.537362969658403"/>
    <n v="78.4111933992058"/>
    <x v="1"/>
    <n v="1"/>
    <x v="0"/>
    <n v="0"/>
    <x v="0"/>
    <x v="131"/>
  </r>
  <r>
    <x v="5"/>
    <x v="5"/>
    <n v="177"/>
    <n v="72"/>
    <x v="1"/>
    <x v="146"/>
    <n v="10"/>
    <n v="4"/>
    <n v="76.853388082097595"/>
    <n v="76.1012308693346"/>
    <n v="223.282507060146"/>
    <n v="92.398304392057696"/>
    <x v="146"/>
    <n v="79.703630225810997"/>
    <x v="146"/>
    <n v="62.5406610211678"/>
    <n v="65.534929305439803"/>
    <x v="1"/>
    <n v="1"/>
    <x v="0"/>
    <n v="1"/>
    <x v="1"/>
    <x v="132"/>
  </r>
  <r>
    <x v="6"/>
    <x v="6"/>
    <n v="165"/>
    <n v="71"/>
    <x v="2"/>
    <x v="147"/>
    <n v="35"/>
    <n v="2"/>
    <n v="74.728121352660196"/>
    <n v="71.052530829182302"/>
    <n v="248.045245670074"/>
    <n v="79.541314190683096"/>
    <x v="147"/>
    <n v="71.352582304998407"/>
    <x v="147"/>
    <n v="68.229562497610999"/>
    <n v="70.914443841548803"/>
    <x v="1"/>
    <n v="0"/>
    <x v="1"/>
    <n v="1"/>
    <x v="1"/>
    <x v="133"/>
  </r>
  <r>
    <x v="0"/>
    <x v="0"/>
    <n v="166"/>
    <n v="73"/>
    <x v="2"/>
    <x v="148"/>
    <n v="20"/>
    <n v="0"/>
    <n v="80.122787216443697"/>
    <n v="87.606213716400106"/>
    <n v="253.48667888553001"/>
    <n v="85.073016974067798"/>
    <x v="148"/>
    <n v="73.743611814031198"/>
    <x v="148"/>
    <n v="40.514424449465103"/>
    <n v="81.25590907966"/>
    <x v="0"/>
    <n v="1"/>
    <x v="0"/>
    <n v="0"/>
    <x v="0"/>
    <x v="134"/>
  </r>
  <r>
    <x v="3"/>
    <x v="3"/>
    <n v="165"/>
    <n v="71"/>
    <x v="3"/>
    <x v="149"/>
    <n v="30"/>
    <n v="1"/>
    <n v="85.317265148256894"/>
    <n v="79.548214650244006"/>
    <n v="251.204689705475"/>
    <n v="78.660509798421501"/>
    <x v="149"/>
    <n v="78.0089748048552"/>
    <x v="149"/>
    <n v="63.206227485396496"/>
    <n v="77.870911291475494"/>
    <x v="1"/>
    <n v="1"/>
    <x v="0"/>
    <n v="0"/>
    <x v="0"/>
    <x v="133"/>
  </r>
  <r>
    <x v="0"/>
    <x v="0"/>
    <n v="176"/>
    <n v="75"/>
    <x v="0"/>
    <x v="150"/>
    <n v="29"/>
    <n v="1"/>
    <n v="81.473520451970799"/>
    <n v="75.917669270617694"/>
    <n v="232.197259430109"/>
    <n v="88.053676182407301"/>
    <x v="150"/>
    <n v="66.494439135611302"/>
    <x v="150"/>
    <n v="40.5709907160334"/>
    <n v="75.051667780748502"/>
    <x v="1"/>
    <n v="0"/>
    <x v="1"/>
    <n v="0"/>
    <x v="0"/>
    <x v="37"/>
  </r>
  <r>
    <x v="6"/>
    <x v="6"/>
    <n v="175"/>
    <n v="75"/>
    <x v="0"/>
    <x v="151"/>
    <n v="13"/>
    <n v="1"/>
    <n v="67.463925546689396"/>
    <n v="82.8263578364122"/>
    <n v="248.60535813919401"/>
    <n v="60.059483731508202"/>
    <x v="151"/>
    <n v="80.740710057682193"/>
    <x v="151"/>
    <n v="53.683248209231799"/>
    <n v="80.159494153913599"/>
    <x v="0"/>
    <n v="1"/>
    <x v="0"/>
    <n v="1"/>
    <x v="1"/>
    <x v="135"/>
  </r>
  <r>
    <x v="5"/>
    <x v="5"/>
    <n v="178"/>
    <n v="73"/>
    <x v="2"/>
    <x v="152"/>
    <n v="32"/>
    <n v="1"/>
    <n v="71.368808842304404"/>
    <n v="87.8584519990427"/>
    <n v="212.627692978374"/>
    <n v="86.989246704288206"/>
    <x v="152"/>
    <n v="89.908649705422107"/>
    <x v="152"/>
    <n v="60.095424075104198"/>
    <n v="78.623757558623595"/>
    <x v="1"/>
    <n v="1"/>
    <x v="0"/>
    <n v="0"/>
    <x v="0"/>
    <x v="136"/>
  </r>
  <r>
    <x v="5"/>
    <x v="5"/>
    <n v="176"/>
    <n v="70"/>
    <x v="1"/>
    <x v="153"/>
    <n v="31"/>
    <n v="0"/>
    <n v="78.439726092589893"/>
    <n v="77.358933705995398"/>
    <n v="270.54440718637397"/>
    <n v="85.572313114057494"/>
    <x v="153"/>
    <n v="84.390282493113006"/>
    <x v="153"/>
    <n v="43.429413154752801"/>
    <n v="84.754468290902395"/>
    <x v="0"/>
    <n v="1"/>
    <x v="0"/>
    <n v="0"/>
    <x v="0"/>
    <x v="137"/>
  </r>
  <r>
    <x v="4"/>
    <x v="4"/>
    <n v="184"/>
    <n v="70"/>
    <x v="0"/>
    <x v="154"/>
    <n v="38"/>
    <n v="1"/>
    <n v="73.525243047005105"/>
    <n v="86.235203887593897"/>
    <n v="225.98052403803601"/>
    <n v="86.371396266545105"/>
    <x v="154"/>
    <n v="88.134142327641996"/>
    <x v="154"/>
    <n v="51.089697466873801"/>
    <n v="86.246723194039205"/>
    <x v="0"/>
    <n v="1"/>
    <x v="0"/>
    <n v="0"/>
    <x v="0"/>
    <x v="138"/>
  </r>
  <r>
    <x v="6"/>
    <x v="6"/>
    <n v="185"/>
    <n v="68"/>
    <x v="3"/>
    <x v="155"/>
    <n v="22"/>
    <n v="2"/>
    <n v="70.316501565924497"/>
    <n v="80.881856260171702"/>
    <n v="250.833760063347"/>
    <n v="84.776582228474695"/>
    <x v="155"/>
    <n v="63.373187449805101"/>
    <x v="155"/>
    <n v="44.7350691423688"/>
    <n v="86.408405439596194"/>
    <x v="0"/>
    <n v="1"/>
    <x v="0"/>
    <n v="0"/>
    <x v="0"/>
    <x v="139"/>
  </r>
  <r>
    <x v="5"/>
    <x v="5"/>
    <n v="188"/>
    <n v="79"/>
    <x v="0"/>
    <x v="156"/>
    <n v="27"/>
    <n v="0"/>
    <n v="88.305286078163505"/>
    <n v="74.261149491250706"/>
    <n v="229.127449866467"/>
    <n v="78.812749521654496"/>
    <x v="156"/>
    <n v="72.126986520463404"/>
    <x v="156"/>
    <n v="35.351087421187998"/>
    <n v="84.673799609628304"/>
    <x v="0"/>
    <n v="1"/>
    <x v="0"/>
    <n v="0"/>
    <x v="0"/>
    <x v="140"/>
  </r>
  <r>
    <x v="6"/>
    <x v="6"/>
    <n v="187"/>
    <n v="92"/>
    <x v="3"/>
    <x v="157"/>
    <n v="17"/>
    <n v="2"/>
    <n v="77.697870295209498"/>
    <n v="76.748118454064098"/>
    <n v="238.090626653741"/>
    <n v="81.081722013036099"/>
    <x v="157"/>
    <n v="84.140843901312806"/>
    <x v="157"/>
    <n v="31.253003398877102"/>
    <n v="85.115643218411194"/>
    <x v="0"/>
    <n v="1"/>
    <x v="0"/>
    <n v="0"/>
    <x v="0"/>
    <x v="141"/>
  </r>
  <r>
    <x v="4"/>
    <x v="4"/>
    <n v="179"/>
    <n v="71"/>
    <x v="0"/>
    <x v="158"/>
    <n v="24"/>
    <n v="2"/>
    <n v="73.815983975608205"/>
    <n v="85.954558605549593"/>
    <n v="272.73867721757398"/>
    <n v="90.433786713181405"/>
    <x v="158"/>
    <n v="82.172200354316203"/>
    <x v="158"/>
    <n v="46.507528448276503"/>
    <n v="72.344096879980697"/>
    <x v="1"/>
    <n v="1"/>
    <x v="0"/>
    <n v="0"/>
    <x v="0"/>
    <x v="142"/>
  </r>
  <r>
    <x v="5"/>
    <x v="5"/>
    <n v="188"/>
    <n v="88"/>
    <x v="2"/>
    <x v="159"/>
    <n v="33"/>
    <n v="0"/>
    <n v="66.850689195215296"/>
    <n v="80.071349617895194"/>
    <n v="222.62822779139799"/>
    <n v="94.267674938642699"/>
    <x v="159"/>
    <n v="93.835027279543098"/>
    <x v="159"/>
    <n v="42.5473112368283"/>
    <n v="84.067699734005103"/>
    <x v="0"/>
    <n v="0"/>
    <x v="1"/>
    <n v="0"/>
    <x v="0"/>
    <x v="143"/>
  </r>
  <r>
    <x v="1"/>
    <x v="1"/>
    <n v="171"/>
    <n v="76"/>
    <x v="1"/>
    <x v="160"/>
    <n v="6"/>
    <n v="0"/>
    <n v="67.104063590342705"/>
    <n v="81.692693810784107"/>
    <n v="295.06035330837301"/>
    <n v="91.660137705537693"/>
    <x v="160"/>
    <n v="66.329408517794405"/>
    <x v="160"/>
    <n v="54.655268926705403"/>
    <n v="67.619025602674199"/>
    <x v="1"/>
    <n v="1"/>
    <x v="0"/>
    <n v="1"/>
    <x v="1"/>
    <x v="144"/>
  </r>
  <r>
    <x v="5"/>
    <x v="5"/>
    <n v="177"/>
    <n v="81"/>
    <x v="1"/>
    <x v="161"/>
    <n v="22"/>
    <n v="0"/>
    <n v="77.969926085679205"/>
    <n v="78.752529164248799"/>
    <n v="265.28720159310802"/>
    <n v="94.413529591263398"/>
    <x v="161"/>
    <n v="71.883125211285801"/>
    <x v="161"/>
    <n v="49.392174761054903"/>
    <n v="73.008003701855799"/>
    <x v="1"/>
    <n v="1"/>
    <x v="0"/>
    <n v="0"/>
    <x v="0"/>
    <x v="111"/>
  </r>
  <r>
    <x v="3"/>
    <x v="3"/>
    <n v="178"/>
    <n v="75"/>
    <x v="3"/>
    <x v="162"/>
    <n v="38"/>
    <n v="0"/>
    <n v="67.623821644388698"/>
    <n v="80.193875297937197"/>
    <n v="282.83428708729298"/>
    <n v="81.351156946760995"/>
    <x v="162"/>
    <n v="68.421846301420899"/>
    <x v="162"/>
    <n v="59.732968568511502"/>
    <n v="68.988734224234506"/>
    <x v="1"/>
    <n v="0"/>
    <x v="1"/>
    <n v="1"/>
    <x v="1"/>
    <x v="49"/>
  </r>
  <r>
    <x v="2"/>
    <x v="2"/>
    <n v="176"/>
    <n v="66"/>
    <x v="2"/>
    <x v="163"/>
    <n v="20"/>
    <n v="3"/>
    <n v="79.9990167401603"/>
    <n v="67.360037811592207"/>
    <n v="270.40460568431502"/>
    <n v="72.882134247916198"/>
    <x v="163"/>
    <n v="76.205892931656194"/>
    <x v="163"/>
    <n v="64.610910576487399"/>
    <n v="76.672939469599896"/>
    <x v="1"/>
    <n v="0"/>
    <x v="1"/>
    <n v="1"/>
    <x v="1"/>
    <x v="145"/>
  </r>
  <r>
    <x v="3"/>
    <x v="3"/>
    <n v="181"/>
    <n v="89"/>
    <x v="0"/>
    <x v="164"/>
    <n v="32"/>
    <n v="2"/>
    <n v="79.481427203412494"/>
    <n v="70.706552304144907"/>
    <n v="281.98745571577302"/>
    <n v="75.764886244301906"/>
    <x v="164"/>
    <n v="90.702376909853797"/>
    <x v="164"/>
    <n v="64.690549121541594"/>
    <n v="69.268947553447902"/>
    <x v="1"/>
    <n v="1"/>
    <x v="0"/>
    <n v="1"/>
    <x v="1"/>
    <x v="146"/>
  </r>
  <r>
    <x v="6"/>
    <x v="6"/>
    <n v="163"/>
    <n v="81"/>
    <x v="0"/>
    <x v="165"/>
    <n v="32"/>
    <n v="3"/>
    <n v="67.816395137076199"/>
    <n v="63.648059142681603"/>
    <n v="270.20591646008597"/>
    <n v="81.092602229076803"/>
    <x v="165"/>
    <n v="71.341753148127594"/>
    <x v="165"/>
    <n v="45.3009469499208"/>
    <n v="60.145882241716301"/>
    <x v="1"/>
    <n v="0"/>
    <x v="1"/>
    <n v="1"/>
    <x v="1"/>
    <x v="147"/>
  </r>
  <r>
    <x v="5"/>
    <x v="5"/>
    <n v="172"/>
    <n v="68"/>
    <x v="0"/>
    <x v="140"/>
    <n v="14"/>
    <n v="1"/>
    <n v="65.915938523007895"/>
    <n v="70.635408801925095"/>
    <n v="265.43233642528003"/>
    <n v="84.256165681319501"/>
    <x v="166"/>
    <n v="77.185594494279698"/>
    <x v="166"/>
    <n v="59.0439877062107"/>
    <n v="63.633297345436901"/>
    <x v="1"/>
    <n v="0"/>
    <x v="1"/>
    <n v="1"/>
    <x v="1"/>
    <x v="148"/>
  </r>
  <r>
    <x v="3"/>
    <x v="3"/>
    <n v="170"/>
    <n v="64"/>
    <x v="3"/>
    <x v="166"/>
    <n v="18"/>
    <n v="2"/>
    <n v="72.884449196309106"/>
    <n v="80.7765599694239"/>
    <n v="289.35245208752599"/>
    <n v="80.352562659823406"/>
    <x v="167"/>
    <n v="76.601483193863999"/>
    <x v="167"/>
    <n v="45.233746289665298"/>
    <n v="79.735648029705899"/>
    <x v="1"/>
    <n v="0"/>
    <x v="1"/>
    <n v="1"/>
    <x v="1"/>
    <x v="149"/>
  </r>
  <r>
    <x v="1"/>
    <x v="1"/>
    <n v="175"/>
    <n v="75"/>
    <x v="0"/>
    <x v="167"/>
    <n v="30"/>
    <n v="2"/>
    <n v="72.753939267149605"/>
    <n v="83.951405806398398"/>
    <n v="283.36537251797898"/>
    <n v="86.099808565843304"/>
    <x v="168"/>
    <n v="97.269791264838304"/>
    <x v="168"/>
    <n v="59.472261865648598"/>
    <n v="57.362264256759197"/>
    <x v="2"/>
    <n v="0"/>
    <x v="1"/>
    <n v="1"/>
    <x v="1"/>
    <x v="135"/>
  </r>
  <r>
    <x v="4"/>
    <x v="4"/>
    <n v="188"/>
    <n v="95"/>
    <x v="0"/>
    <x v="168"/>
    <n v="7"/>
    <n v="0"/>
    <n v="80.2830102506298"/>
    <n v="84.404014068125093"/>
    <n v="225.30898558936701"/>
    <n v="84.238086771578295"/>
    <x v="169"/>
    <n v="90.658044883358201"/>
    <x v="169"/>
    <n v="55.3762491753359"/>
    <n v="92.257883149261801"/>
    <x v="0"/>
    <n v="1"/>
    <x v="0"/>
    <n v="0"/>
    <x v="0"/>
    <x v="150"/>
  </r>
  <r>
    <x v="6"/>
    <x v="6"/>
    <n v="187"/>
    <n v="72"/>
    <x v="1"/>
    <x v="169"/>
    <n v="30"/>
    <n v="5"/>
    <n v="71.121161932600799"/>
    <n v="77.369860171891204"/>
    <n v="242.55517405251101"/>
    <n v="87.206963059114798"/>
    <x v="170"/>
    <n v="68.788759451452407"/>
    <x v="170"/>
    <n v="64.2747762950777"/>
    <n v="74.911792907356997"/>
    <x v="1"/>
    <n v="1"/>
    <x v="0"/>
    <n v="1"/>
    <x v="1"/>
    <x v="151"/>
  </r>
  <r>
    <x v="2"/>
    <x v="2"/>
    <n v="169"/>
    <n v="71"/>
    <x v="0"/>
    <x v="170"/>
    <n v="8"/>
    <n v="2"/>
    <n v="82.674862835837303"/>
    <n v="81.351429451076697"/>
    <n v="260.94694373884698"/>
    <n v="87.516277502945897"/>
    <x v="171"/>
    <n v="98.660158513509899"/>
    <x v="171"/>
    <n v="58.357740121422502"/>
    <n v="92.822959936431403"/>
    <x v="0"/>
    <n v="1"/>
    <x v="0"/>
    <n v="0"/>
    <x v="0"/>
    <x v="67"/>
  </r>
  <r>
    <x v="2"/>
    <x v="2"/>
    <n v="175"/>
    <n v="77"/>
    <x v="2"/>
    <x v="171"/>
    <n v="17"/>
    <n v="4"/>
    <n v="81.777716898004698"/>
    <n v="83.396730421278505"/>
    <n v="261.963600692353"/>
    <n v="66.607388717734196"/>
    <x v="172"/>
    <n v="79.749144500691202"/>
    <x v="172"/>
    <n v="71.771713820970206"/>
    <n v="71.710180829500302"/>
    <x v="1"/>
    <n v="1"/>
    <x v="0"/>
    <n v="1"/>
    <x v="1"/>
    <x v="40"/>
  </r>
  <r>
    <x v="5"/>
    <x v="5"/>
    <n v="168"/>
    <n v="62"/>
    <x v="1"/>
    <x v="172"/>
    <n v="8"/>
    <n v="2"/>
    <n v="75.878285385589194"/>
    <n v="78.663227424174295"/>
    <n v="256.69488755521502"/>
    <n v="77.253348280647998"/>
    <x v="173"/>
    <n v="87.559480182777506"/>
    <x v="173"/>
    <n v="51.529565147539998"/>
    <n v="66.492539704291204"/>
    <x v="1"/>
    <n v="1"/>
    <x v="0"/>
    <n v="1"/>
    <x v="1"/>
    <x v="152"/>
  </r>
  <r>
    <x v="5"/>
    <x v="5"/>
    <n v="168"/>
    <n v="79"/>
    <x v="3"/>
    <x v="173"/>
    <n v="30"/>
    <n v="0"/>
    <n v="86.738163389415405"/>
    <n v="73.095399377329002"/>
    <n v="246.43941598126401"/>
    <n v="87.305349780752394"/>
    <x v="174"/>
    <n v="76.1393569317501"/>
    <x v="174"/>
    <n v="62.589681872358099"/>
    <n v="67.124300317085996"/>
    <x v="1"/>
    <n v="0"/>
    <x v="1"/>
    <n v="1"/>
    <x v="1"/>
    <x v="153"/>
  </r>
  <r>
    <x v="0"/>
    <x v="0"/>
    <n v="185"/>
    <n v="70"/>
    <x v="0"/>
    <x v="174"/>
    <n v="38"/>
    <n v="2"/>
    <n v="77.504852267711101"/>
    <n v="89.495345016246901"/>
    <n v="247.20905226806201"/>
    <n v="87.748859368266494"/>
    <x v="175"/>
    <n v="86.492295763904906"/>
    <x v="175"/>
    <n v="36.555919780428198"/>
    <n v="83.765095771244503"/>
    <x v="0"/>
    <n v="1"/>
    <x v="0"/>
    <n v="0"/>
    <x v="0"/>
    <x v="154"/>
  </r>
  <r>
    <x v="5"/>
    <x v="5"/>
    <n v="175"/>
    <n v="88"/>
    <x v="2"/>
    <x v="175"/>
    <n v="21"/>
    <n v="1"/>
    <n v="72.903282201382098"/>
    <n v="75.320454488199502"/>
    <n v="255.22399073843101"/>
    <n v="79.845158683486105"/>
    <x v="176"/>
    <n v="68.890637724417999"/>
    <x v="176"/>
    <n v="54.310488787881397"/>
    <n v="62.287429910731099"/>
    <x v="1"/>
    <n v="1"/>
    <x v="0"/>
    <n v="1"/>
    <x v="1"/>
    <x v="155"/>
  </r>
  <r>
    <x v="6"/>
    <x v="6"/>
    <n v="185"/>
    <n v="81"/>
    <x v="1"/>
    <x v="176"/>
    <n v="13"/>
    <n v="1"/>
    <n v="67.340438980932504"/>
    <n v="80.674693998512097"/>
    <n v="244.73913603337701"/>
    <n v="90.322484454889903"/>
    <x v="177"/>
    <n v="78.930113138423707"/>
    <x v="177"/>
    <n v="39.994668133969398"/>
    <n v="83.100103791469394"/>
    <x v="0"/>
    <n v="1"/>
    <x v="0"/>
    <n v="0"/>
    <x v="0"/>
    <x v="156"/>
  </r>
  <r>
    <x v="3"/>
    <x v="3"/>
    <n v="181"/>
    <n v="65"/>
    <x v="1"/>
    <x v="177"/>
    <n v="36"/>
    <n v="2"/>
    <n v="83.736336878868798"/>
    <n v="80.393889374267104"/>
    <n v="234.65737411558499"/>
    <n v="88.733625295210501"/>
    <x v="178"/>
    <n v="90.248185111832896"/>
    <x v="178"/>
    <n v="50.2916288911821"/>
    <n v="74.618911499499205"/>
    <x v="1"/>
    <n v="1"/>
    <x v="0"/>
    <n v="0"/>
    <x v="0"/>
    <x v="157"/>
  </r>
  <r>
    <x v="6"/>
    <x v="6"/>
    <n v="169"/>
    <n v="81"/>
    <x v="0"/>
    <x v="178"/>
    <n v="26"/>
    <n v="0"/>
    <n v="79.779675183195394"/>
    <n v="75.500358467405505"/>
    <n v="225.99619366966999"/>
    <n v="78.994978255875296"/>
    <x v="179"/>
    <n v="91.844107610192907"/>
    <x v="179"/>
    <n v="43.4136594273713"/>
    <n v="82.106646810679507"/>
    <x v="0"/>
    <n v="1"/>
    <x v="0"/>
    <n v="0"/>
    <x v="0"/>
    <x v="158"/>
  </r>
  <r>
    <x v="5"/>
    <x v="5"/>
    <n v="181"/>
    <n v="73"/>
    <x v="0"/>
    <x v="179"/>
    <n v="9"/>
    <n v="1"/>
    <n v="64.063166084805204"/>
    <n v="83.9027845847707"/>
    <n v="226.068742585465"/>
    <n v="75.115918047624206"/>
    <x v="180"/>
    <n v="95.009483111845697"/>
    <x v="180"/>
    <n v="45.598647401592501"/>
    <n v="74.398061520999505"/>
    <x v="1"/>
    <n v="1"/>
    <x v="0"/>
    <n v="0"/>
    <x v="0"/>
    <x v="83"/>
  </r>
  <r>
    <x v="0"/>
    <x v="0"/>
    <n v="177"/>
    <n v="80"/>
    <x v="0"/>
    <x v="180"/>
    <n v="16"/>
    <n v="2"/>
    <n v="79.833843931674394"/>
    <n v="73.140707120400094"/>
    <n v="225.260533000788"/>
    <n v="85.844022010490903"/>
    <x v="181"/>
    <n v="82.087583002099805"/>
    <x v="181"/>
    <n v="58.722247312981501"/>
    <n v="65.111486713022799"/>
    <x v="1"/>
    <n v="1"/>
    <x v="0"/>
    <n v="0"/>
    <x v="0"/>
    <x v="159"/>
  </r>
  <r>
    <x v="0"/>
    <x v="0"/>
    <n v="173"/>
    <n v="90"/>
    <x v="2"/>
    <x v="181"/>
    <n v="17"/>
    <n v="1"/>
    <n v="77.127676229974099"/>
    <n v="70.400973705904605"/>
    <n v="264.18149503135402"/>
    <n v="80.555536682904702"/>
    <x v="182"/>
    <n v="78.7791640761331"/>
    <x v="182"/>
    <n v="50.865222104192497"/>
    <n v="66.284114763239003"/>
    <x v="1"/>
    <n v="1"/>
    <x v="0"/>
    <n v="1"/>
    <x v="1"/>
    <x v="160"/>
  </r>
  <r>
    <x v="3"/>
    <x v="3"/>
    <n v="171"/>
    <n v="84"/>
    <x v="3"/>
    <x v="182"/>
    <n v="28"/>
    <n v="3"/>
    <n v="84.628538290260394"/>
    <n v="85.828312641318206"/>
    <n v="278.30546154567298"/>
    <n v="83.688467222679293"/>
    <x v="183"/>
    <n v="61.696508975431897"/>
    <x v="183"/>
    <n v="48.535505591833697"/>
    <n v="81.001454501435006"/>
    <x v="0"/>
    <n v="1"/>
    <x v="0"/>
    <n v="0"/>
    <x v="0"/>
    <x v="161"/>
  </r>
  <r>
    <x v="4"/>
    <x v="4"/>
    <n v="185"/>
    <n v="95"/>
    <x v="1"/>
    <x v="183"/>
    <n v="39"/>
    <n v="1"/>
    <n v="83.245187251597997"/>
    <n v="83.289210842857898"/>
    <n v="235.81565309246"/>
    <n v="90.062573252206903"/>
    <x v="184"/>
    <n v="73.444329948780705"/>
    <x v="184"/>
    <n v="52.042536911939699"/>
    <n v="64.504010354959703"/>
    <x v="1"/>
    <n v="0"/>
    <x v="1"/>
    <n v="0"/>
    <x v="0"/>
    <x v="162"/>
  </r>
  <r>
    <x v="4"/>
    <x v="4"/>
    <n v="164"/>
    <n v="83"/>
    <x v="3"/>
    <x v="184"/>
    <n v="13"/>
    <n v="1"/>
    <n v="62.283983954021302"/>
    <n v="76.5527645714686"/>
    <n v="255.91276458314701"/>
    <n v="74.417914898335596"/>
    <x v="185"/>
    <n v="62.530086187688397"/>
    <x v="185"/>
    <n v="57.066785712362702"/>
    <n v="78.598063427804604"/>
    <x v="1"/>
    <n v="1"/>
    <x v="0"/>
    <n v="1"/>
    <x v="1"/>
    <x v="163"/>
  </r>
  <r>
    <x v="6"/>
    <x v="6"/>
    <n v="187"/>
    <n v="79"/>
    <x v="1"/>
    <x v="140"/>
    <n v="29"/>
    <n v="2"/>
    <n v="65.9582276097061"/>
    <n v="80.361540106394003"/>
    <n v="257.76215144612303"/>
    <n v="88.118947273762302"/>
    <x v="186"/>
    <n v="95.446161049334705"/>
    <x v="186"/>
    <n v="51.839140156568597"/>
    <n v="63.8132955167723"/>
    <x v="1"/>
    <n v="1"/>
    <x v="0"/>
    <n v="0"/>
    <x v="0"/>
    <x v="164"/>
  </r>
  <r>
    <x v="2"/>
    <x v="2"/>
    <n v="174"/>
    <n v="71"/>
    <x v="2"/>
    <x v="185"/>
    <n v="11"/>
    <n v="0"/>
    <n v="66.729639991263596"/>
    <n v="94.013614569846396"/>
    <n v="224.83696910502499"/>
    <n v="91.626723517650007"/>
    <x v="187"/>
    <n v="73.607917328588002"/>
    <x v="187"/>
    <n v="53.764865767378801"/>
    <n v="86.597023319992999"/>
    <x v="0"/>
    <n v="1"/>
    <x v="0"/>
    <n v="0"/>
    <x v="0"/>
    <x v="8"/>
  </r>
  <r>
    <x v="1"/>
    <x v="1"/>
    <n v="174"/>
    <n v="61"/>
    <x v="3"/>
    <x v="186"/>
    <n v="10"/>
    <n v="1"/>
    <n v="80.295944589571903"/>
    <n v="76.601670629659793"/>
    <n v="195.92565572823699"/>
    <n v="100"/>
    <x v="188"/>
    <n v="83.781654675618995"/>
    <x v="188"/>
    <n v="48.006444865420598"/>
    <n v="77.156712341473394"/>
    <x v="1"/>
    <n v="1"/>
    <x v="0"/>
    <n v="0"/>
    <x v="0"/>
    <x v="165"/>
  </r>
  <r>
    <x v="0"/>
    <x v="0"/>
    <n v="174"/>
    <n v="77"/>
    <x v="1"/>
    <x v="187"/>
    <n v="39"/>
    <n v="0"/>
    <n v="73.933477281592999"/>
    <n v="76.653332213949597"/>
    <n v="267.218613322875"/>
    <n v="77.828282747393104"/>
    <x v="189"/>
    <n v="85.642971587693907"/>
    <x v="189"/>
    <n v="50.6040928906015"/>
    <n v="83.291102742501707"/>
    <x v="0"/>
    <n v="0"/>
    <x v="1"/>
    <n v="0"/>
    <x v="0"/>
    <x v="166"/>
  </r>
  <r>
    <x v="4"/>
    <x v="4"/>
    <n v="172"/>
    <n v="68"/>
    <x v="2"/>
    <x v="188"/>
    <n v="17"/>
    <n v="0"/>
    <n v="82.6165994198237"/>
    <n v="85.532721353291294"/>
    <n v="232.03971683161399"/>
    <n v="98.994015524245796"/>
    <x v="190"/>
    <n v="80.532943145240793"/>
    <x v="190"/>
    <n v="47.008610773600999"/>
    <n v="68.050739336239104"/>
    <x v="1"/>
    <n v="1"/>
    <x v="0"/>
    <n v="0"/>
    <x v="0"/>
    <x v="148"/>
  </r>
  <r>
    <x v="4"/>
    <x v="4"/>
    <n v="170"/>
    <n v="76"/>
    <x v="1"/>
    <x v="189"/>
    <n v="32"/>
    <n v="3"/>
    <n v="87.639116390691399"/>
    <n v="75.485342991974406"/>
    <n v="248.06476442998499"/>
    <n v="95.071158121945004"/>
    <x v="191"/>
    <n v="67.832898030127495"/>
    <x v="191"/>
    <n v="45.786247670393401"/>
    <n v="92.165746020251504"/>
    <x v="0"/>
    <n v="1"/>
    <x v="0"/>
    <n v="0"/>
    <x v="0"/>
    <x v="167"/>
  </r>
  <r>
    <x v="4"/>
    <x v="4"/>
    <n v="174"/>
    <n v="63"/>
    <x v="0"/>
    <x v="190"/>
    <n v="37"/>
    <n v="3"/>
    <n v="72.865548521805295"/>
    <n v="76.600883976751604"/>
    <n v="256.67211852443802"/>
    <n v="80.751601885289702"/>
    <x v="192"/>
    <n v="76.561724080126098"/>
    <x v="192"/>
    <n v="46.7364852018571"/>
    <n v="91.266795824385298"/>
    <x v="0"/>
    <n v="0"/>
    <x v="1"/>
    <n v="1"/>
    <x v="1"/>
    <x v="168"/>
  </r>
  <r>
    <x v="5"/>
    <x v="5"/>
    <n v="186"/>
    <n v="86"/>
    <x v="0"/>
    <x v="191"/>
    <n v="22"/>
    <n v="2"/>
    <n v="80.867987283013093"/>
    <n v="84.907317557567694"/>
    <n v="232.20067048951401"/>
    <n v="84.614399386378906"/>
    <x v="193"/>
    <n v="90.097944399320497"/>
    <x v="193"/>
    <n v="52.032189172410398"/>
    <n v="73.836094408567007"/>
    <x v="1"/>
    <n v="1"/>
    <x v="0"/>
    <n v="0"/>
    <x v="0"/>
    <x v="169"/>
  </r>
  <r>
    <x v="6"/>
    <x v="6"/>
    <n v="183"/>
    <n v="80"/>
    <x v="2"/>
    <x v="192"/>
    <n v="12"/>
    <n v="4"/>
    <n v="73.020446284415002"/>
    <n v="76.392753875390099"/>
    <n v="244.76872049050601"/>
    <n v="83.816068082658603"/>
    <x v="194"/>
    <n v="75.237823946031099"/>
    <x v="194"/>
    <n v="43.910861668820303"/>
    <n v="70.734554413258195"/>
    <x v="1"/>
    <n v="0"/>
    <x v="1"/>
    <n v="0"/>
    <x v="0"/>
    <x v="170"/>
  </r>
  <r>
    <x v="3"/>
    <x v="3"/>
    <n v="177"/>
    <n v="83"/>
    <x v="2"/>
    <x v="193"/>
    <n v="37"/>
    <n v="4"/>
    <n v="68.567012577710798"/>
    <n v="60.9281585936168"/>
    <n v="278.89379919195898"/>
    <n v="76.097455190294696"/>
    <x v="195"/>
    <n v="73.922066647891"/>
    <x v="195"/>
    <n v="68.8852347814654"/>
    <n v="72.873588394442706"/>
    <x v="1"/>
    <n v="0"/>
    <x v="1"/>
    <n v="1"/>
    <x v="1"/>
    <x v="171"/>
  </r>
  <r>
    <x v="4"/>
    <x v="4"/>
    <n v="179"/>
    <n v="76"/>
    <x v="1"/>
    <x v="194"/>
    <n v="15"/>
    <n v="2"/>
    <n v="82.969411727736698"/>
    <n v="91.590260563155994"/>
    <n v="260.50632126035498"/>
    <n v="78.456162794285305"/>
    <x v="196"/>
    <n v="70.505604940815402"/>
    <x v="196"/>
    <n v="56.450473214046397"/>
    <n v="81.733708687121705"/>
    <x v="0"/>
    <n v="1"/>
    <x v="0"/>
    <n v="0"/>
    <x v="0"/>
    <x v="172"/>
  </r>
  <r>
    <x v="0"/>
    <x v="0"/>
    <n v="172"/>
    <n v="72"/>
    <x v="0"/>
    <x v="140"/>
    <n v="14"/>
    <n v="0"/>
    <n v="76.198002558710002"/>
    <n v="69.718430277289102"/>
    <n v="260.67656165480798"/>
    <n v="85.748098647879999"/>
    <x v="197"/>
    <n v="56.643401486185397"/>
    <x v="197"/>
    <n v="58.683100880572503"/>
    <n v="84.027276901142201"/>
    <x v="0"/>
    <n v="1"/>
    <x v="0"/>
    <n v="1"/>
    <x v="1"/>
    <x v="173"/>
  </r>
  <r>
    <x v="1"/>
    <x v="1"/>
    <n v="169"/>
    <n v="63"/>
    <x v="0"/>
    <x v="195"/>
    <n v="24"/>
    <n v="3"/>
    <n v="74.688820385695607"/>
    <n v="75.622933003911299"/>
    <n v="219.00101564678201"/>
    <n v="87.202170990032997"/>
    <x v="198"/>
    <n v="74.494790173781993"/>
    <x v="198"/>
    <n v="42.102183116488099"/>
    <n v="65.4611382027133"/>
    <x v="1"/>
    <n v="0"/>
    <x v="1"/>
    <n v="0"/>
    <x v="0"/>
    <x v="174"/>
  </r>
  <r>
    <x v="1"/>
    <x v="1"/>
    <n v="178"/>
    <n v="91"/>
    <x v="0"/>
    <x v="196"/>
    <n v="29"/>
    <n v="1"/>
    <n v="74.575698898717704"/>
    <n v="78.865500878914204"/>
    <n v="244.36521358464299"/>
    <n v="83.675326150200206"/>
    <x v="199"/>
    <n v="76.771606274812896"/>
    <x v="199"/>
    <n v="45.865095346215902"/>
    <n v="94.417243332077803"/>
    <x v="0"/>
    <n v="1"/>
    <x v="0"/>
    <n v="0"/>
    <x v="0"/>
    <x v="175"/>
  </r>
  <r>
    <x v="0"/>
    <x v="0"/>
    <n v="190"/>
    <n v="65"/>
    <x v="1"/>
    <x v="197"/>
    <n v="9"/>
    <n v="2"/>
    <n v="62.133717183734198"/>
    <n v="67.346192580809003"/>
    <n v="286.34340772066099"/>
    <n v="69.337186499712701"/>
    <x v="200"/>
    <n v="83.139965250630496"/>
    <x v="200"/>
    <n v="58.401633350158697"/>
    <n v="76.890164619992902"/>
    <x v="1"/>
    <n v="0"/>
    <x v="1"/>
    <n v="1"/>
    <x v="1"/>
    <x v="176"/>
  </r>
  <r>
    <x v="5"/>
    <x v="5"/>
    <n v="179"/>
    <n v="96"/>
    <x v="0"/>
    <x v="198"/>
    <n v="24"/>
    <n v="0"/>
    <n v="67.605422351114399"/>
    <n v="70.663665756672799"/>
    <n v="296.70644272374602"/>
    <n v="78.7263331320584"/>
    <x v="201"/>
    <n v="75.997623175629897"/>
    <x v="201"/>
    <n v="65.970290368610605"/>
    <n v="64.602701654567596"/>
    <x v="1"/>
    <n v="1"/>
    <x v="0"/>
    <n v="1"/>
    <x v="1"/>
    <x v="177"/>
  </r>
  <r>
    <x v="5"/>
    <x v="5"/>
    <n v="184"/>
    <n v="81"/>
    <x v="0"/>
    <x v="199"/>
    <n v="22"/>
    <n v="1"/>
    <n v="76.392547081787001"/>
    <n v="67.191788518120802"/>
    <n v="297.26331728664798"/>
    <n v="90.488227202236303"/>
    <x v="202"/>
    <n v="67.7547580982326"/>
    <x v="202"/>
    <n v="59.678498002999298"/>
    <n v="67.650580627596298"/>
    <x v="1"/>
    <n v="1"/>
    <x v="0"/>
    <n v="1"/>
    <x v="1"/>
    <x v="178"/>
  </r>
  <r>
    <x v="3"/>
    <x v="3"/>
    <n v="177"/>
    <n v="74"/>
    <x v="2"/>
    <x v="200"/>
    <n v="38"/>
    <n v="1"/>
    <n v="73.670103740426995"/>
    <n v="74.208870382076697"/>
    <n v="230.09440430669201"/>
    <n v="88.170000461049696"/>
    <x v="203"/>
    <n v="82.589078093222298"/>
    <x v="203"/>
    <n v="33.962098149971503"/>
    <n v="86.680806263309194"/>
    <x v="0"/>
    <n v="0"/>
    <x v="1"/>
    <n v="0"/>
    <x v="0"/>
    <x v="94"/>
  </r>
  <r>
    <x v="6"/>
    <x v="6"/>
    <n v="171"/>
    <n v="45"/>
    <x v="1"/>
    <x v="201"/>
    <n v="37"/>
    <n v="1"/>
    <n v="76.929168710313704"/>
    <n v="69.491483962758196"/>
    <n v="241.89519413191499"/>
    <n v="74.356275735768506"/>
    <x v="204"/>
    <n v="68.399351972808404"/>
    <x v="204"/>
    <n v="49.2605570847983"/>
    <n v="74.377425151489604"/>
    <x v="1"/>
    <n v="1"/>
    <x v="0"/>
    <n v="1"/>
    <x v="1"/>
    <x v="179"/>
  </r>
  <r>
    <x v="0"/>
    <x v="0"/>
    <n v="186"/>
    <n v="70"/>
    <x v="3"/>
    <x v="202"/>
    <n v="15"/>
    <n v="1"/>
    <n v="62.302532373306299"/>
    <n v="82.811364851085301"/>
    <n v="253.25586987124899"/>
    <n v="75.945570344812893"/>
    <x v="205"/>
    <n v="77.240687935894996"/>
    <x v="205"/>
    <n v="63.123910834563503"/>
    <n v="69.527699352500505"/>
    <x v="1"/>
    <n v="0"/>
    <x v="1"/>
    <n v="1"/>
    <x v="1"/>
    <x v="180"/>
  </r>
  <r>
    <x v="3"/>
    <x v="3"/>
    <n v="178"/>
    <n v="74"/>
    <x v="1"/>
    <x v="203"/>
    <n v="5"/>
    <n v="1"/>
    <n v="72.870799985572205"/>
    <n v="72.159547839005995"/>
    <n v="261.53350532037803"/>
    <n v="78.279857661689604"/>
    <x v="206"/>
    <n v="61.707073180042798"/>
    <x v="206"/>
    <n v="60.314577069247697"/>
    <n v="60.499573069858101"/>
    <x v="1"/>
    <n v="0"/>
    <x v="1"/>
    <n v="1"/>
    <x v="1"/>
    <x v="181"/>
  </r>
  <r>
    <x v="2"/>
    <x v="2"/>
    <n v="181"/>
    <n v="71"/>
    <x v="2"/>
    <x v="140"/>
    <n v="10"/>
    <n v="2"/>
    <n v="75.273897719874299"/>
    <n v="84.727102241669698"/>
    <n v="231.05472389496899"/>
    <n v="90.734826869875604"/>
    <x v="207"/>
    <n v="93.861304680750393"/>
    <x v="207"/>
    <n v="57.297071833595801"/>
    <n v="81.171591505790403"/>
    <x v="0"/>
    <n v="1"/>
    <x v="0"/>
    <n v="0"/>
    <x v="0"/>
    <x v="182"/>
  </r>
  <r>
    <x v="1"/>
    <x v="1"/>
    <n v="173"/>
    <n v="53"/>
    <x v="0"/>
    <x v="204"/>
    <n v="33"/>
    <n v="0"/>
    <n v="73.691999468503298"/>
    <n v="76.172413471502907"/>
    <n v="244.31135846998399"/>
    <n v="79.263902838076604"/>
    <x v="208"/>
    <n v="83.194333461749196"/>
    <x v="208"/>
    <n v="69.872656478429903"/>
    <n v="74.774910623924299"/>
    <x v="1"/>
    <n v="0"/>
    <x v="1"/>
    <n v="1"/>
    <x v="1"/>
    <x v="183"/>
  </r>
  <r>
    <x v="0"/>
    <x v="0"/>
    <n v="185"/>
    <n v="64"/>
    <x v="3"/>
    <x v="205"/>
    <n v="33"/>
    <n v="2"/>
    <n v="70.291319210062497"/>
    <n v="90.509754034539597"/>
    <n v="246.462637428222"/>
    <n v="85.3512035070477"/>
    <x v="209"/>
    <n v="91.358536140536302"/>
    <x v="209"/>
    <n v="43.256512415180403"/>
    <n v="80.075543002012296"/>
    <x v="0"/>
    <n v="0"/>
    <x v="1"/>
    <n v="0"/>
    <x v="0"/>
    <x v="184"/>
  </r>
  <r>
    <x v="0"/>
    <x v="0"/>
    <n v="167"/>
    <n v="66"/>
    <x v="2"/>
    <x v="206"/>
    <n v="20"/>
    <n v="2"/>
    <n v="75.929580814382504"/>
    <n v="79.374293585510003"/>
    <n v="215.06072602167399"/>
    <n v="92.587107131059895"/>
    <x v="210"/>
    <n v="79.621598876181594"/>
    <x v="210"/>
    <n v="62.550276076515701"/>
    <n v="68.944705618083802"/>
    <x v="1"/>
    <n v="1"/>
    <x v="0"/>
    <n v="0"/>
    <x v="0"/>
    <x v="185"/>
  </r>
  <r>
    <x v="0"/>
    <x v="0"/>
    <n v="174"/>
    <n v="75"/>
    <x v="0"/>
    <x v="207"/>
    <n v="30"/>
    <n v="2"/>
    <n v="66.426389555061107"/>
    <n v="78.283321078812193"/>
    <n v="295.52187032601898"/>
    <n v="77.675888259437201"/>
    <x v="211"/>
    <n v="69.299248150224599"/>
    <x v="211"/>
    <n v="72.751339426220895"/>
    <n v="53.799611782240802"/>
    <x v="2"/>
    <n v="1"/>
    <x v="0"/>
    <n v="1"/>
    <x v="1"/>
    <x v="186"/>
  </r>
  <r>
    <x v="5"/>
    <x v="5"/>
    <n v="184"/>
    <n v="80"/>
    <x v="1"/>
    <x v="208"/>
    <n v="14"/>
    <n v="1"/>
    <n v="63.117846441338898"/>
    <n v="80.345379592873599"/>
    <n v="248.012408369713"/>
    <n v="70.911538827106696"/>
    <x v="212"/>
    <n v="94.230898172347906"/>
    <x v="212"/>
    <n v="58.188040763757598"/>
    <n v="83.346977207875597"/>
    <x v="0"/>
    <n v="1"/>
    <x v="0"/>
    <n v="1"/>
    <x v="1"/>
    <x v="187"/>
  </r>
  <r>
    <x v="6"/>
    <x v="6"/>
    <n v="177"/>
    <n v="67"/>
    <x v="2"/>
    <x v="209"/>
    <n v="25"/>
    <n v="3"/>
    <n v="65.268282808847701"/>
    <n v="83.683316458467104"/>
    <n v="228.83292592108401"/>
    <n v="80.453919002736797"/>
    <x v="213"/>
    <n v="75.799712221312404"/>
    <x v="213"/>
    <n v="76.044753770563204"/>
    <n v="75.303475716596196"/>
    <x v="1"/>
    <n v="1"/>
    <x v="0"/>
    <n v="1"/>
    <x v="1"/>
    <x v="188"/>
  </r>
  <r>
    <x v="2"/>
    <x v="2"/>
    <n v="168"/>
    <n v="77"/>
    <x v="3"/>
    <x v="210"/>
    <n v="35"/>
    <n v="0"/>
    <n v="69.706980939621204"/>
    <n v="75.1685302402758"/>
    <n v="237.11562366430101"/>
    <n v="81.413023358407699"/>
    <x v="214"/>
    <n v="96.316898585908007"/>
    <x v="214"/>
    <n v="56.029506585903199"/>
    <n v="59.768511566072803"/>
    <x v="2"/>
    <n v="1"/>
    <x v="0"/>
    <n v="1"/>
    <x v="1"/>
    <x v="189"/>
  </r>
  <r>
    <x v="1"/>
    <x v="1"/>
    <n v="185"/>
    <n v="67"/>
    <x v="2"/>
    <x v="211"/>
    <n v="25"/>
    <n v="3"/>
    <n v="75.503843310333906"/>
    <n v="78.931520689645595"/>
    <n v="251.25282008327301"/>
    <n v="69.621798016045105"/>
    <x v="215"/>
    <n v="78.686013397779703"/>
    <x v="215"/>
    <n v="73.856810032460203"/>
    <n v="63.020656523620602"/>
    <x v="1"/>
    <n v="0"/>
    <x v="1"/>
    <n v="1"/>
    <x v="1"/>
    <x v="190"/>
  </r>
  <r>
    <x v="3"/>
    <x v="3"/>
    <n v="184"/>
    <n v="59"/>
    <x v="0"/>
    <x v="212"/>
    <n v="20"/>
    <n v="1"/>
    <n v="75.729727466072504"/>
    <n v="82.082675368701302"/>
    <n v="255.453048470532"/>
    <n v="91.204488913633597"/>
    <x v="216"/>
    <n v="77.297316889718601"/>
    <x v="216"/>
    <n v="42.071387115280999"/>
    <n v="65.9408635247555"/>
    <x v="1"/>
    <n v="1"/>
    <x v="0"/>
    <n v="0"/>
    <x v="0"/>
    <x v="191"/>
  </r>
  <r>
    <x v="0"/>
    <x v="0"/>
    <n v="181"/>
    <n v="74"/>
    <x v="1"/>
    <x v="213"/>
    <n v="10"/>
    <n v="0"/>
    <n v="79.988885458817705"/>
    <n v="66.442961959393301"/>
    <n v="281.54064256184199"/>
    <n v="76.027761654197604"/>
    <x v="217"/>
    <n v="66.506018959514293"/>
    <x v="217"/>
    <n v="53.511822944131197"/>
    <n v="70.422415384237496"/>
    <x v="1"/>
    <n v="0"/>
    <x v="1"/>
    <n v="1"/>
    <x v="1"/>
    <x v="192"/>
  </r>
  <r>
    <x v="0"/>
    <x v="0"/>
    <n v="180"/>
    <n v="62"/>
    <x v="2"/>
    <x v="214"/>
    <n v="37"/>
    <n v="3"/>
    <n v="67.675395825630204"/>
    <n v="87.379544854993298"/>
    <n v="256.76986192591801"/>
    <n v="89.194467039192503"/>
    <x v="218"/>
    <n v="90.585879962670006"/>
    <x v="218"/>
    <n v="49.146713783893802"/>
    <n v="65.030841361907093"/>
    <x v="1"/>
    <n v="1"/>
    <x v="0"/>
    <n v="1"/>
    <x v="1"/>
    <x v="193"/>
  </r>
  <r>
    <x v="3"/>
    <x v="3"/>
    <n v="170"/>
    <n v="77"/>
    <x v="0"/>
    <x v="215"/>
    <n v="26"/>
    <n v="0"/>
    <n v="76.162515067320001"/>
    <n v="86.913724465305705"/>
    <n v="222.81198419480299"/>
    <n v="91.181278332500895"/>
    <x v="219"/>
    <n v="88.977393069635596"/>
    <x v="219"/>
    <n v="36.926098371801402"/>
    <n v="94.873396541444194"/>
    <x v="0"/>
    <n v="1"/>
    <x v="0"/>
    <n v="0"/>
    <x v="0"/>
    <x v="194"/>
  </r>
  <r>
    <x v="0"/>
    <x v="0"/>
    <n v="189"/>
    <n v="59"/>
    <x v="3"/>
    <x v="216"/>
    <n v="13"/>
    <n v="0"/>
    <n v="72.218545154013796"/>
    <n v="85.027163294504405"/>
    <n v="238.14371900947501"/>
    <n v="73.386582372287805"/>
    <x v="220"/>
    <n v="84.372177985727205"/>
    <x v="220"/>
    <n v="40.195413167816099"/>
    <n v="83.747941436696905"/>
    <x v="0"/>
    <n v="1"/>
    <x v="0"/>
    <n v="0"/>
    <x v="0"/>
    <x v="195"/>
  </r>
  <r>
    <x v="6"/>
    <x v="6"/>
    <n v="178"/>
    <n v="92"/>
    <x v="3"/>
    <x v="217"/>
    <n v="31"/>
    <n v="2"/>
    <n v="71.913417667272796"/>
    <n v="81.882622849651099"/>
    <n v="250.865394078001"/>
    <n v="70.212504651279303"/>
    <x v="221"/>
    <n v="75.535294934651702"/>
    <x v="221"/>
    <n v="55.870044247977098"/>
    <n v="64.828402727467207"/>
    <x v="1"/>
    <n v="0"/>
    <x v="1"/>
    <n v="1"/>
    <x v="1"/>
    <x v="196"/>
  </r>
  <r>
    <x v="3"/>
    <x v="3"/>
    <n v="193"/>
    <n v="58"/>
    <x v="1"/>
    <x v="218"/>
    <n v="23"/>
    <n v="1"/>
    <n v="77.260899732123505"/>
    <n v="91.527872633953706"/>
    <n v="204.661172626927"/>
    <n v="80.761918227238894"/>
    <x v="222"/>
    <n v="86.534413940667804"/>
    <x v="222"/>
    <n v="42.352255964019001"/>
    <n v="80.697153621448706"/>
    <x v="0"/>
    <n v="1"/>
    <x v="0"/>
    <n v="0"/>
    <x v="0"/>
    <x v="197"/>
  </r>
  <r>
    <x v="4"/>
    <x v="4"/>
    <n v="169"/>
    <n v="70"/>
    <x v="1"/>
    <x v="219"/>
    <n v="31"/>
    <n v="3"/>
    <n v="84.040374636801204"/>
    <n v="73.0187761709076"/>
    <n v="237.46233844912999"/>
    <n v="85.451193634323403"/>
    <x v="223"/>
    <n v="57.095413022155199"/>
    <x v="223"/>
    <n v="46.967041981943801"/>
    <n v="77.279737873401999"/>
    <x v="1"/>
    <n v="0"/>
    <x v="1"/>
    <n v="1"/>
    <x v="1"/>
    <x v="198"/>
  </r>
  <r>
    <x v="0"/>
    <x v="0"/>
    <n v="160"/>
    <n v="67"/>
    <x v="1"/>
    <x v="220"/>
    <n v="26"/>
    <n v="3"/>
    <n v="70.008923475855298"/>
    <n v="80.543331007744101"/>
    <n v="254.89471859407399"/>
    <n v="75.4394668082344"/>
    <x v="224"/>
    <n v="75.805361770141801"/>
    <x v="224"/>
    <n v="68.843368777137201"/>
    <n v="54.128286542932798"/>
    <x v="2"/>
    <n v="0"/>
    <x v="1"/>
    <n v="1"/>
    <x v="1"/>
    <x v="199"/>
  </r>
  <r>
    <x v="1"/>
    <x v="1"/>
    <n v="177"/>
    <n v="85"/>
    <x v="2"/>
    <x v="221"/>
    <n v="15"/>
    <n v="0"/>
    <n v="73.324993584519206"/>
    <n v="85.000508903409099"/>
    <n v="241.12166795173599"/>
    <n v="89.242527923528698"/>
    <x v="225"/>
    <n v="93.256377517607106"/>
    <x v="225"/>
    <n v="37.799481446416202"/>
    <n v="74.5069144209819"/>
    <x v="1"/>
    <n v="0"/>
    <x v="1"/>
    <n v="0"/>
    <x v="0"/>
    <x v="200"/>
  </r>
  <r>
    <x v="4"/>
    <x v="4"/>
    <n v="183"/>
    <n v="105"/>
    <x v="1"/>
    <x v="222"/>
    <n v="21"/>
    <n v="3"/>
    <n v="73.661698804649504"/>
    <n v="77.0005199966416"/>
    <n v="271.91674448902802"/>
    <n v="82.173804864640104"/>
    <x v="226"/>
    <n v="73.962955778274207"/>
    <x v="226"/>
    <n v="64.484009631003303"/>
    <n v="73.969808525265094"/>
    <x v="1"/>
    <n v="0"/>
    <x v="1"/>
    <n v="1"/>
    <x v="1"/>
    <x v="201"/>
  </r>
  <r>
    <x v="0"/>
    <x v="0"/>
    <n v="171"/>
    <n v="59"/>
    <x v="0"/>
    <x v="223"/>
    <n v="13"/>
    <n v="0"/>
    <n v="77.193686214807897"/>
    <n v="83.944945726717904"/>
    <n v="212.30043726489001"/>
    <n v="80.319073379479804"/>
    <x v="227"/>
    <n v="76.030693026665105"/>
    <x v="227"/>
    <n v="39.722789513865798"/>
    <n v="77.988931646181499"/>
    <x v="1"/>
    <n v="1"/>
    <x v="0"/>
    <n v="0"/>
    <x v="0"/>
    <x v="202"/>
  </r>
  <r>
    <x v="4"/>
    <x v="4"/>
    <n v="180"/>
    <n v="86"/>
    <x v="3"/>
    <x v="224"/>
    <n v="6"/>
    <n v="0"/>
    <n v="78.1716433891213"/>
    <n v="85.191730265217899"/>
    <n v="249.14612908547801"/>
    <n v="88.076672336962403"/>
    <x v="228"/>
    <n v="89.4085659709678"/>
    <x v="228"/>
    <n v="55.686287772914199"/>
    <n v="68.793505245154194"/>
    <x v="1"/>
    <n v="0"/>
    <x v="1"/>
    <n v="0"/>
    <x v="0"/>
    <x v="203"/>
  </r>
  <r>
    <x v="1"/>
    <x v="1"/>
    <n v="180"/>
    <n v="74"/>
    <x v="1"/>
    <x v="225"/>
    <n v="9"/>
    <n v="1"/>
    <n v="84.580966196744299"/>
    <n v="75.165480664709904"/>
    <n v="254.72279413174601"/>
    <n v="79.025165338783196"/>
    <x v="229"/>
    <n v="66.980079263098503"/>
    <x v="229"/>
    <n v="65.309990504869305"/>
    <n v="62.543485540634897"/>
    <x v="1"/>
    <n v="0"/>
    <x v="1"/>
    <n v="1"/>
    <x v="1"/>
    <x v="204"/>
  </r>
  <r>
    <x v="4"/>
    <x v="4"/>
    <n v="179"/>
    <n v="66"/>
    <x v="0"/>
    <x v="226"/>
    <n v="5"/>
    <n v="3"/>
    <n v="76.544080731854805"/>
    <n v="81.121909393303099"/>
    <n v="241.99572616176999"/>
    <n v="90.797391203491898"/>
    <x v="230"/>
    <n v="82.383767289108405"/>
    <x v="230"/>
    <n v="46.148665467891099"/>
    <n v="74.956583255443306"/>
    <x v="1"/>
    <n v="1"/>
    <x v="0"/>
    <n v="0"/>
    <x v="0"/>
    <x v="205"/>
  </r>
  <r>
    <x v="2"/>
    <x v="2"/>
    <n v="175"/>
    <n v="58"/>
    <x v="1"/>
    <x v="227"/>
    <n v="33"/>
    <n v="3"/>
    <n v="76.540523481719504"/>
    <n v="75.990037491328593"/>
    <n v="258.21344383953999"/>
    <n v="83.351402478622305"/>
    <x v="231"/>
    <n v="68.095852445343496"/>
    <x v="231"/>
    <n v="63.469544487717997"/>
    <n v="66.873224864540603"/>
    <x v="1"/>
    <n v="1"/>
    <x v="0"/>
    <n v="1"/>
    <x v="1"/>
    <x v="206"/>
  </r>
  <r>
    <x v="0"/>
    <x v="0"/>
    <n v="167"/>
    <n v="71"/>
    <x v="1"/>
    <x v="228"/>
    <n v="9"/>
    <n v="2"/>
    <n v="75.329694952870099"/>
    <n v="65.440925432467594"/>
    <n v="244.56091537576901"/>
    <n v="80.572843663480199"/>
    <x v="232"/>
    <n v="68.390109189914895"/>
    <x v="232"/>
    <n v="63.324602425124603"/>
    <n v="71.790932860475294"/>
    <x v="1"/>
    <n v="0"/>
    <x v="1"/>
    <n v="1"/>
    <x v="1"/>
    <x v="207"/>
  </r>
  <r>
    <x v="2"/>
    <x v="2"/>
    <n v="168"/>
    <n v="86"/>
    <x v="2"/>
    <x v="229"/>
    <n v="10"/>
    <n v="3"/>
    <n v="67.7592468556808"/>
    <n v="83.665049875036999"/>
    <n v="273.75213760311402"/>
    <n v="84.3506160478032"/>
    <x v="233"/>
    <n v="83.943012083562195"/>
    <x v="233"/>
    <n v="65.095837585440705"/>
    <n v="70.525493328643705"/>
    <x v="1"/>
    <n v="0"/>
    <x v="1"/>
    <n v="1"/>
    <x v="1"/>
    <x v="208"/>
  </r>
  <r>
    <x v="0"/>
    <x v="0"/>
    <n v="169"/>
    <n v="65"/>
    <x v="2"/>
    <x v="230"/>
    <n v="14"/>
    <n v="1"/>
    <n v="72.229035703608403"/>
    <n v="77.301605884888204"/>
    <n v="215.51627080839901"/>
    <n v="89.422077827069202"/>
    <x v="234"/>
    <n v="82.125218147590601"/>
    <x v="234"/>
    <n v="55.748373197021401"/>
    <n v="58.102807890535999"/>
    <x v="2"/>
    <n v="1"/>
    <x v="0"/>
    <n v="1"/>
    <x v="1"/>
    <x v="209"/>
  </r>
  <r>
    <x v="0"/>
    <x v="0"/>
    <n v="174"/>
    <n v="45"/>
    <x v="2"/>
    <x v="231"/>
    <n v="22"/>
    <n v="2"/>
    <n v="72.266299918246403"/>
    <n v="70.348262766588107"/>
    <n v="246.58881321803099"/>
    <n v="87.663680818352603"/>
    <x v="235"/>
    <n v="69.067585325261803"/>
    <x v="235"/>
    <n v="79.311898476979806"/>
    <n v="74.024344583440495"/>
    <x v="1"/>
    <n v="0"/>
    <x v="1"/>
    <n v="1"/>
    <x v="1"/>
    <x v="210"/>
  </r>
  <r>
    <x v="2"/>
    <x v="2"/>
    <n v="182"/>
    <n v="68"/>
    <x v="0"/>
    <x v="232"/>
    <n v="7"/>
    <n v="1"/>
    <n v="83.391678382110499"/>
    <n v="73.435517942592497"/>
    <n v="194.85460002352099"/>
    <n v="91.976021636915405"/>
    <x v="236"/>
    <n v="83.921073229357503"/>
    <x v="236"/>
    <n v="52.1998460851486"/>
    <n v="78.501706342384196"/>
    <x v="1"/>
    <n v="1"/>
    <x v="0"/>
    <n v="0"/>
    <x v="0"/>
    <x v="126"/>
  </r>
  <r>
    <x v="1"/>
    <x v="1"/>
    <n v="182"/>
    <n v="87"/>
    <x v="0"/>
    <x v="233"/>
    <n v="6"/>
    <n v="2"/>
    <n v="72.110783382025701"/>
    <n v="78.0054954074416"/>
    <n v="275.42543845487"/>
    <n v="77.413282328987407"/>
    <x v="237"/>
    <n v="62.266140782683102"/>
    <x v="237"/>
    <n v="61.840451025035698"/>
    <n v="60.884654230614103"/>
    <x v="1"/>
    <n v="0"/>
    <x v="1"/>
    <n v="1"/>
    <x v="1"/>
    <x v="211"/>
  </r>
  <r>
    <x v="5"/>
    <x v="5"/>
    <n v="172"/>
    <n v="82"/>
    <x v="3"/>
    <x v="234"/>
    <n v="21"/>
    <n v="2"/>
    <n v="65.7803976647441"/>
    <n v="70.453507004998102"/>
    <n v="264.80172319562803"/>
    <n v="73.308568204392202"/>
    <x v="238"/>
    <n v="75.030121543368693"/>
    <x v="238"/>
    <n v="64.740796009486104"/>
    <n v="75.195487240585194"/>
    <x v="1"/>
    <n v="0"/>
    <x v="1"/>
    <n v="1"/>
    <x v="1"/>
    <x v="212"/>
  </r>
  <r>
    <x v="3"/>
    <x v="3"/>
    <n v="168"/>
    <n v="65"/>
    <x v="1"/>
    <x v="235"/>
    <n v="9"/>
    <n v="3"/>
    <n v="77.036172390966897"/>
    <n v="73.382684906006702"/>
    <n v="252.47533327980801"/>
    <n v="71.854083673349706"/>
    <x v="239"/>
    <n v="65.908221553863598"/>
    <x v="239"/>
    <n v="46.866824085140699"/>
    <n v="76.721747168133504"/>
    <x v="1"/>
    <n v="1"/>
    <x v="0"/>
    <n v="1"/>
    <x v="1"/>
    <x v="213"/>
  </r>
  <r>
    <x v="4"/>
    <x v="4"/>
    <n v="180"/>
    <n v="86"/>
    <x v="2"/>
    <x v="236"/>
    <n v="12"/>
    <n v="1"/>
    <n v="91.908881570819503"/>
    <n v="84.709257771459704"/>
    <n v="222.068860045115"/>
    <n v="82.493448223942593"/>
    <x v="240"/>
    <n v="81.199847918682394"/>
    <x v="240"/>
    <n v="38.3582970942456"/>
    <n v="78.661174201968393"/>
    <x v="1"/>
    <n v="1"/>
    <x v="0"/>
    <n v="0"/>
    <x v="0"/>
    <x v="203"/>
  </r>
  <r>
    <x v="4"/>
    <x v="4"/>
    <n v="183"/>
    <n v="71"/>
    <x v="3"/>
    <x v="237"/>
    <n v="5"/>
    <n v="1"/>
    <n v="73.145135969957593"/>
    <n v="80.304625193074102"/>
    <n v="255.53330034809301"/>
    <n v="91.916569686551895"/>
    <x v="241"/>
    <n v="91.104625920987701"/>
    <x v="241"/>
    <n v="55.718852223230598"/>
    <n v="86.605045014809093"/>
    <x v="0"/>
    <n v="1"/>
    <x v="0"/>
    <n v="0"/>
    <x v="0"/>
    <x v="63"/>
  </r>
  <r>
    <x v="0"/>
    <x v="0"/>
    <n v="188"/>
    <n v="76"/>
    <x v="1"/>
    <x v="238"/>
    <n v="39"/>
    <n v="1"/>
    <n v="63.574815590281297"/>
    <n v="79.464214335448503"/>
    <n v="257.68532616431497"/>
    <n v="87.308645979477305"/>
    <x v="242"/>
    <n v="74.931994246005999"/>
    <x v="242"/>
    <n v="66.6853274528779"/>
    <n v="75.334918503855306"/>
    <x v="1"/>
    <n v="1"/>
    <x v="0"/>
    <n v="0"/>
    <x v="0"/>
    <x v="214"/>
  </r>
  <r>
    <x v="3"/>
    <x v="3"/>
    <n v="167"/>
    <n v="75"/>
    <x v="1"/>
    <x v="239"/>
    <n v="20"/>
    <n v="0"/>
    <n v="69.492709692025201"/>
    <n v="71.193307216999898"/>
    <n v="243.94400719414199"/>
    <n v="82.3697665407947"/>
    <x v="243"/>
    <n v="81.081418217759406"/>
    <x v="243"/>
    <n v="54.027854507148099"/>
    <n v="74.579823407710293"/>
    <x v="1"/>
    <n v="1"/>
    <x v="0"/>
    <n v="0"/>
    <x v="0"/>
    <x v="215"/>
  </r>
  <r>
    <x v="4"/>
    <x v="4"/>
    <n v="187"/>
    <n v="66"/>
    <x v="2"/>
    <x v="240"/>
    <n v="35"/>
    <n v="2"/>
    <n v="83.893991027093804"/>
    <n v="73.861143671303196"/>
    <n v="249.191059306357"/>
    <n v="80.196831527940901"/>
    <x v="244"/>
    <n v="78.411137582383702"/>
    <x v="244"/>
    <n v="65.182292662869699"/>
    <n v="79.383163871696198"/>
    <x v="1"/>
    <n v="0"/>
    <x v="1"/>
    <n v="1"/>
    <x v="1"/>
    <x v="216"/>
  </r>
  <r>
    <x v="6"/>
    <x v="6"/>
    <n v="166"/>
    <n v="73"/>
    <x v="2"/>
    <x v="241"/>
    <n v="26"/>
    <n v="0"/>
    <n v="69.778590193457802"/>
    <n v="80.574771160636402"/>
    <n v="217.03824981411901"/>
    <n v="85.4100598318294"/>
    <x v="245"/>
    <n v="96.650281970939503"/>
    <x v="245"/>
    <n v="38.563023306879202"/>
    <n v="68.567973915512994"/>
    <x v="1"/>
    <n v="1"/>
    <x v="0"/>
    <n v="0"/>
    <x v="0"/>
    <x v="134"/>
  </r>
  <r>
    <x v="5"/>
    <x v="5"/>
    <n v="169"/>
    <n v="56"/>
    <x v="0"/>
    <x v="242"/>
    <n v="15"/>
    <n v="2"/>
    <n v="81.125544630617199"/>
    <n v="74.053138714211897"/>
    <n v="269.82712333314601"/>
    <n v="86.5631934404812"/>
    <x v="246"/>
    <n v="75.0343422611856"/>
    <x v="246"/>
    <n v="52.967353544074598"/>
    <n v="74.265544639591596"/>
    <x v="1"/>
    <n v="0"/>
    <x v="1"/>
    <n v="1"/>
    <x v="1"/>
    <x v="41"/>
  </r>
  <r>
    <x v="4"/>
    <x v="4"/>
    <n v="179"/>
    <n v="67"/>
    <x v="2"/>
    <x v="243"/>
    <n v="37"/>
    <n v="2"/>
    <n v="63.627500427303801"/>
    <n v="66.750661976636493"/>
    <n v="250.858722693982"/>
    <n v="80.505610358449204"/>
    <x v="247"/>
    <n v="70.441965868294105"/>
    <x v="247"/>
    <n v="53.737569773138397"/>
    <n v="75.246727706407896"/>
    <x v="1"/>
    <n v="0"/>
    <x v="1"/>
    <n v="1"/>
    <x v="1"/>
    <x v="217"/>
  </r>
  <r>
    <x v="2"/>
    <x v="2"/>
    <n v="174"/>
    <n v="78"/>
    <x v="1"/>
    <x v="244"/>
    <n v="13"/>
    <n v="1"/>
    <n v="74.951256347069005"/>
    <n v="78.002038391327204"/>
    <n v="279.92760773241599"/>
    <n v="76.286820249174795"/>
    <x v="248"/>
    <n v="68.505776135379307"/>
    <x v="248"/>
    <n v="82.816270399963699"/>
    <n v="66.3605533577649"/>
    <x v="1"/>
    <n v="0"/>
    <x v="1"/>
    <n v="1"/>
    <x v="1"/>
    <x v="218"/>
  </r>
  <r>
    <x v="3"/>
    <x v="3"/>
    <n v="174"/>
    <n v="58"/>
    <x v="1"/>
    <x v="245"/>
    <n v="22"/>
    <n v="3"/>
    <n v="76.478911133575593"/>
    <n v="78.188613498884095"/>
    <n v="256.09082771611997"/>
    <n v="82.601215259571305"/>
    <x v="249"/>
    <n v="82.403731323553302"/>
    <x v="249"/>
    <n v="54.347842015476303"/>
    <n v="79.538163656830704"/>
    <x v="1"/>
    <n v="1"/>
    <x v="0"/>
    <n v="1"/>
    <x v="1"/>
    <x v="219"/>
  </r>
  <r>
    <x v="5"/>
    <x v="5"/>
    <n v="177"/>
    <n v="68"/>
    <x v="2"/>
    <x v="246"/>
    <n v="14"/>
    <n v="2"/>
    <n v="76.665972176071094"/>
    <n v="91.196986848557302"/>
    <n v="232.99593816184199"/>
    <n v="83.616066891237793"/>
    <x v="250"/>
    <n v="67.100301880332594"/>
    <x v="250"/>
    <n v="48.697087421045197"/>
    <n v="89.572758218718803"/>
    <x v="0"/>
    <n v="0"/>
    <x v="1"/>
    <n v="0"/>
    <x v="0"/>
    <x v="220"/>
  </r>
  <r>
    <x v="3"/>
    <x v="3"/>
    <n v="170"/>
    <n v="55"/>
    <x v="1"/>
    <x v="247"/>
    <n v="27"/>
    <n v="1"/>
    <n v="69.715276303642597"/>
    <n v="86.4545729064493"/>
    <n v="203.48667466576799"/>
    <n v="81.738627723433098"/>
    <x v="251"/>
    <n v="80.251480914504299"/>
    <x v="251"/>
    <n v="38.734381245290301"/>
    <n v="79.772627798413794"/>
    <x v="1"/>
    <n v="0"/>
    <x v="1"/>
    <n v="0"/>
    <x v="0"/>
    <x v="221"/>
  </r>
  <r>
    <x v="6"/>
    <x v="6"/>
    <n v="186"/>
    <n v="83"/>
    <x v="3"/>
    <x v="248"/>
    <n v="28"/>
    <n v="2"/>
    <n v="76.182896748120001"/>
    <n v="72.729326715286803"/>
    <n v="261.49784951962198"/>
    <n v="81.928803297978902"/>
    <x v="252"/>
    <n v="72.699889847656493"/>
    <x v="252"/>
    <n v="61.105032189639701"/>
    <n v="76.517296940362996"/>
    <x v="1"/>
    <n v="0"/>
    <x v="1"/>
    <n v="1"/>
    <x v="1"/>
    <x v="222"/>
  </r>
  <r>
    <x v="6"/>
    <x v="6"/>
    <n v="185"/>
    <n v="70"/>
    <x v="2"/>
    <x v="249"/>
    <n v="24"/>
    <n v="2"/>
    <n v="74.425421632716606"/>
    <n v="80.005134404160501"/>
    <n v="240.39068352503301"/>
    <n v="77.137556771816506"/>
    <x v="253"/>
    <n v="89.118241625137699"/>
    <x v="253"/>
    <n v="49.123003199950197"/>
    <n v="78.966168853893393"/>
    <x v="1"/>
    <n v="0"/>
    <x v="1"/>
    <n v="1"/>
    <x v="1"/>
    <x v="154"/>
  </r>
  <r>
    <x v="2"/>
    <x v="2"/>
    <n v="181"/>
    <n v="78"/>
    <x v="3"/>
    <x v="250"/>
    <n v="36"/>
    <n v="3"/>
    <n v="81.606412696779302"/>
    <n v="85.561791347607695"/>
    <n v="216.94758250877101"/>
    <n v="95.473310608877199"/>
    <x v="254"/>
    <n v="66.524564525347401"/>
    <x v="254"/>
    <n v="47.360509343236103"/>
    <n v="68.172369504797302"/>
    <x v="1"/>
    <n v="0"/>
    <x v="1"/>
    <n v="0"/>
    <x v="0"/>
    <x v="223"/>
  </r>
  <r>
    <x v="5"/>
    <x v="5"/>
    <n v="182"/>
    <n v="69"/>
    <x v="3"/>
    <x v="251"/>
    <n v="28"/>
    <n v="0"/>
    <n v="68.960343647749696"/>
    <n v="83.249373674388707"/>
    <n v="257.86050839584999"/>
    <n v="75.813264091668202"/>
    <x v="255"/>
    <n v="76.294136596992502"/>
    <x v="255"/>
    <n v="50.644512060253199"/>
    <n v="77.799906440842804"/>
    <x v="1"/>
    <n v="0"/>
    <x v="1"/>
    <n v="1"/>
    <x v="1"/>
    <x v="224"/>
  </r>
  <r>
    <x v="1"/>
    <x v="1"/>
    <n v="177"/>
    <n v="85"/>
    <x v="3"/>
    <x v="252"/>
    <n v="20"/>
    <n v="1"/>
    <n v="70.827508458793204"/>
    <n v="75.273411007435897"/>
    <n v="246.87506484899299"/>
    <n v="92.454310942191498"/>
    <x v="256"/>
    <n v="70.260128411488793"/>
    <x v="256"/>
    <n v="59.569085935852598"/>
    <n v="66.654159775908397"/>
    <x v="1"/>
    <n v="1"/>
    <x v="0"/>
    <n v="1"/>
    <x v="1"/>
    <x v="200"/>
  </r>
  <r>
    <x v="2"/>
    <x v="2"/>
    <n v="171"/>
    <n v="58"/>
    <x v="2"/>
    <x v="253"/>
    <n v="9"/>
    <n v="1"/>
    <n v="86.258926494094993"/>
    <n v="95.377299834233597"/>
    <n v="242.74867042893601"/>
    <n v="83.383919516414593"/>
    <x v="257"/>
    <n v="89.122561293195801"/>
    <x v="257"/>
    <n v="34.915041129636897"/>
    <n v="70.735271785155106"/>
    <x v="1"/>
    <n v="0"/>
    <x v="1"/>
    <n v="0"/>
    <x v="0"/>
    <x v="225"/>
  </r>
  <r>
    <x v="6"/>
    <x v="6"/>
    <n v="178"/>
    <n v="76"/>
    <x v="3"/>
    <x v="254"/>
    <n v="10"/>
    <n v="1"/>
    <n v="71.273713497461202"/>
    <n v="69.346958100937599"/>
    <n v="249.82328646216999"/>
    <n v="85.632365932312396"/>
    <x v="258"/>
    <n v="71.111623352766301"/>
    <x v="258"/>
    <n v="46.305322991239102"/>
    <n v="60.123194897614901"/>
    <x v="1"/>
    <n v="1"/>
    <x v="0"/>
    <n v="1"/>
    <x v="1"/>
    <x v="226"/>
  </r>
  <r>
    <x v="1"/>
    <x v="1"/>
    <n v="186"/>
    <n v="79"/>
    <x v="2"/>
    <x v="255"/>
    <n v="20"/>
    <n v="5"/>
    <n v="62.876994582313102"/>
    <n v="76.662630769550404"/>
    <n v="281.508269643088"/>
    <n v="79.158311981802498"/>
    <x v="259"/>
    <n v="82.135917917812606"/>
    <x v="259"/>
    <n v="68.109196864864998"/>
    <n v="77.9886997608792"/>
    <x v="1"/>
    <n v="0"/>
    <x v="1"/>
    <n v="1"/>
    <x v="1"/>
    <x v="227"/>
  </r>
  <r>
    <x v="0"/>
    <x v="0"/>
    <n v="185"/>
    <n v="81"/>
    <x v="2"/>
    <x v="140"/>
    <n v="12"/>
    <n v="1"/>
    <n v="74.983406961414204"/>
    <n v="72.670010483118205"/>
    <n v="298.66647376501697"/>
    <n v="84.465660012657395"/>
    <x v="260"/>
    <n v="76.179352053948705"/>
    <x v="260"/>
    <n v="63.174486110750799"/>
    <n v="73.427059689122999"/>
    <x v="1"/>
    <n v="0"/>
    <x v="1"/>
    <n v="1"/>
    <x v="1"/>
    <x v="156"/>
  </r>
  <r>
    <x v="0"/>
    <x v="0"/>
    <n v="180"/>
    <n v="76"/>
    <x v="2"/>
    <x v="256"/>
    <n v="9"/>
    <n v="0"/>
    <n v="70.265316177316706"/>
    <n v="73.988600766716999"/>
    <n v="240.16788199085701"/>
    <n v="78.291563049999695"/>
    <x v="261"/>
    <n v="76.416262582082794"/>
    <x v="261"/>
    <n v="69.084702823657295"/>
    <n v="73.534352809323593"/>
    <x v="1"/>
    <n v="0"/>
    <x v="1"/>
    <n v="1"/>
    <x v="1"/>
    <x v="228"/>
  </r>
  <r>
    <x v="3"/>
    <x v="3"/>
    <n v="183"/>
    <n v="69"/>
    <x v="3"/>
    <x v="257"/>
    <n v="13"/>
    <n v="0"/>
    <n v="72.771062874003206"/>
    <n v="76.576127976919594"/>
    <n v="225.66298574272699"/>
    <n v="80.429179407709995"/>
    <x v="262"/>
    <n v="86.922043938718701"/>
    <x v="262"/>
    <n v="55.851100587616003"/>
    <n v="74.154544825204496"/>
    <x v="1"/>
    <n v="1"/>
    <x v="0"/>
    <n v="0"/>
    <x v="0"/>
    <x v="229"/>
  </r>
  <r>
    <x v="0"/>
    <x v="0"/>
    <n v="180"/>
    <n v="66"/>
    <x v="0"/>
    <x v="258"/>
    <n v="24"/>
    <n v="1"/>
    <n v="83.643289878514295"/>
    <n v="85.025159194850403"/>
    <n v="261.99392423760901"/>
    <n v="83.658857249568101"/>
    <x v="263"/>
    <n v="92.683221472844494"/>
    <x v="263"/>
    <n v="39.045054113920102"/>
    <n v="93.931968053896995"/>
    <x v="0"/>
    <n v="1"/>
    <x v="0"/>
    <n v="0"/>
    <x v="0"/>
    <x v="230"/>
  </r>
  <r>
    <x v="0"/>
    <x v="0"/>
    <n v="189"/>
    <n v="76"/>
    <x v="2"/>
    <x v="259"/>
    <n v="38"/>
    <n v="1"/>
    <n v="75.6055722313681"/>
    <n v="76.660179245997398"/>
    <n v="264.96636886711502"/>
    <n v="83.352910404751995"/>
    <x v="264"/>
    <n v="90.046896965726901"/>
    <x v="264"/>
    <n v="48.388266877689503"/>
    <n v="86.025978026594103"/>
    <x v="0"/>
    <n v="1"/>
    <x v="0"/>
    <n v="0"/>
    <x v="0"/>
    <x v="42"/>
  </r>
  <r>
    <x v="5"/>
    <x v="5"/>
    <n v="172"/>
    <n v="71"/>
    <x v="3"/>
    <x v="260"/>
    <n v="34"/>
    <n v="2"/>
    <n v="80.365864532669704"/>
    <n v="69.974463848217496"/>
    <n v="242.91280933444699"/>
    <n v="79.088095766795604"/>
    <x v="265"/>
    <n v="74.895291621694994"/>
    <x v="265"/>
    <n v="71.676564172921005"/>
    <n v="55.200060329200497"/>
    <x v="2"/>
    <n v="1"/>
    <x v="0"/>
    <n v="1"/>
    <x v="1"/>
    <x v="231"/>
  </r>
  <r>
    <x v="4"/>
    <x v="4"/>
    <n v="181"/>
    <n v="56"/>
    <x v="2"/>
    <x v="261"/>
    <n v="39"/>
    <n v="5"/>
    <n v="81.257576317614607"/>
    <n v="66.802015448360095"/>
    <n v="237.44409399434599"/>
    <n v="71.263303363097805"/>
    <x v="266"/>
    <n v="74.789072049383293"/>
    <x v="266"/>
    <n v="79.236906793102605"/>
    <n v="68.807818459661604"/>
    <x v="1"/>
    <n v="1"/>
    <x v="0"/>
    <n v="1"/>
    <x v="1"/>
    <x v="232"/>
  </r>
  <r>
    <x v="6"/>
    <x v="6"/>
    <n v="180"/>
    <n v="79"/>
    <x v="3"/>
    <x v="262"/>
    <n v="36"/>
    <n v="3"/>
    <n v="82.271683084035899"/>
    <n v="80.428912758072698"/>
    <n v="249.389075438991"/>
    <n v="73.369869953878904"/>
    <x v="267"/>
    <n v="63.328770993427803"/>
    <x v="267"/>
    <n v="59.861962531051098"/>
    <n v="70.295188430720501"/>
    <x v="1"/>
    <n v="0"/>
    <x v="1"/>
    <n v="1"/>
    <x v="1"/>
    <x v="233"/>
  </r>
  <r>
    <x v="0"/>
    <x v="0"/>
    <n v="177"/>
    <n v="61"/>
    <x v="0"/>
    <x v="263"/>
    <n v="32"/>
    <n v="0"/>
    <n v="72.909605360756004"/>
    <n v="80.805674714949802"/>
    <n v="227.485276011715"/>
    <n v="81.966583602963993"/>
    <x v="268"/>
    <n v="93.323430625899505"/>
    <x v="268"/>
    <n v="50.333317652205899"/>
    <n v="87.786772387760607"/>
    <x v="0"/>
    <n v="0"/>
    <x v="1"/>
    <n v="0"/>
    <x v="0"/>
    <x v="71"/>
  </r>
  <r>
    <x v="3"/>
    <x v="3"/>
    <n v="181"/>
    <n v="78"/>
    <x v="2"/>
    <x v="264"/>
    <n v="37"/>
    <n v="1"/>
    <n v="77.574150210609105"/>
    <n v="81.041261136560706"/>
    <n v="238.59369208574299"/>
    <n v="88.726802555938207"/>
    <x v="269"/>
    <n v="85.267911759723901"/>
    <x v="269"/>
    <n v="56.578609401937797"/>
    <n v="73.216900301504893"/>
    <x v="1"/>
    <n v="0"/>
    <x v="1"/>
    <n v="0"/>
    <x v="0"/>
    <x v="223"/>
  </r>
  <r>
    <x v="5"/>
    <x v="5"/>
    <n v="176"/>
    <n v="88"/>
    <x v="3"/>
    <x v="265"/>
    <n v="26"/>
    <n v="2"/>
    <n v="74.600881683285394"/>
    <n v="73.673692006812999"/>
    <n v="267.10605483725197"/>
    <n v="77.968837905170005"/>
    <x v="270"/>
    <n v="83.763174047813195"/>
    <x v="270"/>
    <n v="80.426577627917695"/>
    <n v="61.935552841276703"/>
    <x v="1"/>
    <n v="1"/>
    <x v="0"/>
    <n v="1"/>
    <x v="1"/>
    <x v="128"/>
  </r>
  <r>
    <x v="3"/>
    <x v="3"/>
    <n v="174"/>
    <n v="58"/>
    <x v="1"/>
    <x v="266"/>
    <n v="15"/>
    <n v="1"/>
    <n v="88.216998714976597"/>
    <n v="82.129972057235193"/>
    <n v="283.43264008035601"/>
    <n v="68.499237352727505"/>
    <x v="271"/>
    <n v="79.394894159032305"/>
    <x v="271"/>
    <n v="71.391733717883696"/>
    <n v="63.531468617843601"/>
    <x v="1"/>
    <n v="1"/>
    <x v="0"/>
    <n v="1"/>
    <x v="1"/>
    <x v="219"/>
  </r>
  <r>
    <x v="4"/>
    <x v="4"/>
    <n v="184"/>
    <n v="68"/>
    <x v="3"/>
    <x v="267"/>
    <n v="6"/>
    <n v="2"/>
    <n v="74.827148827686798"/>
    <n v="84.638513729617003"/>
    <n v="253.34599746360399"/>
    <n v="85.725996195058698"/>
    <x v="272"/>
    <n v="99.552821285117304"/>
    <x v="272"/>
    <n v="46.571367718584497"/>
    <n v="75.855961174668806"/>
    <x v="1"/>
    <n v="1"/>
    <x v="0"/>
    <n v="0"/>
    <x v="0"/>
    <x v="234"/>
  </r>
  <r>
    <x v="6"/>
    <x v="6"/>
    <n v="182"/>
    <n v="81"/>
    <x v="2"/>
    <x v="268"/>
    <n v="15"/>
    <n v="1"/>
    <n v="75.703249995121396"/>
    <n v="70.692745022499196"/>
    <n v="265.032759074095"/>
    <n v="76.186685957820103"/>
    <x v="273"/>
    <n v="71.477245092467797"/>
    <x v="273"/>
    <n v="48.366684240150903"/>
    <n v="68.335340260253204"/>
    <x v="1"/>
    <n v="0"/>
    <x v="1"/>
    <n v="1"/>
    <x v="1"/>
    <x v="235"/>
  </r>
  <r>
    <x v="2"/>
    <x v="2"/>
    <n v="185"/>
    <n v="69"/>
    <x v="2"/>
    <x v="269"/>
    <n v="34"/>
    <n v="2"/>
    <n v="74.919268093102204"/>
    <n v="83.883472965174306"/>
    <n v="242.53417376943"/>
    <n v="88.396692826934199"/>
    <x v="274"/>
    <n v="85.054837046624897"/>
    <x v="274"/>
    <n v="58.448929344199797"/>
    <n v="78.863013999106897"/>
    <x v="1"/>
    <n v="1"/>
    <x v="0"/>
    <n v="0"/>
    <x v="0"/>
    <x v="102"/>
  </r>
  <r>
    <x v="5"/>
    <x v="5"/>
    <n v="163"/>
    <n v="69"/>
    <x v="1"/>
    <x v="270"/>
    <n v="18"/>
    <n v="1"/>
    <n v="66.302354226874797"/>
    <n v="76.825858099956505"/>
    <n v="251.56387838052501"/>
    <n v="89.061054182714699"/>
    <x v="275"/>
    <n v="75.900121605081907"/>
    <x v="275"/>
    <n v="59.673611215691999"/>
    <n v="71.711979617587502"/>
    <x v="1"/>
    <n v="1"/>
    <x v="0"/>
    <n v="1"/>
    <x v="1"/>
    <x v="236"/>
  </r>
  <r>
    <x v="4"/>
    <x v="4"/>
    <n v="183"/>
    <n v="63"/>
    <x v="0"/>
    <x v="271"/>
    <n v="38"/>
    <n v="0"/>
    <n v="77.822579787151398"/>
    <n v="74.7820217664772"/>
    <n v="225.77339592059801"/>
    <n v="87.975373859680801"/>
    <x v="276"/>
    <n v="75.198460603193595"/>
    <x v="276"/>
    <n v="41.125533275108999"/>
    <n v="83.986876580460105"/>
    <x v="0"/>
    <n v="1"/>
    <x v="0"/>
    <n v="0"/>
    <x v="0"/>
    <x v="237"/>
  </r>
  <r>
    <x v="2"/>
    <x v="2"/>
    <n v="179"/>
    <n v="61"/>
    <x v="3"/>
    <x v="272"/>
    <n v="14"/>
    <n v="1"/>
    <n v="85.615269955461798"/>
    <n v="76.811309424765597"/>
    <n v="223.33779476382301"/>
    <n v="92.276937907821505"/>
    <x v="277"/>
    <n v="100"/>
    <x v="277"/>
    <n v="50.9899765822787"/>
    <n v="75.323590917547605"/>
    <x v="1"/>
    <n v="0"/>
    <x v="1"/>
    <n v="0"/>
    <x v="0"/>
    <x v="238"/>
  </r>
  <r>
    <x v="1"/>
    <x v="1"/>
    <n v="171"/>
    <n v="75"/>
    <x v="3"/>
    <x v="273"/>
    <n v="19"/>
    <n v="3"/>
    <n v="78.835376158663394"/>
    <n v="74.2299247197071"/>
    <n v="267.081668666209"/>
    <n v="86.919462502464199"/>
    <x v="278"/>
    <n v="71.763241138684094"/>
    <x v="278"/>
    <n v="62.382453807378198"/>
    <n v="68.633951168372604"/>
    <x v="1"/>
    <n v="1"/>
    <x v="0"/>
    <n v="1"/>
    <x v="1"/>
    <x v="239"/>
  </r>
  <r>
    <x v="0"/>
    <x v="0"/>
    <n v="164"/>
    <n v="82"/>
    <x v="3"/>
    <x v="274"/>
    <n v="22"/>
    <n v="0"/>
    <n v="79.852150969432202"/>
    <n v="79.070871392030796"/>
    <n v="226.93288707866"/>
    <n v="72.6469140490954"/>
    <x v="279"/>
    <n v="80.165339056544298"/>
    <x v="279"/>
    <n v="47.273588440249"/>
    <n v="80.255237281777497"/>
    <x v="0"/>
    <n v="0"/>
    <x v="1"/>
    <n v="0"/>
    <x v="0"/>
    <x v="240"/>
  </r>
  <r>
    <x v="2"/>
    <x v="2"/>
    <n v="172"/>
    <n v="75"/>
    <x v="3"/>
    <x v="275"/>
    <n v="10"/>
    <n v="0"/>
    <n v="87.388477143387405"/>
    <n v="77.571253070052705"/>
    <n v="221.81609266431801"/>
    <n v="82.645357970152503"/>
    <x v="280"/>
    <n v="75.304396495864907"/>
    <x v="280"/>
    <n v="51.182690899049597"/>
    <n v="83.367448971283096"/>
    <x v="0"/>
    <n v="0"/>
    <x v="1"/>
    <n v="0"/>
    <x v="0"/>
    <x v="241"/>
  </r>
  <r>
    <x v="5"/>
    <x v="5"/>
    <n v="193"/>
    <n v="77"/>
    <x v="1"/>
    <x v="276"/>
    <n v="19"/>
    <n v="2"/>
    <n v="71.255750793161297"/>
    <n v="70.288468671925202"/>
    <n v="245.727864316726"/>
    <n v="72.081505332613602"/>
    <x v="281"/>
    <n v="73.208144323936693"/>
    <x v="281"/>
    <n v="55.716034077544698"/>
    <n v="76.580367143515204"/>
    <x v="1"/>
    <n v="0"/>
    <x v="1"/>
    <n v="1"/>
    <x v="1"/>
    <x v="242"/>
  </r>
  <r>
    <x v="2"/>
    <x v="2"/>
    <n v="170"/>
    <n v="79"/>
    <x v="3"/>
    <x v="277"/>
    <n v="36"/>
    <n v="2"/>
    <n v="61.371971656055599"/>
    <n v="79.509752788133099"/>
    <n v="259.22435628388098"/>
    <n v="61.3659360267485"/>
    <x v="282"/>
    <n v="69.1004184531498"/>
    <x v="282"/>
    <n v="65.491733968877298"/>
    <n v="77.634741492295802"/>
    <x v="1"/>
    <n v="0"/>
    <x v="1"/>
    <n v="1"/>
    <x v="1"/>
    <x v="243"/>
  </r>
  <r>
    <x v="5"/>
    <x v="5"/>
    <n v="177"/>
    <n v="71"/>
    <x v="2"/>
    <x v="278"/>
    <n v="5"/>
    <n v="3"/>
    <n v="70.311793021682902"/>
    <n v="82.008946842403702"/>
    <n v="236.92137619831499"/>
    <n v="87.371556806962701"/>
    <x v="283"/>
    <n v="68.674083701074906"/>
    <x v="283"/>
    <n v="36.430290182237201"/>
    <n v="83.362032678674595"/>
    <x v="0"/>
    <n v="1"/>
    <x v="0"/>
    <n v="0"/>
    <x v="0"/>
    <x v="244"/>
  </r>
  <r>
    <x v="6"/>
    <x v="6"/>
    <n v="175"/>
    <n v="69"/>
    <x v="1"/>
    <x v="279"/>
    <n v="30"/>
    <n v="2"/>
    <n v="80.399809155370306"/>
    <n v="81.606784911377702"/>
    <n v="250.805325165569"/>
    <n v="77.718237230064204"/>
    <x v="284"/>
    <n v="69.072331129067095"/>
    <x v="284"/>
    <n v="34.398711740440199"/>
    <n v="72.968328451159607"/>
    <x v="1"/>
    <n v="1"/>
    <x v="0"/>
    <n v="0"/>
    <x v="0"/>
    <x v="245"/>
  </r>
  <r>
    <x v="3"/>
    <x v="3"/>
    <n v="165"/>
    <n v="60"/>
    <x v="1"/>
    <x v="280"/>
    <n v="13"/>
    <n v="4"/>
    <n v="74.906822360607094"/>
    <n v="66.543258407293806"/>
    <n v="247.910310483187"/>
    <n v="70.333294331868899"/>
    <x v="285"/>
    <n v="71.231931657522907"/>
    <x v="285"/>
    <n v="45.062572723542203"/>
    <n v="56.666411595642302"/>
    <x v="2"/>
    <n v="0"/>
    <x v="1"/>
    <n v="1"/>
    <x v="1"/>
    <x v="246"/>
  </r>
  <r>
    <x v="4"/>
    <x v="4"/>
    <n v="174"/>
    <n v="87"/>
    <x v="1"/>
    <x v="281"/>
    <n v="10"/>
    <n v="1"/>
    <n v="75.565914734831793"/>
    <n v="83.083867185977894"/>
    <n v="242.759176425433"/>
    <n v="86.502787469183801"/>
    <x v="286"/>
    <n v="77.118311562956293"/>
    <x v="286"/>
    <n v="56.600916985626299"/>
    <n v="88.7418770045972"/>
    <x v="0"/>
    <n v="0"/>
    <x v="1"/>
    <n v="0"/>
    <x v="0"/>
    <x v="247"/>
  </r>
  <r>
    <x v="6"/>
    <x v="6"/>
    <n v="181"/>
    <n v="82"/>
    <x v="3"/>
    <x v="282"/>
    <n v="14"/>
    <n v="0"/>
    <n v="64.915423637132093"/>
    <n v="75.582143634811104"/>
    <n v="255.53624838497399"/>
    <n v="79.664840796660798"/>
    <x v="287"/>
    <n v="56.625998304472802"/>
    <x v="287"/>
    <n v="53.107495537002301"/>
    <n v="75.290234640894795"/>
    <x v="1"/>
    <n v="1"/>
    <x v="0"/>
    <n v="1"/>
    <x v="1"/>
    <x v="14"/>
  </r>
  <r>
    <x v="5"/>
    <x v="5"/>
    <n v="187"/>
    <n v="76"/>
    <x v="0"/>
    <x v="283"/>
    <n v="13"/>
    <n v="4"/>
    <n v="74.976140705017301"/>
    <n v="74.862672096011806"/>
    <n v="245.37201029352599"/>
    <n v="74.699187234009898"/>
    <x v="288"/>
    <n v="67.057373035677998"/>
    <x v="288"/>
    <n v="56.178577654079398"/>
    <n v="69.3924933354876"/>
    <x v="1"/>
    <n v="0"/>
    <x v="1"/>
    <n v="1"/>
    <x v="1"/>
    <x v="248"/>
  </r>
  <r>
    <x v="5"/>
    <x v="5"/>
    <n v="178"/>
    <n v="65"/>
    <x v="0"/>
    <x v="284"/>
    <n v="18"/>
    <n v="5"/>
    <n v="78.044684396058301"/>
    <n v="64.868637608054399"/>
    <n v="249.74370957560399"/>
    <n v="74.012032173830093"/>
    <x v="289"/>
    <n v="79.185268090363707"/>
    <x v="289"/>
    <n v="54.116665249738503"/>
    <n v="79.796230922877498"/>
    <x v="1"/>
    <n v="0"/>
    <x v="1"/>
    <n v="1"/>
    <x v="1"/>
    <x v="249"/>
  </r>
  <r>
    <x v="2"/>
    <x v="2"/>
    <n v="172"/>
    <n v="67"/>
    <x v="3"/>
    <x v="285"/>
    <n v="22"/>
    <n v="1"/>
    <n v="78.136460998569106"/>
    <n v="73.071840012365897"/>
    <n v="231.86188368329601"/>
    <n v="90.443764905737595"/>
    <x v="290"/>
    <n v="69.679130214604399"/>
    <x v="290"/>
    <n v="77.993895723750299"/>
    <n v="83.341715316743603"/>
    <x v="0"/>
    <n v="1"/>
    <x v="0"/>
    <n v="0"/>
    <x v="0"/>
    <x v="250"/>
  </r>
  <r>
    <x v="5"/>
    <x v="5"/>
    <n v="171"/>
    <n v="60"/>
    <x v="2"/>
    <x v="286"/>
    <n v="29"/>
    <n v="0"/>
    <n v="81.382544155244204"/>
    <n v="78.823340662737394"/>
    <n v="287.63869462195902"/>
    <n v="92.190609372982195"/>
    <x v="291"/>
    <n v="77.964576855434402"/>
    <x v="291"/>
    <n v="40.910962460268003"/>
    <n v="80.343560732043201"/>
    <x v="0"/>
    <n v="0"/>
    <x v="1"/>
    <n v="0"/>
    <x v="0"/>
    <x v="251"/>
  </r>
  <r>
    <x v="1"/>
    <x v="1"/>
    <n v="178"/>
    <n v="75"/>
    <x v="1"/>
    <x v="287"/>
    <n v="10"/>
    <n v="3"/>
    <n v="66.353274076710704"/>
    <n v="77.266636870341799"/>
    <n v="188.377190636226"/>
    <n v="85.423297072921301"/>
    <x v="292"/>
    <n v="75.095788187169504"/>
    <x v="292"/>
    <n v="67.706618376057307"/>
    <n v="68.742705983568896"/>
    <x v="1"/>
    <n v="1"/>
    <x v="0"/>
    <n v="1"/>
    <x v="1"/>
    <x v="49"/>
  </r>
  <r>
    <x v="0"/>
    <x v="0"/>
    <n v="181"/>
    <n v="79"/>
    <x v="3"/>
    <x v="288"/>
    <n v="34"/>
    <n v="2"/>
    <n v="84.744045403219801"/>
    <n v="85.752228234044907"/>
    <n v="264.36432822430697"/>
    <n v="94.4980611142676"/>
    <x v="293"/>
    <n v="89.381860611592103"/>
    <x v="293"/>
    <n v="72.819316431777395"/>
    <n v="84.203663851816998"/>
    <x v="0"/>
    <n v="1"/>
    <x v="0"/>
    <n v="0"/>
    <x v="0"/>
    <x v="252"/>
  </r>
  <r>
    <x v="2"/>
    <x v="2"/>
    <n v="180"/>
    <n v="92"/>
    <x v="2"/>
    <x v="140"/>
    <n v="38"/>
    <n v="1"/>
    <n v="81.199881335777803"/>
    <n v="83.890489063787996"/>
    <n v="226.61658869711599"/>
    <n v="90.132654762391894"/>
    <x v="294"/>
    <n v="91.888969578243405"/>
    <x v="294"/>
    <n v="57.707838844686002"/>
    <n v="75.560091488897001"/>
    <x v="1"/>
    <n v="1"/>
    <x v="0"/>
    <n v="0"/>
    <x v="0"/>
    <x v="253"/>
  </r>
  <r>
    <x v="4"/>
    <x v="4"/>
    <n v="181"/>
    <n v="74"/>
    <x v="2"/>
    <x v="289"/>
    <n v="27"/>
    <n v="2"/>
    <n v="71.303955256446798"/>
    <n v="69.776174756677705"/>
    <n v="250.770711184829"/>
    <n v="88.060436615220397"/>
    <x v="295"/>
    <n v="86.421080891377301"/>
    <x v="295"/>
    <n v="65.884761753990304"/>
    <n v="54.311707797334897"/>
    <x v="2"/>
    <n v="0"/>
    <x v="1"/>
    <n v="1"/>
    <x v="1"/>
    <x v="192"/>
  </r>
  <r>
    <x v="3"/>
    <x v="3"/>
    <n v="173"/>
    <n v="82"/>
    <x v="0"/>
    <x v="290"/>
    <n v="30"/>
    <n v="1"/>
    <n v="65.443824836603397"/>
    <n v="80.049705717915799"/>
    <n v="258.68848876916798"/>
    <n v="79.496955537979801"/>
    <x v="296"/>
    <n v="71.796743325916594"/>
    <x v="296"/>
    <n v="59.818533180691801"/>
    <n v="68.883079156758697"/>
    <x v="1"/>
    <n v="0"/>
    <x v="1"/>
    <n v="1"/>
    <x v="1"/>
    <x v="254"/>
  </r>
  <r>
    <x v="5"/>
    <x v="5"/>
    <n v="168"/>
    <n v="78"/>
    <x v="0"/>
    <x v="291"/>
    <n v="28"/>
    <n v="2"/>
    <n v="71.602239887945601"/>
    <n v="87.588998733229502"/>
    <n v="258.618759571792"/>
    <n v="83.319166749028994"/>
    <x v="297"/>
    <n v="80.495578352701003"/>
    <x v="297"/>
    <n v="76.719686508842202"/>
    <n v="71.559763415985103"/>
    <x v="1"/>
    <n v="0"/>
    <x v="1"/>
    <n v="1"/>
    <x v="1"/>
    <x v="92"/>
  </r>
  <r>
    <x v="3"/>
    <x v="3"/>
    <n v="182"/>
    <n v="86"/>
    <x v="0"/>
    <x v="292"/>
    <n v="37"/>
    <n v="0"/>
    <n v="61.525433266040601"/>
    <n v="69.4652894144877"/>
    <n v="279.51858300090902"/>
    <n v="77.148754316523593"/>
    <x v="298"/>
    <n v="67.584402246405304"/>
    <x v="298"/>
    <n v="61.714511526989597"/>
    <n v="63.107177041411198"/>
    <x v="1"/>
    <n v="1"/>
    <x v="0"/>
    <n v="1"/>
    <x v="1"/>
    <x v="82"/>
  </r>
  <r>
    <x v="6"/>
    <x v="6"/>
    <n v="180"/>
    <n v="80"/>
    <x v="0"/>
    <x v="293"/>
    <n v="31"/>
    <n v="1"/>
    <n v="89.074722974574001"/>
    <n v="79.915550801354698"/>
    <n v="242.374915008583"/>
    <n v="86.3886500467883"/>
    <x v="299"/>
    <n v="85.931639439687103"/>
    <x v="299"/>
    <n v="57.854187797952498"/>
    <n v="79.414940015733293"/>
    <x v="1"/>
    <n v="1"/>
    <x v="0"/>
    <n v="0"/>
    <x v="0"/>
    <x v="255"/>
  </r>
  <r>
    <x v="2"/>
    <x v="2"/>
    <n v="183"/>
    <n v="60"/>
    <x v="3"/>
    <x v="294"/>
    <n v="33"/>
    <n v="4"/>
    <n v="66.138999638082097"/>
    <n v="85.717781408882701"/>
    <n v="290.98782273840499"/>
    <n v="77.819106264364606"/>
    <x v="300"/>
    <n v="70.7137181569272"/>
    <x v="300"/>
    <n v="55.634289022010698"/>
    <n v="95.265867421723698"/>
    <x v="0"/>
    <n v="0"/>
    <x v="1"/>
    <n v="1"/>
    <x v="1"/>
    <x v="256"/>
  </r>
  <r>
    <x v="4"/>
    <x v="4"/>
    <n v="177"/>
    <n v="82"/>
    <x v="3"/>
    <x v="295"/>
    <n v="5"/>
    <n v="1"/>
    <n v="77.466647807585005"/>
    <n v="77.443791972208501"/>
    <n v="233.432795478477"/>
    <n v="72.951579703917304"/>
    <x v="301"/>
    <n v="74.291385470546999"/>
    <x v="301"/>
    <n v="66.919864723029605"/>
    <n v="70.629583799019301"/>
    <x v="1"/>
    <n v="0"/>
    <x v="1"/>
    <n v="0"/>
    <x v="0"/>
    <x v="257"/>
  </r>
  <r>
    <x v="2"/>
    <x v="2"/>
    <n v="184"/>
    <n v="80"/>
    <x v="1"/>
    <x v="296"/>
    <n v="16"/>
    <n v="2"/>
    <n v="84.521479695962299"/>
    <n v="72.564895682023007"/>
    <n v="202.79276302696201"/>
    <n v="91.915074311784295"/>
    <x v="302"/>
    <n v="87.7081943109945"/>
    <x v="302"/>
    <n v="44.978540240160001"/>
    <n v="61.029943491271197"/>
    <x v="1"/>
    <n v="1"/>
    <x v="0"/>
    <n v="0"/>
    <x v="0"/>
    <x v="187"/>
  </r>
  <r>
    <x v="4"/>
    <x v="4"/>
    <n v="180"/>
    <n v="72"/>
    <x v="3"/>
    <x v="297"/>
    <n v="7"/>
    <n v="2"/>
    <n v="83.339645143831206"/>
    <n v="84.748132423089103"/>
    <n v="251.87886988576599"/>
    <n v="86.738352163254902"/>
    <x v="303"/>
    <n v="73.126321435834896"/>
    <x v="303"/>
    <n v="50.586653913604302"/>
    <n v="77.636949193849503"/>
    <x v="1"/>
    <n v="0"/>
    <x v="1"/>
    <n v="0"/>
    <x v="0"/>
    <x v="258"/>
  </r>
  <r>
    <x v="3"/>
    <x v="3"/>
    <n v="177"/>
    <n v="71"/>
    <x v="3"/>
    <x v="298"/>
    <n v="34"/>
    <n v="2"/>
    <n v="81.488427591419196"/>
    <n v="92.634969709407898"/>
    <n v="232.903777783924"/>
    <n v="83.934678327953904"/>
    <x v="304"/>
    <n v="77.813572086428806"/>
    <x v="304"/>
    <n v="39.923693252320703"/>
    <n v="50.628963030266199"/>
    <x v="2"/>
    <n v="1"/>
    <x v="0"/>
    <n v="0"/>
    <x v="0"/>
    <x v="244"/>
  </r>
  <r>
    <x v="5"/>
    <x v="5"/>
    <n v="177"/>
    <n v="72"/>
    <x v="0"/>
    <x v="140"/>
    <n v="26"/>
    <n v="0"/>
    <n v="80.606712697442504"/>
    <n v="77.110052173788901"/>
    <n v="299.41870407455298"/>
    <n v="84.654034816683094"/>
    <x v="305"/>
    <n v="74.741944771666496"/>
    <x v="305"/>
    <n v="48.310604723591297"/>
    <n v="73.428110093621797"/>
    <x v="1"/>
    <n v="0"/>
    <x v="1"/>
    <n v="0"/>
    <x v="0"/>
    <x v="132"/>
  </r>
  <r>
    <x v="3"/>
    <x v="3"/>
    <n v="177"/>
    <n v="73"/>
    <x v="1"/>
    <x v="299"/>
    <n v="34"/>
    <n v="3"/>
    <n v="78.835327065098397"/>
    <n v="89.981847702584204"/>
    <n v="229.05151440145701"/>
    <n v="92.2841907407267"/>
    <x v="306"/>
    <n v="86.8404422381833"/>
    <x v="306"/>
    <n v="52.776479818904903"/>
    <n v="85.890581507801798"/>
    <x v="0"/>
    <n v="1"/>
    <x v="0"/>
    <n v="0"/>
    <x v="0"/>
    <x v="259"/>
  </r>
  <r>
    <x v="4"/>
    <x v="4"/>
    <n v="200"/>
    <n v="60"/>
    <x v="3"/>
    <x v="300"/>
    <n v="33"/>
    <n v="1"/>
    <n v="75.317210837048293"/>
    <n v="72.839552095816998"/>
    <n v="262.70113296966798"/>
    <n v="73.910289390368206"/>
    <x v="307"/>
    <n v="71.671750921165597"/>
    <x v="307"/>
    <n v="70.168750001885499"/>
    <n v="56.063908876170302"/>
    <x v="2"/>
    <n v="1"/>
    <x v="0"/>
    <n v="1"/>
    <x v="1"/>
    <x v="260"/>
  </r>
  <r>
    <x v="6"/>
    <x v="6"/>
    <n v="188"/>
    <n v="62"/>
    <x v="3"/>
    <x v="301"/>
    <n v="26"/>
    <n v="1"/>
    <n v="71.039359794385106"/>
    <n v="82.278910870489"/>
    <n v="218.40518719365201"/>
    <n v="79.3191613033122"/>
    <x v="308"/>
    <n v="69.1999500980194"/>
    <x v="308"/>
    <n v="39.864946473394397"/>
    <n v="64.659393695879004"/>
    <x v="1"/>
    <n v="1"/>
    <x v="0"/>
    <n v="0"/>
    <x v="0"/>
    <x v="261"/>
  </r>
  <r>
    <x v="5"/>
    <x v="5"/>
    <n v="185"/>
    <n v="78"/>
    <x v="3"/>
    <x v="302"/>
    <n v="13"/>
    <n v="2"/>
    <n v="70.342065727020596"/>
    <n v="73.425482873702705"/>
    <n v="256.85059435879998"/>
    <n v="85.4327340208593"/>
    <x v="309"/>
    <n v="79.237971733399505"/>
    <x v="309"/>
    <n v="75.928005191403798"/>
    <n v="63.636832337105297"/>
    <x v="1"/>
    <n v="0"/>
    <x v="1"/>
    <n v="1"/>
    <x v="1"/>
    <x v="88"/>
  </r>
  <r>
    <x v="6"/>
    <x v="6"/>
    <n v="189"/>
    <n v="75"/>
    <x v="3"/>
    <x v="303"/>
    <n v="32"/>
    <n v="2"/>
    <n v="71.592754287943393"/>
    <n v="68.137814728091001"/>
    <n v="252.851246569137"/>
    <n v="75.735189172564105"/>
    <x v="310"/>
    <n v="92.840673125408898"/>
    <x v="310"/>
    <n v="63.545760589286701"/>
    <n v="64.602468064446697"/>
    <x v="1"/>
    <n v="1"/>
    <x v="0"/>
    <n v="1"/>
    <x v="1"/>
    <x v="262"/>
  </r>
  <r>
    <x v="4"/>
    <x v="4"/>
    <n v="168"/>
    <n v="81"/>
    <x v="3"/>
    <x v="304"/>
    <n v="21"/>
    <n v="2"/>
    <n v="75.002701395967094"/>
    <n v="79.267726775971099"/>
    <n v="244.965382258582"/>
    <n v="78.360563291400595"/>
    <x v="311"/>
    <n v="66.477721643936505"/>
    <x v="311"/>
    <n v="55.7989279654008"/>
    <n v="64.397470639681899"/>
    <x v="1"/>
    <n v="0"/>
    <x v="1"/>
    <n v="1"/>
    <x v="1"/>
    <x v="263"/>
  </r>
  <r>
    <x v="4"/>
    <x v="4"/>
    <n v="165"/>
    <n v="55"/>
    <x v="2"/>
    <x v="305"/>
    <n v="28"/>
    <n v="3"/>
    <n v="76.648141914937099"/>
    <n v="80.572839656671604"/>
    <n v="223.953602319944"/>
    <n v="83.622085702280998"/>
    <x v="312"/>
    <n v="81.557828531586395"/>
    <x v="312"/>
    <n v="27.669353032265299"/>
    <n v="87.656469442309003"/>
    <x v="0"/>
    <n v="1"/>
    <x v="0"/>
    <n v="0"/>
    <x v="0"/>
    <x v="264"/>
  </r>
  <r>
    <x v="2"/>
    <x v="2"/>
    <n v="179"/>
    <n v="46"/>
    <x v="3"/>
    <x v="306"/>
    <n v="39"/>
    <n v="0"/>
    <n v="65.052012499034902"/>
    <n v="88.897157576124201"/>
    <n v="230.600784635341"/>
    <n v="92.463354155204797"/>
    <x v="313"/>
    <n v="72.302567265089294"/>
    <x v="313"/>
    <n v="47.246797009278197"/>
    <n v="71.1096905316803"/>
    <x v="1"/>
    <n v="1"/>
    <x v="0"/>
    <n v="0"/>
    <x v="0"/>
    <x v="265"/>
  </r>
  <r>
    <x v="4"/>
    <x v="4"/>
    <n v="173"/>
    <n v="63"/>
    <x v="0"/>
    <x v="307"/>
    <n v="23"/>
    <n v="1"/>
    <n v="70.774313296463305"/>
    <n v="82.362370193408097"/>
    <n v="219.27288046905801"/>
    <n v="87.349863171571101"/>
    <x v="314"/>
    <n v="82.632259289266102"/>
    <x v="314"/>
    <n v="45.113986534560297"/>
    <n v="78.864559022133193"/>
    <x v="1"/>
    <n v="1"/>
    <x v="0"/>
    <n v="0"/>
    <x v="0"/>
    <x v="266"/>
  </r>
  <r>
    <x v="1"/>
    <x v="1"/>
    <n v="183"/>
    <n v="64"/>
    <x v="1"/>
    <x v="308"/>
    <n v="12"/>
    <n v="1"/>
    <n v="68.572188213458105"/>
    <n v="78.1819097721188"/>
    <n v="243.96797687916001"/>
    <n v="77.632294085799899"/>
    <x v="315"/>
    <n v="93.941864852208099"/>
    <x v="315"/>
    <n v="58.367036042947603"/>
    <n v="60.452262113245901"/>
    <x v="1"/>
    <n v="1"/>
    <x v="0"/>
    <n v="1"/>
    <x v="1"/>
    <x v="267"/>
  </r>
  <r>
    <x v="2"/>
    <x v="2"/>
    <n v="181"/>
    <n v="70"/>
    <x v="2"/>
    <x v="309"/>
    <n v="5"/>
    <n v="1"/>
    <n v="73.038091823358599"/>
    <n v="77.348437319809406"/>
    <n v="246.68044020880501"/>
    <n v="87.627341891672401"/>
    <x v="316"/>
    <n v="74.772593416006004"/>
    <x v="316"/>
    <n v="52.807855095085401"/>
    <n v="67.601906357705403"/>
    <x v="1"/>
    <n v="0"/>
    <x v="1"/>
    <n v="0"/>
    <x v="0"/>
    <x v="59"/>
  </r>
  <r>
    <x v="3"/>
    <x v="3"/>
    <n v="184"/>
    <n v="78"/>
    <x v="3"/>
    <x v="310"/>
    <n v="18"/>
    <n v="0"/>
    <n v="66.320867022348096"/>
    <n v="79.220699636174999"/>
    <n v="270.67833178637102"/>
    <n v="81.943917826931994"/>
    <x v="317"/>
    <n v="87.103191048075601"/>
    <x v="317"/>
    <n v="52.201630524330199"/>
    <n v="77.796803487389099"/>
    <x v="1"/>
    <n v="1"/>
    <x v="0"/>
    <n v="0"/>
    <x v="0"/>
    <x v="268"/>
  </r>
  <r>
    <x v="6"/>
    <x v="6"/>
    <n v="172"/>
    <n v="64"/>
    <x v="1"/>
    <x v="311"/>
    <n v="19"/>
    <n v="4"/>
    <n v="71.550229113915407"/>
    <n v="70.569239619813104"/>
    <n v="241.47181426361601"/>
    <n v="74.206796833422302"/>
    <x v="318"/>
    <n v="73.603648283608706"/>
    <x v="318"/>
    <n v="68.6899592207713"/>
    <n v="64.171705378989003"/>
    <x v="1"/>
    <n v="0"/>
    <x v="1"/>
    <n v="1"/>
    <x v="1"/>
    <x v="55"/>
  </r>
  <r>
    <x v="6"/>
    <x v="6"/>
    <n v="178"/>
    <n v="53"/>
    <x v="3"/>
    <x v="312"/>
    <n v="11"/>
    <n v="1"/>
    <n v="66.735453284245395"/>
    <n v="70.550361015534705"/>
    <n v="249.742087467223"/>
    <n v="88.063126671459997"/>
    <x v="319"/>
    <n v="89.808598447434306"/>
    <x v="319"/>
    <n v="45.001819213928201"/>
    <n v="69.464324859787297"/>
    <x v="1"/>
    <n v="1"/>
    <x v="0"/>
    <n v="0"/>
    <x v="0"/>
    <x v="269"/>
  </r>
  <r>
    <x v="5"/>
    <x v="5"/>
    <n v="191"/>
    <n v="83"/>
    <x v="1"/>
    <x v="313"/>
    <n v="17"/>
    <n v="0"/>
    <n v="69.926713704995095"/>
    <n v="86.040617376470806"/>
    <n v="281.86776528477901"/>
    <n v="78.082512343984803"/>
    <x v="320"/>
    <n v="82.846695135929195"/>
    <x v="320"/>
    <n v="49.101157020552897"/>
    <n v="69.286106631851098"/>
    <x v="1"/>
    <n v="1"/>
    <x v="0"/>
    <n v="0"/>
    <x v="0"/>
    <x v="270"/>
  </r>
  <r>
    <x v="6"/>
    <x v="6"/>
    <n v="176"/>
    <n v="67"/>
    <x v="0"/>
    <x v="314"/>
    <n v="17"/>
    <n v="0"/>
    <n v="64.301371282212102"/>
    <n v="69.348344894742695"/>
    <n v="248.06136350052401"/>
    <n v="78.414399089834802"/>
    <x v="321"/>
    <n v="79.896846257140595"/>
    <x v="321"/>
    <n v="55.158350119735999"/>
    <n v="77.263593007659793"/>
    <x v="1"/>
    <n v="1"/>
    <x v="0"/>
    <n v="1"/>
    <x v="1"/>
    <x v="271"/>
  </r>
  <r>
    <x v="4"/>
    <x v="4"/>
    <n v="179"/>
    <n v="69"/>
    <x v="3"/>
    <x v="315"/>
    <n v="18"/>
    <n v="1"/>
    <n v="63.0234487959342"/>
    <n v="83.063915176490497"/>
    <n v="247.631863529089"/>
    <n v="91.101118062564595"/>
    <x v="322"/>
    <n v="79.446097922970694"/>
    <x v="322"/>
    <n v="45.440641122216697"/>
    <n v="86.665026508320807"/>
    <x v="0"/>
    <n v="1"/>
    <x v="0"/>
    <n v="0"/>
    <x v="0"/>
    <x v="272"/>
  </r>
  <r>
    <x v="3"/>
    <x v="3"/>
    <n v="170"/>
    <n v="83"/>
    <x v="2"/>
    <x v="316"/>
    <n v="10"/>
    <n v="1"/>
    <n v="70.5243467838241"/>
    <n v="74.778417543542005"/>
    <n v="221.13854249914499"/>
    <n v="85.233491490590296"/>
    <x v="323"/>
    <n v="86.141796796381996"/>
    <x v="323"/>
    <n v="64.774612721436796"/>
    <n v="78.618421411731404"/>
    <x v="1"/>
    <n v="1"/>
    <x v="0"/>
    <n v="0"/>
    <x v="0"/>
    <x v="273"/>
  </r>
  <r>
    <x v="4"/>
    <x v="4"/>
    <n v="166"/>
    <n v="70"/>
    <x v="1"/>
    <x v="317"/>
    <n v="11"/>
    <n v="2"/>
    <n v="69.818900839537804"/>
    <n v="85.555561767028806"/>
    <n v="263.26730014901"/>
    <n v="68.477831162706295"/>
    <x v="324"/>
    <n v="74.717544038507299"/>
    <x v="324"/>
    <n v="57.204568922741203"/>
    <n v="62.262638509751199"/>
    <x v="1"/>
    <n v="0"/>
    <x v="1"/>
    <n v="1"/>
    <x v="1"/>
    <x v="274"/>
  </r>
  <r>
    <x v="4"/>
    <x v="4"/>
    <n v="182"/>
    <n v="66"/>
    <x v="0"/>
    <x v="318"/>
    <n v="22"/>
    <n v="3"/>
    <n v="62.8892606118728"/>
    <n v="83.388795398637797"/>
    <n v="262.475021904909"/>
    <n v="81.683369916069694"/>
    <x v="325"/>
    <n v="77.520025076065807"/>
    <x v="325"/>
    <n v="59.719523992762397"/>
    <n v="77.183088532480596"/>
    <x v="1"/>
    <n v="0"/>
    <x v="1"/>
    <n v="1"/>
    <x v="1"/>
    <x v="275"/>
  </r>
  <r>
    <x v="0"/>
    <x v="0"/>
    <n v="179"/>
    <n v="85"/>
    <x v="0"/>
    <x v="319"/>
    <n v="16"/>
    <n v="0"/>
    <n v="74.873318566815499"/>
    <n v="75.253201467834302"/>
    <n v="271.48327535157"/>
    <n v="83.3716942196274"/>
    <x v="326"/>
    <n v="78.044968653735197"/>
    <x v="326"/>
    <n v="58.575453799162098"/>
    <n v="69.359364237970198"/>
    <x v="1"/>
    <n v="0"/>
    <x v="1"/>
    <n v="1"/>
    <x v="1"/>
    <x v="276"/>
  </r>
  <r>
    <x v="3"/>
    <x v="3"/>
    <n v="184"/>
    <n v="90"/>
    <x v="3"/>
    <x v="320"/>
    <n v="7"/>
    <n v="3"/>
    <n v="72.349590497621506"/>
    <n v="79.678091925346394"/>
    <n v="275.46322405159702"/>
    <n v="72.146523643971094"/>
    <x v="327"/>
    <n v="85.602269985987405"/>
    <x v="327"/>
    <n v="71.243084323048905"/>
    <n v="75.445329093566798"/>
    <x v="1"/>
    <n v="0"/>
    <x v="1"/>
    <n v="1"/>
    <x v="1"/>
    <x v="277"/>
  </r>
  <r>
    <x v="6"/>
    <x v="6"/>
    <n v="173"/>
    <n v="88"/>
    <x v="0"/>
    <x v="321"/>
    <n v="26"/>
    <n v="1"/>
    <n v="61.589831952571302"/>
    <n v="85.325361906175999"/>
    <n v="214.20561388714401"/>
    <n v="76.100020006494205"/>
    <x v="328"/>
    <n v="77.736103733948895"/>
    <x v="328"/>
    <n v="56.618770130974298"/>
    <n v="80.425611239704395"/>
    <x v="0"/>
    <n v="1"/>
    <x v="0"/>
    <n v="0"/>
    <x v="0"/>
    <x v="278"/>
  </r>
  <r>
    <x v="2"/>
    <x v="2"/>
    <n v="178"/>
    <n v="61"/>
    <x v="1"/>
    <x v="322"/>
    <n v="17"/>
    <n v="0"/>
    <n v="75.480765747411297"/>
    <n v="94.661724915029097"/>
    <n v="277.21418192106103"/>
    <n v="79.9192353501832"/>
    <x v="329"/>
    <n v="82.931418886595907"/>
    <x v="329"/>
    <n v="50.2935596835881"/>
    <n v="87.624539299191099"/>
    <x v="0"/>
    <n v="0"/>
    <x v="1"/>
    <n v="0"/>
    <x v="0"/>
    <x v="279"/>
  </r>
  <r>
    <x v="6"/>
    <x v="6"/>
    <n v="179"/>
    <n v="82"/>
    <x v="3"/>
    <x v="323"/>
    <n v="38"/>
    <n v="3"/>
    <n v="70.0851577793389"/>
    <n v="78.693192268984305"/>
    <n v="254.03905353070601"/>
    <n v="77.683795429642998"/>
    <x v="330"/>
    <n v="68.692261351286504"/>
    <x v="330"/>
    <n v="77.568195485352902"/>
    <n v="62.373913933620202"/>
    <x v="1"/>
    <n v="0"/>
    <x v="1"/>
    <n v="1"/>
    <x v="1"/>
    <x v="101"/>
  </r>
  <r>
    <x v="4"/>
    <x v="4"/>
    <n v="173"/>
    <n v="77"/>
    <x v="3"/>
    <x v="324"/>
    <n v="35"/>
    <n v="1"/>
    <n v="79.001151657765703"/>
    <n v="87.710744536117204"/>
    <n v="252.997147482272"/>
    <n v="90.409021600568195"/>
    <x v="331"/>
    <n v="87.905132531496093"/>
    <x v="331"/>
    <n v="40.740929729909901"/>
    <n v="90.3981396242296"/>
    <x v="0"/>
    <n v="0"/>
    <x v="1"/>
    <n v="0"/>
    <x v="0"/>
    <x v="280"/>
  </r>
  <r>
    <x v="0"/>
    <x v="0"/>
    <n v="178"/>
    <n v="57"/>
    <x v="2"/>
    <x v="325"/>
    <n v="10"/>
    <n v="1"/>
    <n v="67.586133464978602"/>
    <n v="84.841581135383095"/>
    <n v="196.71599863585999"/>
    <n v="75.459297201564794"/>
    <x v="332"/>
    <n v="73.987292238080002"/>
    <x v="332"/>
    <n v="52.914360435091602"/>
    <n v="78.171568801323303"/>
    <x v="1"/>
    <n v="1"/>
    <x v="0"/>
    <n v="0"/>
    <x v="0"/>
    <x v="281"/>
  </r>
  <r>
    <x v="4"/>
    <x v="4"/>
    <n v="189"/>
    <n v="92"/>
    <x v="0"/>
    <x v="326"/>
    <n v="20"/>
    <n v="2"/>
    <n v="86.017798596432002"/>
    <n v="88.553423853221005"/>
    <n v="246.40921387937101"/>
    <n v="89.414927036339506"/>
    <x v="333"/>
    <n v="78.311236522042805"/>
    <x v="333"/>
    <n v="35.535462386755299"/>
    <n v="72.610722215926103"/>
    <x v="1"/>
    <n v="1"/>
    <x v="0"/>
    <n v="0"/>
    <x v="0"/>
    <x v="282"/>
  </r>
  <r>
    <x v="5"/>
    <x v="5"/>
    <n v="173"/>
    <n v="82"/>
    <x v="2"/>
    <x v="327"/>
    <n v="39"/>
    <n v="2"/>
    <n v="75.0474226604438"/>
    <n v="79.876101621360704"/>
    <n v="248.07751650731399"/>
    <n v="84.743926840225399"/>
    <x v="334"/>
    <n v="82.039066651873"/>
    <x v="334"/>
    <n v="47.2639467815332"/>
    <n v="69.887859822145899"/>
    <x v="1"/>
    <n v="1"/>
    <x v="0"/>
    <n v="0"/>
    <x v="0"/>
    <x v="254"/>
  </r>
  <r>
    <x v="0"/>
    <x v="0"/>
    <n v="154"/>
    <n v="86"/>
    <x v="1"/>
    <x v="328"/>
    <n v="19"/>
    <n v="3"/>
    <n v="72.384522988949101"/>
    <n v="63.150681136206202"/>
    <n v="239.66012926575999"/>
    <n v="76.952746415221398"/>
    <x v="335"/>
    <n v="71.121334503870798"/>
    <x v="335"/>
    <n v="53.241533945715901"/>
    <n v="77.986522087175999"/>
    <x v="1"/>
    <n v="0"/>
    <x v="1"/>
    <n v="1"/>
    <x v="1"/>
    <x v="283"/>
  </r>
  <r>
    <x v="6"/>
    <x v="6"/>
    <n v="175"/>
    <n v="71"/>
    <x v="3"/>
    <x v="140"/>
    <n v="26"/>
    <n v="0"/>
    <n v="82.9205039349808"/>
    <n v="84.600336931864206"/>
    <n v="228.490585862617"/>
    <n v="95.156538404775304"/>
    <x v="336"/>
    <n v="84.891251689375494"/>
    <x v="336"/>
    <n v="45.742742158293602"/>
    <n v="65.157243412112607"/>
    <x v="1"/>
    <n v="0"/>
    <x v="1"/>
    <n v="0"/>
    <x v="0"/>
    <x v="106"/>
  </r>
  <r>
    <x v="5"/>
    <x v="5"/>
    <n v="165"/>
    <n v="72"/>
    <x v="1"/>
    <x v="329"/>
    <n v="17"/>
    <n v="1"/>
    <n v="82.740222178643407"/>
    <n v="72.325100116387603"/>
    <n v="266.833790922709"/>
    <n v="69.302265943575804"/>
    <x v="337"/>
    <n v="66.967348388804297"/>
    <x v="337"/>
    <n v="53.042428186554098"/>
    <n v="73.291137407573501"/>
    <x v="1"/>
    <n v="0"/>
    <x v="1"/>
    <n v="1"/>
    <x v="1"/>
    <x v="284"/>
  </r>
  <r>
    <x v="2"/>
    <x v="2"/>
    <n v="179"/>
    <n v="69"/>
    <x v="3"/>
    <x v="330"/>
    <n v="28"/>
    <n v="3"/>
    <n v="75.705950271440599"/>
    <n v="87.530312746467501"/>
    <n v="272.57765661723101"/>
    <n v="76.228605890934404"/>
    <x v="338"/>
    <n v="68.980152114444707"/>
    <x v="338"/>
    <n v="65.5507706398664"/>
    <n v="61.525016670057603"/>
    <x v="1"/>
    <n v="0"/>
    <x v="1"/>
    <n v="1"/>
    <x v="1"/>
    <x v="272"/>
  </r>
  <r>
    <x v="1"/>
    <x v="1"/>
    <n v="169"/>
    <n v="74"/>
    <x v="0"/>
    <x v="331"/>
    <n v="34"/>
    <n v="3"/>
    <n v="75.939051394446693"/>
    <n v="77.993126794358204"/>
    <n v="251.343804770632"/>
    <n v="90.387668460759301"/>
    <x v="339"/>
    <n v="68.721022503468703"/>
    <x v="339"/>
    <n v="32.775043714087502"/>
    <n v="71.094585157642399"/>
    <x v="1"/>
    <n v="1"/>
    <x v="0"/>
    <n v="1"/>
    <x v="1"/>
    <x v="285"/>
  </r>
  <r>
    <x v="4"/>
    <x v="4"/>
    <n v="175"/>
    <n v="71"/>
    <x v="0"/>
    <x v="332"/>
    <n v="16"/>
    <n v="1"/>
    <n v="64.181863599639399"/>
    <n v="69.475825346754107"/>
    <n v="275.628430681407"/>
    <n v="86.262150701283005"/>
    <x v="340"/>
    <n v="85.373811915449807"/>
    <x v="340"/>
    <n v="71.335527304013198"/>
    <n v="79.230802629401097"/>
    <x v="1"/>
    <n v="1"/>
    <x v="0"/>
    <n v="1"/>
    <x v="1"/>
    <x v="106"/>
  </r>
  <r>
    <x v="3"/>
    <x v="3"/>
    <n v="197"/>
    <n v="60"/>
    <x v="2"/>
    <x v="333"/>
    <n v="17"/>
    <n v="1"/>
    <n v="86.241341392512794"/>
    <n v="80.449223429106098"/>
    <n v="251.615159679513"/>
    <n v="86.261875409000695"/>
    <x v="341"/>
    <n v="80.872065517908894"/>
    <x v="341"/>
    <n v="54.5863697026452"/>
    <n v="79.738282841936098"/>
    <x v="1"/>
    <n v="1"/>
    <x v="0"/>
    <n v="0"/>
    <x v="0"/>
    <x v="286"/>
  </r>
  <r>
    <x v="0"/>
    <x v="0"/>
    <n v="172"/>
    <n v="83"/>
    <x v="0"/>
    <x v="334"/>
    <n v="13"/>
    <n v="1"/>
    <n v="85.193088428273199"/>
    <n v="84.719539311518105"/>
    <n v="251.94972490689099"/>
    <n v="95.424805831223694"/>
    <x v="342"/>
    <n v="77.757861081267905"/>
    <x v="342"/>
    <n v="54.761561796919899"/>
    <n v="73.821220988602505"/>
    <x v="1"/>
    <n v="1"/>
    <x v="0"/>
    <n v="0"/>
    <x v="0"/>
    <x v="287"/>
  </r>
  <r>
    <x v="3"/>
    <x v="3"/>
    <n v="184"/>
    <n v="65"/>
    <x v="1"/>
    <x v="335"/>
    <n v="31"/>
    <n v="1"/>
    <n v="75.105747886865302"/>
    <n v="77.831920894737806"/>
    <n v="249.805971222728"/>
    <n v="82.759702876631394"/>
    <x v="343"/>
    <n v="81.406392231120094"/>
    <x v="343"/>
    <n v="45.137648174900797"/>
    <n v="85.218044390928497"/>
    <x v="0"/>
    <n v="0"/>
    <x v="1"/>
    <n v="0"/>
    <x v="0"/>
    <x v="288"/>
  </r>
  <r>
    <x v="1"/>
    <x v="1"/>
    <n v="185"/>
    <n v="85"/>
    <x v="3"/>
    <x v="336"/>
    <n v="16"/>
    <n v="2"/>
    <n v="82.025267955941104"/>
    <n v="84.725624605914504"/>
    <n v="218.46521960633299"/>
    <n v="88.838318033157194"/>
    <x v="344"/>
    <n v="83.675397280721597"/>
    <x v="344"/>
    <n v="55.781860392781603"/>
    <n v="97.673976984699493"/>
    <x v="0"/>
    <n v="0"/>
    <x v="1"/>
    <n v="0"/>
    <x v="0"/>
    <x v="289"/>
  </r>
  <r>
    <x v="4"/>
    <x v="4"/>
    <n v="179"/>
    <n v="74"/>
    <x v="0"/>
    <x v="337"/>
    <n v="27"/>
    <n v="2"/>
    <n v="76.816575660883899"/>
    <n v="79.782573230559606"/>
    <n v="284.85660087723699"/>
    <n v="86.130520674693003"/>
    <x v="345"/>
    <n v="77.103251688057597"/>
    <x v="345"/>
    <n v="60.419936121869902"/>
    <n v="64.317805363232395"/>
    <x v="1"/>
    <n v="1"/>
    <x v="0"/>
    <n v="1"/>
    <x v="1"/>
    <x v="28"/>
  </r>
  <r>
    <x v="6"/>
    <x v="6"/>
    <n v="187"/>
    <n v="56"/>
    <x v="3"/>
    <x v="338"/>
    <n v="39"/>
    <n v="2"/>
    <n v="79.950460202393202"/>
    <n v="82.971953610417003"/>
    <n v="246.59961280667301"/>
    <n v="84.775941114921196"/>
    <x v="346"/>
    <n v="76.904493075873901"/>
    <x v="346"/>
    <n v="49.8283615904543"/>
    <n v="67.348337979129198"/>
    <x v="1"/>
    <n v="1"/>
    <x v="0"/>
    <n v="0"/>
    <x v="0"/>
    <x v="290"/>
  </r>
  <r>
    <x v="4"/>
    <x v="4"/>
    <n v="180"/>
    <n v="54"/>
    <x v="3"/>
    <x v="339"/>
    <n v="9"/>
    <n v="3"/>
    <n v="73.029762288808897"/>
    <n v="66.519855317185204"/>
    <n v="250.41090986440699"/>
    <n v="92.858136929423907"/>
    <x v="347"/>
    <n v="87.402469275809295"/>
    <x v="347"/>
    <n v="74.091711984868397"/>
    <n v="72.222101449720199"/>
    <x v="1"/>
    <n v="1"/>
    <x v="0"/>
    <n v="1"/>
    <x v="1"/>
    <x v="291"/>
  </r>
  <r>
    <x v="6"/>
    <x v="6"/>
    <n v="185"/>
    <n v="78"/>
    <x v="2"/>
    <x v="340"/>
    <n v="22"/>
    <n v="1"/>
    <n v="67.543925392230094"/>
    <n v="74.268329332693696"/>
    <n v="233.10177075884499"/>
    <n v="82.168630070259894"/>
    <x v="348"/>
    <n v="70.562868693017407"/>
    <x v="348"/>
    <n v="69.959490847605096"/>
    <n v="66.659942043243205"/>
    <x v="1"/>
    <n v="0"/>
    <x v="1"/>
    <n v="1"/>
    <x v="1"/>
    <x v="88"/>
  </r>
  <r>
    <x v="2"/>
    <x v="2"/>
    <n v="176"/>
    <n v="57"/>
    <x v="3"/>
    <x v="341"/>
    <n v="28"/>
    <n v="0"/>
    <n v="81.277732131495398"/>
    <n v="69.293589998419094"/>
    <n v="213.49885948556701"/>
    <n v="78.5680714583834"/>
    <x v="349"/>
    <n v="88.462803836460594"/>
    <x v="349"/>
    <n v="67.887742343798493"/>
    <n v="69.204970745369295"/>
    <x v="1"/>
    <n v="1"/>
    <x v="0"/>
    <n v="1"/>
    <x v="1"/>
    <x v="292"/>
  </r>
  <r>
    <x v="6"/>
    <x v="6"/>
    <n v="172"/>
    <n v="89"/>
    <x v="0"/>
    <x v="342"/>
    <n v="9"/>
    <n v="4"/>
    <n v="87.573211896167507"/>
    <n v="80.834594922738901"/>
    <n v="248.90262667309099"/>
    <n v="95.007447167341198"/>
    <x v="350"/>
    <n v="67.897445298071503"/>
    <x v="350"/>
    <n v="42.201895840178999"/>
    <n v="97.474679880351701"/>
    <x v="0"/>
    <n v="0"/>
    <x v="1"/>
    <n v="0"/>
    <x v="0"/>
    <x v="293"/>
  </r>
  <r>
    <x v="3"/>
    <x v="3"/>
    <n v="183"/>
    <n v="58"/>
    <x v="2"/>
    <x v="343"/>
    <n v="36"/>
    <n v="1"/>
    <n v="66.8689247651687"/>
    <n v="76.871239429003097"/>
    <n v="270.75865810591102"/>
    <n v="87.602878779787801"/>
    <x v="351"/>
    <n v="68.174697013979397"/>
    <x v="351"/>
    <n v="61.688302017197302"/>
    <n v="54.360566116073002"/>
    <x v="2"/>
    <n v="1"/>
    <x v="0"/>
    <n v="1"/>
    <x v="1"/>
    <x v="294"/>
  </r>
  <r>
    <x v="4"/>
    <x v="4"/>
    <n v="176"/>
    <n v="92"/>
    <x v="0"/>
    <x v="344"/>
    <n v="6"/>
    <n v="0"/>
    <n v="72.701678665265703"/>
    <n v="74.682293899576905"/>
    <n v="220.877419541667"/>
    <n v="93.743854775133499"/>
    <x v="352"/>
    <n v="94.910191103526302"/>
    <x v="352"/>
    <n v="43.743119307725898"/>
    <n v="89.215393312459994"/>
    <x v="0"/>
    <n v="1"/>
    <x v="0"/>
    <n v="0"/>
    <x v="0"/>
    <x v="295"/>
  </r>
  <r>
    <x v="3"/>
    <x v="3"/>
    <n v="173"/>
    <n v="63"/>
    <x v="2"/>
    <x v="345"/>
    <n v="7"/>
    <n v="2"/>
    <n v="66.904394937806003"/>
    <n v="75.606086774172994"/>
    <n v="244.05664283352101"/>
    <n v="80.431650214936795"/>
    <x v="353"/>
    <n v="76.270691430151601"/>
    <x v="353"/>
    <n v="62.856062705877498"/>
    <n v="80.507513933889996"/>
    <x v="0"/>
    <n v="0"/>
    <x v="1"/>
    <n v="1"/>
    <x v="1"/>
    <x v="266"/>
  </r>
  <r>
    <x v="5"/>
    <x v="5"/>
    <n v="173"/>
    <n v="81"/>
    <x v="1"/>
    <x v="346"/>
    <n v="26"/>
    <n v="2"/>
    <n v="84.9333781996977"/>
    <n v="77.706406809105403"/>
    <n v="279.30411773473497"/>
    <n v="81.751820148321798"/>
    <x v="354"/>
    <n v="75.740884986636999"/>
    <x v="354"/>
    <n v="62.013482287045299"/>
    <n v="61.292702941391397"/>
    <x v="1"/>
    <n v="1"/>
    <x v="0"/>
    <n v="1"/>
    <x v="1"/>
    <x v="296"/>
  </r>
  <r>
    <x v="6"/>
    <x v="6"/>
    <n v="185"/>
    <n v="79"/>
    <x v="3"/>
    <x v="347"/>
    <n v="19"/>
    <n v="0"/>
    <n v="67.378089124403999"/>
    <n v="78.584824601521206"/>
    <n v="213.03501083551001"/>
    <n v="82.053842082513896"/>
    <x v="355"/>
    <n v="83.181364877471594"/>
    <x v="355"/>
    <n v="52.229462552671698"/>
    <n v="79.996440449651601"/>
    <x v="1"/>
    <n v="1"/>
    <x v="0"/>
    <n v="0"/>
    <x v="0"/>
    <x v="297"/>
  </r>
  <r>
    <x v="3"/>
    <x v="3"/>
    <n v="172"/>
    <n v="78"/>
    <x v="3"/>
    <x v="348"/>
    <n v="12"/>
    <n v="2"/>
    <n v="68.423800217565201"/>
    <n v="72.108906129365806"/>
    <n v="257.27471195038498"/>
    <n v="79.073756403374503"/>
    <x v="356"/>
    <n v="75.310814653540106"/>
    <x v="356"/>
    <n v="70.047293878165306"/>
    <n v="52.122619929145898"/>
    <x v="2"/>
    <n v="0"/>
    <x v="1"/>
    <n v="1"/>
    <x v="1"/>
    <x v="298"/>
  </r>
  <r>
    <x v="0"/>
    <x v="0"/>
    <n v="177"/>
    <n v="83"/>
    <x v="2"/>
    <x v="349"/>
    <n v="16"/>
    <n v="1"/>
    <n v="80.005345722771807"/>
    <n v="71.824257845266104"/>
    <n v="266.62479085108203"/>
    <n v="72.157636418377905"/>
    <x v="357"/>
    <n v="78.944876318003395"/>
    <x v="357"/>
    <n v="60.714007886851597"/>
    <n v="60.986887067265101"/>
    <x v="1"/>
    <n v="1"/>
    <x v="0"/>
    <n v="1"/>
    <x v="1"/>
    <x v="171"/>
  </r>
  <r>
    <x v="5"/>
    <x v="5"/>
    <n v="178"/>
    <n v="76"/>
    <x v="1"/>
    <x v="350"/>
    <n v="12"/>
    <n v="0"/>
    <n v="74.880629333011697"/>
    <n v="74.968655605436595"/>
    <n v="270.03089825752699"/>
    <n v="80.046501154442893"/>
    <x v="358"/>
    <n v="66.375857406444595"/>
    <x v="358"/>
    <n v="61.024405963146798"/>
    <n v="73.365783660583503"/>
    <x v="1"/>
    <n v="1"/>
    <x v="0"/>
    <n v="1"/>
    <x v="1"/>
    <x v="226"/>
  </r>
  <r>
    <x v="5"/>
    <x v="5"/>
    <n v="193"/>
    <n v="70"/>
    <x v="0"/>
    <x v="351"/>
    <n v="38"/>
    <n v="1"/>
    <n v="77.419950912206701"/>
    <n v="80.8436208710595"/>
    <n v="270.80233769383199"/>
    <n v="96.917170999764906"/>
    <x v="359"/>
    <n v="86.575057200439304"/>
    <x v="359"/>
    <n v="44.819759862529203"/>
    <n v="75.741767570342006"/>
    <x v="1"/>
    <n v="1"/>
    <x v="0"/>
    <n v="0"/>
    <x v="0"/>
    <x v="299"/>
  </r>
  <r>
    <x v="1"/>
    <x v="1"/>
    <n v="173"/>
    <n v="65"/>
    <x v="0"/>
    <x v="352"/>
    <n v="20"/>
    <n v="0"/>
    <n v="80.811520300333797"/>
    <n v="73.168544750203793"/>
    <n v="205.51022663367499"/>
    <n v="81.391170593263794"/>
    <x v="360"/>
    <n v="86.670692684276901"/>
    <x v="360"/>
    <n v="49.341016906096499"/>
    <n v="79.937527949814907"/>
    <x v="1"/>
    <n v="0"/>
    <x v="1"/>
    <n v="0"/>
    <x v="0"/>
    <x v="108"/>
  </r>
  <r>
    <x v="0"/>
    <x v="0"/>
    <n v="182"/>
    <n v="87"/>
    <x v="1"/>
    <x v="353"/>
    <n v="10"/>
    <n v="2"/>
    <n v="80.164320286227607"/>
    <n v="84.467998833511501"/>
    <n v="286.752936278893"/>
    <n v="87.843040816508704"/>
    <x v="361"/>
    <n v="52.149770845790897"/>
    <x v="361"/>
    <n v="62.8362368347154"/>
    <n v="57.699510630659198"/>
    <x v="2"/>
    <n v="0"/>
    <x v="1"/>
    <n v="1"/>
    <x v="1"/>
    <x v="211"/>
  </r>
  <r>
    <x v="3"/>
    <x v="3"/>
    <n v="178"/>
    <n v="86"/>
    <x v="2"/>
    <x v="354"/>
    <n v="25"/>
    <n v="2"/>
    <n v="70.081752707481499"/>
    <n v="76.952886024092194"/>
    <n v="275.04058546314701"/>
    <n v="81.243870667693898"/>
    <x v="362"/>
    <n v="63.699758952027402"/>
    <x v="362"/>
    <n v="56.978426445523901"/>
    <n v="64.417533553470903"/>
    <x v="1"/>
    <n v="1"/>
    <x v="0"/>
    <n v="1"/>
    <x v="1"/>
    <x v="300"/>
  </r>
  <r>
    <x v="1"/>
    <x v="1"/>
    <n v="174"/>
    <n v="80"/>
    <x v="1"/>
    <x v="355"/>
    <n v="16"/>
    <n v="0"/>
    <n v="80.393169663876805"/>
    <n v="85.704529421268205"/>
    <n v="238.98750160637599"/>
    <n v="85.967894031635097"/>
    <x v="363"/>
    <n v="93.420373327934101"/>
    <x v="363"/>
    <n v="47.617653540822801"/>
    <n v="81.068676444012894"/>
    <x v="0"/>
    <n v="1"/>
    <x v="0"/>
    <n v="0"/>
    <x v="0"/>
    <x v="301"/>
  </r>
  <r>
    <x v="6"/>
    <x v="6"/>
    <n v="178"/>
    <n v="64"/>
    <x v="1"/>
    <x v="356"/>
    <n v="11"/>
    <n v="1"/>
    <n v="66.453069737320305"/>
    <n v="71.547443496239495"/>
    <n v="241.42467679400201"/>
    <n v="75.068755925161796"/>
    <x v="364"/>
    <n v="87.071764473247995"/>
    <x v="364"/>
    <n v="43.8639225086986"/>
    <n v="71.912357829001493"/>
    <x v="1"/>
    <n v="1"/>
    <x v="0"/>
    <n v="1"/>
    <x v="1"/>
    <x v="302"/>
  </r>
  <r>
    <x v="3"/>
    <x v="3"/>
    <n v="174"/>
    <n v="63"/>
    <x v="3"/>
    <x v="357"/>
    <n v="28"/>
    <n v="3"/>
    <n v="58.153651886205097"/>
    <n v="65.479103155006399"/>
    <n v="263.92947980484502"/>
    <n v="79.799675532438997"/>
    <x v="365"/>
    <n v="99.209450539679395"/>
    <x v="365"/>
    <n v="50.758929152970801"/>
    <n v="69.343329431021701"/>
    <x v="1"/>
    <n v="1"/>
    <x v="0"/>
    <n v="1"/>
    <x v="1"/>
    <x v="168"/>
  </r>
  <r>
    <x v="4"/>
    <x v="4"/>
    <n v="177"/>
    <n v="89"/>
    <x v="1"/>
    <x v="358"/>
    <n v="5"/>
    <n v="4"/>
    <n v="59.256302710426503"/>
    <n v="75.567495329053997"/>
    <n v="275.01074088866602"/>
    <n v="77.322846873052399"/>
    <x v="366"/>
    <n v="83.299227839289003"/>
    <x v="366"/>
    <n v="70.008568572005203"/>
    <n v="76.447051977157898"/>
    <x v="1"/>
    <n v="0"/>
    <x v="1"/>
    <n v="1"/>
    <x v="1"/>
    <x v="119"/>
  </r>
  <r>
    <x v="0"/>
    <x v="0"/>
    <n v="190"/>
    <n v="68"/>
    <x v="0"/>
    <x v="359"/>
    <n v="32"/>
    <n v="3"/>
    <n v="71.063345698199001"/>
    <n v="83.4386385798513"/>
    <n v="292.26264283958398"/>
    <n v="73.825034630330194"/>
    <x v="367"/>
    <n v="71.741599332372402"/>
    <x v="367"/>
    <n v="63.1097913618568"/>
    <n v="95.5775270825023"/>
    <x v="0"/>
    <n v="1"/>
    <x v="0"/>
    <n v="1"/>
    <x v="1"/>
    <x v="303"/>
  </r>
  <r>
    <x v="6"/>
    <x v="6"/>
    <n v="175"/>
    <n v="57"/>
    <x v="1"/>
    <x v="360"/>
    <n v="9"/>
    <n v="0"/>
    <n v="77.136024442001897"/>
    <n v="81.238278405190201"/>
    <n v="251.156874871187"/>
    <n v="90.902049978180003"/>
    <x v="368"/>
    <n v="75.270639218961506"/>
    <x v="368"/>
    <n v="53.963010981929102"/>
    <n v="76.472084636991198"/>
    <x v="1"/>
    <n v="1"/>
    <x v="0"/>
    <n v="0"/>
    <x v="0"/>
    <x v="304"/>
  </r>
  <r>
    <x v="3"/>
    <x v="3"/>
    <n v="182"/>
    <n v="74"/>
    <x v="0"/>
    <x v="361"/>
    <n v="10"/>
    <n v="3"/>
    <n v="68.644171387920494"/>
    <n v="79.070101843068002"/>
    <n v="285.87318837221602"/>
    <n v="84.656643045235597"/>
    <x v="369"/>
    <n v="82.692091395962507"/>
    <x v="369"/>
    <n v="77.265551345550804"/>
    <n v="71.5594372500221"/>
    <x v="1"/>
    <n v="0"/>
    <x v="1"/>
    <n v="1"/>
    <x v="1"/>
    <x v="305"/>
  </r>
  <r>
    <x v="5"/>
    <x v="5"/>
    <n v="185"/>
    <n v="75"/>
    <x v="2"/>
    <x v="362"/>
    <n v="7"/>
    <n v="3"/>
    <n v="72.080143574548501"/>
    <n v="75.9384963382591"/>
    <n v="275.05514745975597"/>
    <n v="75.097045085366304"/>
    <x v="370"/>
    <n v="80.205342002509695"/>
    <x v="370"/>
    <n v="52.261468758101898"/>
    <n v="79.236150350759004"/>
    <x v="1"/>
    <n v="1"/>
    <x v="0"/>
    <n v="1"/>
    <x v="1"/>
    <x v="306"/>
  </r>
  <r>
    <x v="6"/>
    <x v="6"/>
    <n v="183"/>
    <n v="69"/>
    <x v="2"/>
    <x v="363"/>
    <n v="5"/>
    <n v="0"/>
    <n v="78.6571833699754"/>
    <n v="77.414151222003696"/>
    <n v="231.32182478175201"/>
    <n v="81.211001584201895"/>
    <x v="371"/>
    <n v="95.382681138767893"/>
    <x v="371"/>
    <n v="43.9426408734844"/>
    <n v="82.184152232683601"/>
    <x v="0"/>
    <n v="1"/>
    <x v="0"/>
    <n v="0"/>
    <x v="0"/>
    <x v="229"/>
  </r>
  <r>
    <x v="5"/>
    <x v="5"/>
    <n v="170"/>
    <n v="47"/>
    <x v="2"/>
    <x v="364"/>
    <n v="31"/>
    <n v="4"/>
    <n v="75.986515986992799"/>
    <n v="73.890562983361605"/>
    <n v="232.893492647996"/>
    <n v="77.178463960634403"/>
    <x v="372"/>
    <n v="75.278034631852606"/>
    <x v="372"/>
    <n v="59.506947371437903"/>
    <n v="60.617985876002798"/>
    <x v="1"/>
    <n v="1"/>
    <x v="0"/>
    <n v="1"/>
    <x v="1"/>
    <x v="307"/>
  </r>
  <r>
    <x v="0"/>
    <x v="0"/>
    <n v="189"/>
    <n v="76"/>
    <x v="2"/>
    <x v="365"/>
    <n v="19"/>
    <n v="4"/>
    <n v="75.579325118460503"/>
    <n v="74.5777221955735"/>
    <n v="264.32268807040299"/>
    <n v="76.5836070959121"/>
    <x v="373"/>
    <n v="72.358483895530895"/>
    <x v="373"/>
    <n v="48.930058914515001"/>
    <n v="83.073057235718196"/>
    <x v="0"/>
    <n v="1"/>
    <x v="0"/>
    <n v="1"/>
    <x v="1"/>
    <x v="42"/>
  </r>
  <r>
    <x v="5"/>
    <x v="5"/>
    <n v="191"/>
    <n v="83"/>
    <x v="2"/>
    <x v="366"/>
    <n v="35"/>
    <n v="1"/>
    <n v="78.589227572324504"/>
    <n v="76.726355014352805"/>
    <n v="291.77867379012201"/>
    <n v="87.587988550498494"/>
    <x v="374"/>
    <n v="80.783594240539998"/>
    <x v="374"/>
    <n v="68.949831226897103"/>
    <n v="73.915409678870205"/>
    <x v="1"/>
    <n v="1"/>
    <x v="0"/>
    <n v="1"/>
    <x v="1"/>
    <x v="270"/>
  </r>
  <r>
    <x v="0"/>
    <x v="0"/>
    <n v="176"/>
    <n v="59"/>
    <x v="0"/>
    <x v="367"/>
    <n v="16"/>
    <n v="1"/>
    <n v="83.452648749877795"/>
    <n v="91.431085166187003"/>
    <n v="247.09711110523301"/>
    <n v="88.715894776681495"/>
    <x v="375"/>
    <n v="76.828867174574896"/>
    <x v="375"/>
    <n v="48.227829625339801"/>
    <n v="78.116620175526293"/>
    <x v="1"/>
    <n v="1"/>
    <x v="0"/>
    <n v="0"/>
    <x v="0"/>
    <x v="308"/>
  </r>
  <r>
    <x v="6"/>
    <x v="6"/>
    <n v="182"/>
    <n v="82"/>
    <x v="3"/>
    <x v="368"/>
    <n v="15"/>
    <n v="1"/>
    <n v="77.735066087909203"/>
    <n v="87.447456446028099"/>
    <n v="210.745351947339"/>
    <n v="100"/>
    <x v="376"/>
    <n v="89.773330916036002"/>
    <x v="376"/>
    <n v="66.743371552379998"/>
    <n v="76.526505592402103"/>
    <x v="1"/>
    <n v="1"/>
    <x v="0"/>
    <n v="0"/>
    <x v="0"/>
    <x v="309"/>
  </r>
  <r>
    <x v="2"/>
    <x v="2"/>
    <n v="172"/>
    <n v="72"/>
    <x v="2"/>
    <x v="369"/>
    <n v="32"/>
    <n v="1"/>
    <n v="86.661730245248506"/>
    <n v="77.569748084620599"/>
    <n v="272.82220526464602"/>
    <n v="79.427143855482001"/>
    <x v="377"/>
    <n v="74.154154655351803"/>
    <x v="377"/>
    <n v="46.178231230856298"/>
    <n v="91.979108300368594"/>
    <x v="0"/>
    <n v="1"/>
    <x v="0"/>
    <n v="0"/>
    <x v="0"/>
    <x v="173"/>
  </r>
  <r>
    <x v="5"/>
    <x v="5"/>
    <n v="177"/>
    <n v="60"/>
    <x v="3"/>
    <x v="370"/>
    <n v="38"/>
    <n v="1"/>
    <n v="74.916901759814607"/>
    <n v="85.467067170204601"/>
    <n v="232.93506914144999"/>
    <n v="91.231722114082302"/>
    <x v="378"/>
    <n v="75.113492913559995"/>
    <x v="378"/>
    <n v="48.868480847747499"/>
    <n v="86.344079129852801"/>
    <x v="0"/>
    <n v="0"/>
    <x v="1"/>
    <n v="0"/>
    <x v="0"/>
    <x v="310"/>
  </r>
  <r>
    <x v="3"/>
    <x v="3"/>
    <n v="177"/>
    <n v="54"/>
    <x v="0"/>
    <x v="371"/>
    <n v="19"/>
    <n v="1"/>
    <n v="64.849959812506398"/>
    <n v="70.9745263820529"/>
    <n v="284.007003850111"/>
    <n v="72.941405562447301"/>
    <x v="379"/>
    <n v="60.332346067902698"/>
    <x v="379"/>
    <n v="55.755540417994503"/>
    <n v="64.526041533731203"/>
    <x v="1"/>
    <n v="1"/>
    <x v="0"/>
    <n v="1"/>
    <x v="1"/>
    <x v="311"/>
  </r>
  <r>
    <x v="1"/>
    <x v="1"/>
    <n v="181"/>
    <n v="47"/>
    <x v="2"/>
    <x v="372"/>
    <n v="39"/>
    <n v="1"/>
    <n v="77.211997966165598"/>
    <n v="87.635284813896902"/>
    <n v="207.736280361024"/>
    <n v="80.235708702427004"/>
    <x v="380"/>
    <n v="79.917211060684593"/>
    <x v="380"/>
    <n v="26.081605391300801"/>
    <n v="70.017740276582799"/>
    <x v="1"/>
    <n v="1"/>
    <x v="0"/>
    <n v="0"/>
    <x v="0"/>
    <x v="312"/>
  </r>
  <r>
    <x v="6"/>
    <x v="6"/>
    <n v="164"/>
    <n v="93"/>
    <x v="3"/>
    <x v="373"/>
    <n v="36"/>
    <n v="2"/>
    <n v="77.092131528348006"/>
    <n v="75.575401250457404"/>
    <n v="247.56881580020399"/>
    <n v="79.587813195350193"/>
    <x v="381"/>
    <n v="81.6841228138491"/>
    <x v="381"/>
    <n v="62.263900368786103"/>
    <n v="78.880845859807494"/>
    <x v="1"/>
    <n v="1"/>
    <x v="0"/>
    <n v="1"/>
    <x v="1"/>
    <x v="313"/>
  </r>
  <r>
    <x v="2"/>
    <x v="2"/>
    <n v="182"/>
    <n v="84"/>
    <x v="1"/>
    <x v="374"/>
    <n v="21"/>
    <n v="0"/>
    <n v="67.2647334037391"/>
    <n v="70.056155561901605"/>
    <n v="249.943663771302"/>
    <n v="83.167484265621198"/>
    <x v="382"/>
    <n v="83.573188027460702"/>
    <x v="382"/>
    <n v="64.164052245220603"/>
    <n v="59.255599870115802"/>
    <x v="2"/>
    <n v="0"/>
    <x v="1"/>
    <n v="1"/>
    <x v="1"/>
    <x v="314"/>
  </r>
  <r>
    <x v="4"/>
    <x v="4"/>
    <n v="186"/>
    <n v="63"/>
    <x v="3"/>
    <x v="375"/>
    <n v="24"/>
    <n v="1"/>
    <n v="80.970812826733095"/>
    <n v="83.658439921104105"/>
    <n v="243.21882394285601"/>
    <n v="94.1154151799863"/>
    <x v="383"/>
    <n v="91.376100278896502"/>
    <x v="383"/>
    <n v="41.583760843594703"/>
    <n v="80.489924137890199"/>
    <x v="0"/>
    <n v="1"/>
    <x v="0"/>
    <n v="0"/>
    <x v="0"/>
    <x v="315"/>
  </r>
  <r>
    <x v="6"/>
    <x v="6"/>
    <n v="180"/>
    <n v="81"/>
    <x v="3"/>
    <x v="376"/>
    <n v="12"/>
    <n v="0"/>
    <n v="71.219353983405"/>
    <n v="86.762452307767205"/>
    <n v="227.903919993345"/>
    <n v="87.747590017769994"/>
    <x v="384"/>
    <n v="83.686981311820006"/>
    <x v="384"/>
    <n v="42.588173025344602"/>
    <n v="71.938949444676695"/>
    <x v="1"/>
    <n v="0"/>
    <x v="1"/>
    <n v="0"/>
    <x v="0"/>
    <x v="316"/>
  </r>
  <r>
    <x v="1"/>
    <x v="1"/>
    <n v="178"/>
    <n v="75"/>
    <x v="2"/>
    <x v="377"/>
    <n v="27"/>
    <n v="1"/>
    <n v="75.671354199613305"/>
    <n v="80.775229624875195"/>
    <n v="250.19353687002101"/>
    <n v="93.427874660301995"/>
    <x v="385"/>
    <n v="70.496079976416596"/>
    <x v="385"/>
    <n v="50.0388336641442"/>
    <n v="74.533891942486605"/>
    <x v="1"/>
    <n v="1"/>
    <x v="0"/>
    <n v="0"/>
    <x v="0"/>
    <x v="49"/>
  </r>
  <r>
    <x v="4"/>
    <x v="4"/>
    <n v="175"/>
    <n v="83"/>
    <x v="2"/>
    <x v="378"/>
    <n v="34"/>
    <n v="4"/>
    <n v="61.6271916415593"/>
    <n v="79.846538432324294"/>
    <n v="265.092083233876"/>
    <n v="87.955081546870403"/>
    <x v="386"/>
    <n v="77.332497237600904"/>
    <x v="386"/>
    <n v="67.129994507829196"/>
    <n v="77.929695762545606"/>
    <x v="1"/>
    <n v="0"/>
    <x v="1"/>
    <n v="1"/>
    <x v="1"/>
    <x v="317"/>
  </r>
  <r>
    <x v="6"/>
    <x v="6"/>
    <n v="165"/>
    <n v="63"/>
    <x v="0"/>
    <x v="379"/>
    <n v="29"/>
    <n v="2"/>
    <n v="67.6952362671299"/>
    <n v="75.545956690682402"/>
    <n v="280.79561726783197"/>
    <n v="79.050092401975206"/>
    <x v="387"/>
    <n v="68.979966100702399"/>
    <x v="387"/>
    <n v="60.8812381585699"/>
    <n v="84.903392155042496"/>
    <x v="0"/>
    <n v="1"/>
    <x v="0"/>
    <n v="1"/>
    <x v="1"/>
    <x v="318"/>
  </r>
  <r>
    <x v="0"/>
    <x v="0"/>
    <n v="176"/>
    <n v="60"/>
    <x v="3"/>
    <x v="380"/>
    <n v="30"/>
    <n v="1"/>
    <n v="84.419539194985305"/>
    <n v="72.295233084911601"/>
    <n v="235.15957117774099"/>
    <n v="88.883902044908695"/>
    <x v="388"/>
    <n v="87.391674105377803"/>
    <x v="388"/>
    <n v="45.902041457625501"/>
    <n v="91.948783407945797"/>
    <x v="0"/>
    <n v="0"/>
    <x v="1"/>
    <n v="0"/>
    <x v="0"/>
    <x v="319"/>
  </r>
  <r>
    <x v="6"/>
    <x v="6"/>
    <n v="182"/>
    <n v="77"/>
    <x v="1"/>
    <x v="381"/>
    <n v="36"/>
    <n v="1"/>
    <n v="74.853973854892502"/>
    <n v="74.982544153727204"/>
    <n v="249.03041395380399"/>
    <n v="78.607144200182404"/>
    <x v="389"/>
    <n v="67.262038605918903"/>
    <x v="389"/>
    <n v="60.153231813530397"/>
    <n v="69.333350129060804"/>
    <x v="1"/>
    <n v="1"/>
    <x v="0"/>
    <n v="1"/>
    <x v="1"/>
    <x v="320"/>
  </r>
  <r>
    <x v="5"/>
    <x v="5"/>
    <n v="159"/>
    <n v="69"/>
    <x v="0"/>
    <x v="382"/>
    <n v="33"/>
    <n v="2"/>
    <n v="82.731509512111799"/>
    <n v="79.228790468788702"/>
    <n v="245.93550037835701"/>
    <n v="88.789368753223101"/>
    <x v="390"/>
    <n v="69.182919974994505"/>
    <x v="390"/>
    <n v="44.440137574974401"/>
    <n v="75.106701352348793"/>
    <x v="1"/>
    <n v="1"/>
    <x v="0"/>
    <n v="0"/>
    <x v="0"/>
    <x v="321"/>
  </r>
  <r>
    <x v="5"/>
    <x v="5"/>
    <n v="176"/>
    <n v="85"/>
    <x v="2"/>
    <x v="383"/>
    <n v="31"/>
    <n v="2"/>
    <n v="82.407633976252299"/>
    <n v="86.544787587566205"/>
    <n v="242.56471342629499"/>
    <n v="90.157686208190597"/>
    <x v="391"/>
    <n v="71.504530488207294"/>
    <x v="391"/>
    <n v="45.469778478931502"/>
    <n v="77.930874348961098"/>
    <x v="1"/>
    <n v="1"/>
    <x v="0"/>
    <n v="0"/>
    <x v="0"/>
    <x v="322"/>
  </r>
  <r>
    <x v="3"/>
    <x v="3"/>
    <n v="191"/>
    <n v="69"/>
    <x v="1"/>
    <x v="384"/>
    <n v="35"/>
    <n v="1"/>
    <n v="82.3864898497919"/>
    <n v="85.850626509195706"/>
    <n v="242.13863805776401"/>
    <n v="88.692592044832395"/>
    <x v="392"/>
    <n v="86.884593923221004"/>
    <x v="392"/>
    <n v="53.172696012898498"/>
    <n v="86.952254575608805"/>
    <x v="0"/>
    <n v="1"/>
    <x v="0"/>
    <n v="0"/>
    <x v="0"/>
    <x v="323"/>
  </r>
  <r>
    <x v="4"/>
    <x v="4"/>
    <n v="165"/>
    <n v="69"/>
    <x v="3"/>
    <x v="385"/>
    <n v="17"/>
    <n v="1"/>
    <n v="81.776436950256198"/>
    <n v="84.165548194973496"/>
    <n v="242.29786394735399"/>
    <n v="81.907311987751896"/>
    <x v="393"/>
    <n v="84.1251518384002"/>
    <x v="393"/>
    <n v="44.730526987906899"/>
    <n v="74.295492255011695"/>
    <x v="1"/>
    <n v="1"/>
    <x v="0"/>
    <n v="0"/>
    <x v="0"/>
    <x v="324"/>
  </r>
  <r>
    <x v="5"/>
    <x v="5"/>
    <n v="174"/>
    <n v="85"/>
    <x v="0"/>
    <x v="386"/>
    <n v="5"/>
    <n v="3"/>
    <n v="77.220212128150393"/>
    <n v="69.070796386366695"/>
    <n v="286.49418654052499"/>
    <n v="78.191038698229704"/>
    <x v="394"/>
    <n v="72.647079312187699"/>
    <x v="394"/>
    <n v="62.180319131833301"/>
    <n v="78.441803402466903"/>
    <x v="1"/>
    <n v="1"/>
    <x v="0"/>
    <n v="1"/>
    <x v="1"/>
    <x v="29"/>
  </r>
  <r>
    <x v="1"/>
    <x v="1"/>
    <n v="176"/>
    <n v="80"/>
    <x v="2"/>
    <x v="387"/>
    <n v="18"/>
    <n v="5"/>
    <n v="78.053813097506307"/>
    <n v="67.688324343102707"/>
    <n v="247.883809712225"/>
    <n v="69.759613985261495"/>
    <x v="395"/>
    <n v="72.891098303309207"/>
    <x v="395"/>
    <n v="61.401777928253303"/>
    <n v="65.663935474311103"/>
    <x v="1"/>
    <n v="0"/>
    <x v="1"/>
    <n v="1"/>
    <x v="1"/>
    <x v="325"/>
  </r>
  <r>
    <x v="4"/>
    <x v="4"/>
    <n v="179"/>
    <n v="68"/>
    <x v="2"/>
    <x v="388"/>
    <n v="23"/>
    <n v="5"/>
    <n v="75.466814836083003"/>
    <n v="84.830419880471496"/>
    <n v="257.00993507357902"/>
    <n v="87.671628939047807"/>
    <x v="396"/>
    <n v="75.150397918271395"/>
    <x v="396"/>
    <n v="44.633918216659303"/>
    <n v="76.035187693846495"/>
    <x v="1"/>
    <n v="1"/>
    <x v="0"/>
    <n v="0"/>
    <x v="0"/>
    <x v="326"/>
  </r>
  <r>
    <x v="1"/>
    <x v="1"/>
    <n v="176"/>
    <n v="74"/>
    <x v="3"/>
    <x v="389"/>
    <n v="17"/>
    <n v="2"/>
    <n v="73.1164067572509"/>
    <n v="71.863157020433604"/>
    <n v="234.91933188815"/>
    <n v="90.791828784608001"/>
    <x v="397"/>
    <n v="90.135665901994699"/>
    <x v="397"/>
    <n v="58.065286660761601"/>
    <n v="61.658245423220599"/>
    <x v="1"/>
    <n v="1"/>
    <x v="0"/>
    <n v="1"/>
    <x v="1"/>
    <x v="327"/>
  </r>
  <r>
    <x v="5"/>
    <x v="5"/>
    <n v="183"/>
    <n v="64"/>
    <x v="2"/>
    <x v="390"/>
    <n v="21"/>
    <n v="1"/>
    <n v="77.950104935611606"/>
    <n v="78.179115098539597"/>
    <n v="266.33472740961503"/>
    <n v="77.488107432772907"/>
    <x v="398"/>
    <n v="77.090451595606694"/>
    <x v="398"/>
    <n v="74.749489097290194"/>
    <n v="50"/>
    <x v="2"/>
    <n v="0"/>
    <x v="1"/>
    <n v="1"/>
    <x v="1"/>
    <x v="267"/>
  </r>
  <r>
    <x v="0"/>
    <x v="0"/>
    <n v="187"/>
    <n v="63"/>
    <x v="1"/>
    <x v="391"/>
    <n v="33"/>
    <n v="2"/>
    <n v="85.512124435266401"/>
    <n v="75.076207611744593"/>
    <n v="201.81444170057301"/>
    <n v="95.233663998341797"/>
    <x v="399"/>
    <n v="91.725885472336302"/>
    <x v="399"/>
    <n v="29.651520359059401"/>
    <n v="77.006415130873407"/>
    <x v="1"/>
    <n v="1"/>
    <x v="0"/>
    <n v="0"/>
    <x v="0"/>
    <x v="328"/>
  </r>
  <r>
    <x v="6"/>
    <x v="6"/>
    <n v="196"/>
    <n v="67"/>
    <x v="1"/>
    <x v="392"/>
    <n v="21"/>
    <n v="4"/>
    <n v="74.625051077018099"/>
    <n v="69.000465806535999"/>
    <n v="275.45796692895198"/>
    <n v="84.141005745099207"/>
    <x v="400"/>
    <n v="90.770204738009099"/>
    <x v="400"/>
    <n v="45.523671351348597"/>
    <n v="73.433899283278706"/>
    <x v="1"/>
    <n v="1"/>
    <x v="0"/>
    <n v="1"/>
    <x v="1"/>
    <x v="329"/>
  </r>
  <r>
    <x v="3"/>
    <x v="3"/>
    <n v="169"/>
    <n v="82"/>
    <x v="3"/>
    <x v="393"/>
    <n v="25"/>
    <n v="2"/>
    <n v="71.441165792783195"/>
    <n v="73.084911614822403"/>
    <n v="283.81920312927201"/>
    <n v="82.411349025613504"/>
    <x v="401"/>
    <n v="84.355518463737297"/>
    <x v="401"/>
    <n v="63.756254105211298"/>
    <n v="73.448427288385204"/>
    <x v="1"/>
    <n v="1"/>
    <x v="0"/>
    <n v="1"/>
    <x v="1"/>
    <x v="118"/>
  </r>
  <r>
    <x v="1"/>
    <x v="1"/>
    <n v="184"/>
    <n v="83"/>
    <x v="2"/>
    <x v="394"/>
    <n v="10"/>
    <n v="1"/>
    <n v="59.958471692998998"/>
    <n v="67.586460456698006"/>
    <n v="219.60409058604299"/>
    <n v="83.960924505588807"/>
    <x v="402"/>
    <n v="73.777734367974304"/>
    <x v="402"/>
    <n v="56.064931953469902"/>
    <n v="73.435649688324403"/>
    <x v="1"/>
    <n v="0"/>
    <x v="1"/>
    <n v="1"/>
    <x v="1"/>
    <x v="330"/>
  </r>
  <r>
    <x v="4"/>
    <x v="4"/>
    <n v="166"/>
    <n v="78"/>
    <x v="1"/>
    <x v="395"/>
    <n v="32"/>
    <n v="1"/>
    <n v="91.767177051781402"/>
    <n v="78.289938249449605"/>
    <n v="239.06842907297201"/>
    <n v="80.590319958713195"/>
    <x v="403"/>
    <n v="81.5555196738988"/>
    <x v="403"/>
    <n v="56.989989872368298"/>
    <n v="76.968981357336801"/>
    <x v="1"/>
    <n v="1"/>
    <x v="0"/>
    <n v="0"/>
    <x v="0"/>
    <x v="331"/>
  </r>
  <r>
    <x v="2"/>
    <x v="2"/>
    <n v="178"/>
    <n v="76"/>
    <x v="2"/>
    <x v="396"/>
    <n v="25"/>
    <n v="5"/>
    <n v="82.882702325910103"/>
    <n v="64.313229856265906"/>
    <n v="260.97385974293701"/>
    <n v="80.783366835342505"/>
    <x v="404"/>
    <n v="67.875623372066102"/>
    <x v="404"/>
    <n v="70.231243542578696"/>
    <n v="78.931929623566901"/>
    <x v="1"/>
    <n v="1"/>
    <x v="0"/>
    <n v="1"/>
    <x v="1"/>
    <x v="226"/>
  </r>
  <r>
    <x v="3"/>
    <x v="3"/>
    <n v="179"/>
    <n v="85"/>
    <x v="1"/>
    <x v="397"/>
    <n v="28"/>
    <n v="2"/>
    <n v="74.993164140946007"/>
    <n v="89.821411075175902"/>
    <n v="249.550333065393"/>
    <n v="81.486297480566407"/>
    <x v="405"/>
    <n v="85.000979487258604"/>
    <x v="405"/>
    <n v="56.423122352447301"/>
    <n v="70.974298416815103"/>
    <x v="1"/>
    <n v="1"/>
    <x v="0"/>
    <n v="1"/>
    <x v="1"/>
    <x v="276"/>
  </r>
  <r>
    <x v="5"/>
    <x v="5"/>
    <n v="177"/>
    <n v="75"/>
    <x v="0"/>
    <x v="398"/>
    <n v="21"/>
    <n v="1"/>
    <n v="72.573712861827701"/>
    <n v="82.925040506913206"/>
    <n v="260.62417102470801"/>
    <n v="92.308844687502699"/>
    <x v="406"/>
    <n v="61.627932747201697"/>
    <x v="406"/>
    <n v="57.116861404451903"/>
    <n v="77.106674395786897"/>
    <x v="1"/>
    <n v="1"/>
    <x v="0"/>
    <n v="0"/>
    <x v="0"/>
    <x v="332"/>
  </r>
  <r>
    <x v="0"/>
    <x v="0"/>
    <n v="177"/>
    <n v="63"/>
    <x v="0"/>
    <x v="399"/>
    <n v="7"/>
    <n v="1"/>
    <n v="75.302738517099101"/>
    <n v="100"/>
    <n v="253.16449832194499"/>
    <n v="87.0023941624098"/>
    <x v="407"/>
    <n v="81.970600484678002"/>
    <x v="407"/>
    <n v="40.706747667847203"/>
    <n v="86.458435300727302"/>
    <x v="0"/>
    <n v="1"/>
    <x v="0"/>
    <n v="0"/>
    <x v="0"/>
    <x v="333"/>
  </r>
  <r>
    <x v="5"/>
    <x v="5"/>
    <n v="172"/>
    <n v="73"/>
    <x v="0"/>
    <x v="400"/>
    <n v="21"/>
    <n v="4"/>
    <n v="69.171817550873399"/>
    <n v="78.372268970340997"/>
    <n v="268.67468856047202"/>
    <n v="72.130137590367298"/>
    <x v="408"/>
    <n v="72.216756894959005"/>
    <x v="408"/>
    <n v="62.526406283859998"/>
    <n v="62.262762048644298"/>
    <x v="1"/>
    <n v="0"/>
    <x v="1"/>
    <n v="1"/>
    <x v="1"/>
    <x v="334"/>
  </r>
  <r>
    <x v="0"/>
    <x v="0"/>
    <n v="158"/>
    <n v="81"/>
    <x v="3"/>
    <x v="401"/>
    <n v="10"/>
    <n v="2"/>
    <n v="69.847395201111595"/>
    <n v="77.418837886142697"/>
    <n v="306.73085101216299"/>
    <n v="88.645153693710398"/>
    <x v="409"/>
    <n v="75.470647642454395"/>
    <x v="409"/>
    <n v="65.518436621080198"/>
    <n v="62.6641136192031"/>
    <x v="1"/>
    <n v="1"/>
    <x v="0"/>
    <n v="1"/>
    <x v="1"/>
    <x v="335"/>
  </r>
  <r>
    <x v="6"/>
    <x v="6"/>
    <n v="179"/>
    <n v="78"/>
    <x v="0"/>
    <x v="402"/>
    <n v="9"/>
    <n v="0"/>
    <n v="73.947296896433997"/>
    <n v="79.999710973870293"/>
    <n v="226.37677566066799"/>
    <n v="87.999697431719895"/>
    <x v="410"/>
    <n v="67.925695196581003"/>
    <x v="410"/>
    <n v="27.5308653755881"/>
    <n v="79.027759083402003"/>
    <x v="1"/>
    <n v="0"/>
    <x v="1"/>
    <n v="0"/>
    <x v="0"/>
    <x v="336"/>
  </r>
  <r>
    <x v="2"/>
    <x v="2"/>
    <n v="188"/>
    <n v="80"/>
    <x v="2"/>
    <x v="403"/>
    <n v="5"/>
    <n v="1"/>
    <n v="81.284382979384702"/>
    <n v="77.059999931824294"/>
    <n v="231.35811650777401"/>
    <n v="79.334199484209705"/>
    <x v="411"/>
    <n v="76.673254124364902"/>
    <x v="411"/>
    <n v="43.793608402805603"/>
    <n v="72.974336802043297"/>
    <x v="1"/>
    <n v="1"/>
    <x v="0"/>
    <n v="0"/>
    <x v="0"/>
    <x v="337"/>
  </r>
  <r>
    <x v="5"/>
    <x v="5"/>
    <n v="191"/>
    <n v="78"/>
    <x v="1"/>
    <x v="404"/>
    <n v="22"/>
    <n v="3"/>
    <n v="67.01919159821"/>
    <n v="75.624502830941495"/>
    <n v="251.347975513958"/>
    <n v="84.027552789518197"/>
    <x v="412"/>
    <n v="79.385565372884002"/>
    <x v="412"/>
    <n v="73.856673174619203"/>
    <n v="66.692747959492706"/>
    <x v="1"/>
    <n v="1"/>
    <x v="0"/>
    <n v="1"/>
    <x v="1"/>
    <x v="338"/>
  </r>
  <r>
    <x v="6"/>
    <x v="6"/>
    <n v="170"/>
    <n v="83"/>
    <x v="1"/>
    <x v="405"/>
    <n v="38"/>
    <n v="0"/>
    <n v="84.366777116202996"/>
    <n v="81.615350626740295"/>
    <n v="236.57387049453601"/>
    <n v="93.309474717138499"/>
    <x v="413"/>
    <n v="81.815058007612294"/>
    <x v="413"/>
    <n v="61.949191353710198"/>
    <n v="78.607608842657697"/>
    <x v="1"/>
    <n v="1"/>
    <x v="0"/>
    <n v="0"/>
    <x v="0"/>
    <x v="273"/>
  </r>
  <r>
    <x v="1"/>
    <x v="1"/>
    <n v="181"/>
    <n v="74"/>
    <x v="3"/>
    <x v="406"/>
    <n v="13"/>
    <n v="0"/>
    <n v="68.759446406188403"/>
    <n v="91.974109811575303"/>
    <n v="208.82492128130701"/>
    <n v="81.630041839150394"/>
    <x v="414"/>
    <n v="82.327790173815202"/>
    <x v="414"/>
    <n v="63.332634124018902"/>
    <n v="82.444212287824499"/>
    <x v="0"/>
    <n v="1"/>
    <x v="0"/>
    <n v="0"/>
    <x v="0"/>
    <x v="192"/>
  </r>
  <r>
    <x v="0"/>
    <x v="0"/>
    <n v="180"/>
    <n v="86"/>
    <x v="1"/>
    <x v="407"/>
    <n v="22"/>
    <n v="1"/>
    <n v="73.901659197652506"/>
    <n v="86.450279233228798"/>
    <n v="228.567506598601"/>
    <n v="98.3322918517311"/>
    <x v="415"/>
    <n v="63.780041834047601"/>
    <x v="415"/>
    <n v="49.562686776924203"/>
    <n v="72.799349893721896"/>
    <x v="1"/>
    <n v="1"/>
    <x v="0"/>
    <n v="0"/>
    <x v="0"/>
    <x v="203"/>
  </r>
  <r>
    <x v="3"/>
    <x v="3"/>
    <n v="181"/>
    <n v="75"/>
    <x v="1"/>
    <x v="408"/>
    <n v="31"/>
    <n v="2"/>
    <n v="77.359049683178995"/>
    <n v="73.951722330723499"/>
    <n v="229.11348046994601"/>
    <n v="91.149745414940298"/>
    <x v="416"/>
    <n v="88.223213543577401"/>
    <x v="416"/>
    <n v="58.903197268407197"/>
    <n v="87.325858226658298"/>
    <x v="0"/>
    <n v="1"/>
    <x v="0"/>
    <n v="0"/>
    <x v="0"/>
    <x v="54"/>
  </r>
  <r>
    <x v="6"/>
    <x v="6"/>
    <n v="168"/>
    <n v="82"/>
    <x v="1"/>
    <x v="409"/>
    <n v="38"/>
    <n v="2"/>
    <n v="76.707911921463094"/>
    <n v="78.873169185538401"/>
    <n v="185.36270743557199"/>
    <n v="72.998318965277505"/>
    <x v="417"/>
    <n v="76.268704319859197"/>
    <x v="417"/>
    <n v="61.624175865515198"/>
    <n v="71.766124346438204"/>
    <x v="1"/>
    <n v="0"/>
    <x v="1"/>
    <n v="1"/>
    <x v="1"/>
    <x v="339"/>
  </r>
  <r>
    <x v="2"/>
    <x v="2"/>
    <n v="181"/>
    <n v="65"/>
    <x v="0"/>
    <x v="410"/>
    <n v="37"/>
    <n v="2"/>
    <n v="71.381035658270605"/>
    <n v="71.192450985080399"/>
    <n v="274.14734952014697"/>
    <n v="77.832802643629506"/>
    <x v="418"/>
    <n v="81.712403109150799"/>
    <x v="418"/>
    <n v="65.173179458666993"/>
    <n v="65.122154086472193"/>
    <x v="1"/>
    <n v="0"/>
    <x v="1"/>
    <n v="1"/>
    <x v="1"/>
    <x v="157"/>
  </r>
  <r>
    <x v="0"/>
    <x v="0"/>
    <n v="174"/>
    <n v="69"/>
    <x v="1"/>
    <x v="411"/>
    <n v="20"/>
    <n v="1"/>
    <n v="85.393646376701298"/>
    <n v="80.598536656569607"/>
    <n v="272.59539867685697"/>
    <n v="90.936501890842095"/>
    <x v="419"/>
    <n v="70.311427129778906"/>
    <x v="419"/>
    <n v="44.965777591595803"/>
    <n v="75.898887962239399"/>
    <x v="1"/>
    <n v="1"/>
    <x v="0"/>
    <n v="0"/>
    <x v="0"/>
    <x v="15"/>
  </r>
  <r>
    <x v="3"/>
    <x v="3"/>
    <n v="190"/>
    <n v="65"/>
    <x v="0"/>
    <x v="412"/>
    <n v="5"/>
    <n v="0"/>
    <n v="65.196291163176397"/>
    <n v="81.399220555850604"/>
    <n v="239.21785394777399"/>
    <n v="87.701646342919503"/>
    <x v="420"/>
    <n v="88.574795681862994"/>
    <x v="420"/>
    <n v="58.301521642169"/>
    <n v="85.133083297957896"/>
    <x v="0"/>
    <n v="1"/>
    <x v="0"/>
    <n v="0"/>
    <x v="0"/>
    <x v="176"/>
  </r>
  <r>
    <x v="4"/>
    <x v="4"/>
    <n v="176"/>
    <n v="95"/>
    <x v="1"/>
    <x v="413"/>
    <n v="20"/>
    <n v="2"/>
    <n v="82.569779899276199"/>
    <n v="79.604989586584196"/>
    <n v="249.35391889025601"/>
    <n v="71.305330064315896"/>
    <x v="421"/>
    <n v="85.915592252812999"/>
    <x v="421"/>
    <n v="54.379838728311"/>
    <n v="81.987065717637194"/>
    <x v="0"/>
    <n v="1"/>
    <x v="0"/>
    <n v="0"/>
    <x v="0"/>
    <x v="340"/>
  </r>
  <r>
    <x v="5"/>
    <x v="5"/>
    <n v="181"/>
    <n v="68"/>
    <x v="0"/>
    <x v="414"/>
    <n v="30"/>
    <n v="0"/>
    <n v="64.239848013747604"/>
    <n v="73.124385444230498"/>
    <n v="251.873227630586"/>
    <n v="86.561595814315496"/>
    <x v="422"/>
    <n v="84.922484449297798"/>
    <x v="422"/>
    <n v="66.474693119832594"/>
    <n v="72.523997724545694"/>
    <x v="1"/>
    <n v="1"/>
    <x v="0"/>
    <n v="1"/>
    <x v="1"/>
    <x v="341"/>
  </r>
  <r>
    <x v="3"/>
    <x v="3"/>
    <n v="182"/>
    <n v="85"/>
    <x v="2"/>
    <x v="415"/>
    <n v="37"/>
    <n v="3"/>
    <n v="70.888452190301194"/>
    <n v="85.273316937772293"/>
    <n v="245.17722153720399"/>
    <n v="80.115597425564999"/>
    <x v="423"/>
    <n v="88.271406540338901"/>
    <x v="423"/>
    <n v="69.968829400789204"/>
    <n v="79.511612895081598"/>
    <x v="1"/>
    <n v="0"/>
    <x v="1"/>
    <n v="1"/>
    <x v="1"/>
    <x v="342"/>
  </r>
  <r>
    <x v="1"/>
    <x v="1"/>
    <n v="174"/>
    <n v="65"/>
    <x v="0"/>
    <x v="416"/>
    <n v="23"/>
    <n v="1"/>
    <n v="87.364302519954904"/>
    <n v="72.480132657297005"/>
    <n v="260.00724435350901"/>
    <n v="86.158376297416496"/>
    <x v="424"/>
    <n v="78.352599619399399"/>
    <x v="424"/>
    <n v="39.200732397040703"/>
    <n v="66.731950982910206"/>
    <x v="1"/>
    <n v="1"/>
    <x v="0"/>
    <n v="0"/>
    <x v="0"/>
    <x v="343"/>
  </r>
  <r>
    <x v="1"/>
    <x v="1"/>
    <n v="172"/>
    <n v="71"/>
    <x v="2"/>
    <x v="417"/>
    <n v="24"/>
    <n v="0"/>
    <n v="84.057876655455104"/>
    <n v="77.8192512775381"/>
    <n v="264.657430851291"/>
    <n v="89.757521004684506"/>
    <x v="425"/>
    <n v="91.2232917295009"/>
    <x v="425"/>
    <n v="67.726261021944893"/>
    <n v="73.676208362964601"/>
    <x v="1"/>
    <n v="1"/>
    <x v="0"/>
    <n v="0"/>
    <x v="0"/>
    <x v="231"/>
  </r>
  <r>
    <x v="6"/>
    <x v="6"/>
    <n v="179"/>
    <n v="72"/>
    <x v="2"/>
    <x v="418"/>
    <n v="17"/>
    <n v="3"/>
    <n v="72.224312022421401"/>
    <n v="72.788449426497095"/>
    <n v="281.18937591960201"/>
    <n v="76.4378570273593"/>
    <x v="426"/>
    <n v="72.424933875261402"/>
    <x v="426"/>
    <n v="49.1130282842363"/>
    <n v="58.9495884222911"/>
    <x v="2"/>
    <n v="1"/>
    <x v="0"/>
    <n v="1"/>
    <x v="1"/>
    <x v="35"/>
  </r>
  <r>
    <x v="2"/>
    <x v="2"/>
    <n v="173"/>
    <n v="51"/>
    <x v="3"/>
    <x v="419"/>
    <n v="24"/>
    <n v="1"/>
    <n v="79.748629584558898"/>
    <n v="85.573308870816405"/>
    <n v="233.49691943960801"/>
    <n v="87.099046569357796"/>
    <x v="427"/>
    <n v="73.688492544292103"/>
    <x v="427"/>
    <n v="55.660363141508398"/>
    <n v="91.162955026166898"/>
    <x v="0"/>
    <n v="1"/>
    <x v="0"/>
    <n v="0"/>
    <x v="0"/>
    <x v="344"/>
  </r>
  <r>
    <x v="2"/>
    <x v="2"/>
    <n v="178"/>
    <n v="75"/>
    <x v="0"/>
    <x v="420"/>
    <n v="21"/>
    <n v="0"/>
    <n v="72.739842377496004"/>
    <n v="71.895215193298895"/>
    <n v="266.48105582872103"/>
    <n v="89.6359387423486"/>
    <x v="428"/>
    <n v="93.095407687952104"/>
    <x v="428"/>
    <n v="47.993509901881403"/>
    <n v="79.436009713475798"/>
    <x v="1"/>
    <n v="0"/>
    <x v="1"/>
    <n v="1"/>
    <x v="1"/>
    <x v="49"/>
  </r>
  <r>
    <x v="6"/>
    <x v="6"/>
    <n v="185"/>
    <n v="65"/>
    <x v="0"/>
    <x v="421"/>
    <n v="30"/>
    <n v="1"/>
    <n v="74.112285894575706"/>
    <n v="82.195303328724194"/>
    <n v="204.969468512774"/>
    <n v="88.858335120881193"/>
    <x v="429"/>
    <n v="83.404682403832197"/>
    <x v="429"/>
    <n v="40.5644585834564"/>
    <n v="69.039979405382496"/>
    <x v="1"/>
    <n v="1"/>
    <x v="0"/>
    <n v="0"/>
    <x v="0"/>
    <x v="345"/>
  </r>
  <r>
    <x v="0"/>
    <x v="0"/>
    <n v="169"/>
    <n v="76"/>
    <x v="2"/>
    <x v="140"/>
    <n v="39"/>
    <n v="0"/>
    <n v="87.022740683653595"/>
    <n v="88.111827668613302"/>
    <n v="214.95254174960601"/>
    <n v="86.359981480403704"/>
    <x v="430"/>
    <n v="80.058464763690196"/>
    <x v="430"/>
    <n v="43.494904958373198"/>
    <n v="61.4728424779939"/>
    <x v="1"/>
    <n v="0"/>
    <x v="1"/>
    <n v="0"/>
    <x v="0"/>
    <x v="346"/>
  </r>
  <r>
    <x v="5"/>
    <x v="5"/>
    <n v="177"/>
    <n v="82"/>
    <x v="1"/>
    <x v="422"/>
    <n v="6"/>
    <n v="0"/>
    <n v="72.805635345027099"/>
    <n v="85.160268761549304"/>
    <n v="247.149162805446"/>
    <n v="81.098960900966006"/>
    <x v="431"/>
    <n v="62.379755130211201"/>
    <x v="431"/>
    <n v="40.269490493580399"/>
    <n v="72.867095448667996"/>
    <x v="1"/>
    <n v="1"/>
    <x v="0"/>
    <n v="0"/>
    <x v="0"/>
    <x v="257"/>
  </r>
  <r>
    <x v="4"/>
    <x v="4"/>
    <n v="165"/>
    <n v="81"/>
    <x v="0"/>
    <x v="423"/>
    <n v="15"/>
    <n v="1"/>
    <n v="81.997895810522905"/>
    <n v="67.973466690057904"/>
    <n v="238.790415063311"/>
    <n v="79.811806404077203"/>
    <x v="432"/>
    <n v="54.022145167827503"/>
    <x v="432"/>
    <n v="40.833089919326497"/>
    <n v="52.732628147108599"/>
    <x v="2"/>
    <n v="0"/>
    <x v="1"/>
    <n v="1"/>
    <x v="1"/>
    <x v="347"/>
  </r>
  <r>
    <x v="0"/>
    <x v="0"/>
    <n v="180"/>
    <n v="76"/>
    <x v="1"/>
    <x v="424"/>
    <n v="22"/>
    <n v="5"/>
    <n v="69.696656257747406"/>
    <n v="82.339014422290205"/>
    <n v="204.91481634092401"/>
    <n v="73.988443749104704"/>
    <x v="433"/>
    <n v="75.690665494349503"/>
    <x v="433"/>
    <n v="67.062430695355104"/>
    <n v="67.815826948363807"/>
    <x v="1"/>
    <n v="1"/>
    <x v="0"/>
    <n v="1"/>
    <x v="1"/>
    <x v="228"/>
  </r>
  <r>
    <x v="2"/>
    <x v="2"/>
    <n v="184"/>
    <n v="79"/>
    <x v="0"/>
    <x v="425"/>
    <n v="39"/>
    <n v="1"/>
    <n v="82.790030624890804"/>
    <n v="78.478533522800603"/>
    <n v="248.139730910911"/>
    <n v="86.927541034627097"/>
    <x v="434"/>
    <n v="82.516534491565807"/>
    <x v="434"/>
    <n v="34.617305744153001"/>
    <n v="72.003438797205106"/>
    <x v="1"/>
    <n v="1"/>
    <x v="0"/>
    <n v="0"/>
    <x v="0"/>
    <x v="348"/>
  </r>
  <r>
    <x v="2"/>
    <x v="2"/>
    <n v="179"/>
    <n v="75"/>
    <x v="1"/>
    <x v="426"/>
    <n v="36"/>
    <n v="0"/>
    <n v="75.798458172353193"/>
    <n v="76.536669545900907"/>
    <n v="260.43083282877001"/>
    <n v="71.917011812869603"/>
    <x v="435"/>
    <n v="82.066762913805704"/>
    <x v="435"/>
    <n v="84.353308057618406"/>
    <n v="74.599675977231698"/>
    <x v="1"/>
    <n v="1"/>
    <x v="0"/>
    <n v="1"/>
    <x v="1"/>
    <x v="349"/>
  </r>
  <r>
    <x v="6"/>
    <x v="6"/>
    <n v="174"/>
    <n v="63"/>
    <x v="0"/>
    <x v="427"/>
    <n v="23"/>
    <n v="2"/>
    <n v="71.245760738881501"/>
    <n v="79.236641325205298"/>
    <n v="234.728160270877"/>
    <n v="84.309182756442496"/>
    <x v="436"/>
    <n v="68.690774644026206"/>
    <x v="436"/>
    <n v="67.123212185947196"/>
    <n v="74.807515808648404"/>
    <x v="1"/>
    <n v="1"/>
    <x v="0"/>
    <n v="1"/>
    <x v="1"/>
    <x v="168"/>
  </r>
  <r>
    <x v="6"/>
    <x v="6"/>
    <n v="173"/>
    <n v="61"/>
    <x v="1"/>
    <x v="428"/>
    <n v="12"/>
    <n v="1"/>
    <n v="74.592012830372894"/>
    <n v="79.878461194877005"/>
    <n v="254.77185955681099"/>
    <n v="87.435974546563898"/>
    <x v="437"/>
    <n v="79.133493588388504"/>
    <x v="437"/>
    <n v="57.967089932255"/>
    <n v="63.644673366384801"/>
    <x v="1"/>
    <n v="1"/>
    <x v="0"/>
    <n v="1"/>
    <x v="1"/>
    <x v="62"/>
  </r>
  <r>
    <x v="4"/>
    <x v="4"/>
    <n v="180"/>
    <n v="69"/>
    <x v="3"/>
    <x v="429"/>
    <n v="31"/>
    <n v="3"/>
    <n v="61.669939975899901"/>
    <n v="80.407993285066496"/>
    <n v="245.69703452538599"/>
    <n v="72.513805968369596"/>
    <x v="438"/>
    <n v="68.554066909364195"/>
    <x v="438"/>
    <n v="51.221563399286602"/>
    <n v="64.887354289192103"/>
    <x v="1"/>
    <n v="1"/>
    <x v="0"/>
    <n v="1"/>
    <x v="1"/>
    <x v="45"/>
  </r>
  <r>
    <x v="3"/>
    <x v="3"/>
    <n v="168"/>
    <n v="64"/>
    <x v="1"/>
    <x v="430"/>
    <n v="38"/>
    <n v="4"/>
    <n v="80.234022498841199"/>
    <n v="84.794523040012393"/>
    <n v="245.60525512404399"/>
    <n v="88.806433258384402"/>
    <x v="439"/>
    <n v="83.530731410756403"/>
    <x v="439"/>
    <n v="59.385263899331598"/>
    <n v="60.932570600262601"/>
    <x v="1"/>
    <n v="1"/>
    <x v="0"/>
    <n v="1"/>
    <x v="1"/>
    <x v="350"/>
  </r>
  <r>
    <x v="0"/>
    <x v="0"/>
    <n v="172"/>
    <n v="87"/>
    <x v="1"/>
    <x v="431"/>
    <n v="7"/>
    <n v="1"/>
    <n v="65.934459155409897"/>
    <n v="85.963130203114801"/>
    <n v="306.41222564885999"/>
    <n v="86.132749964780203"/>
    <x v="440"/>
    <n v="69.3713130619808"/>
    <x v="440"/>
    <n v="45.146670760933603"/>
    <n v="77.2430573086328"/>
    <x v="1"/>
    <n v="1"/>
    <x v="0"/>
    <n v="1"/>
    <x v="1"/>
    <x v="351"/>
  </r>
  <r>
    <x v="5"/>
    <x v="5"/>
    <n v="180"/>
    <n v="64"/>
    <x v="3"/>
    <x v="432"/>
    <n v="13"/>
    <n v="3"/>
    <n v="68.191442752575398"/>
    <n v="83.622496264650906"/>
    <n v="228.696049916204"/>
    <n v="75.274973995216101"/>
    <x v="441"/>
    <n v="74.889725618366299"/>
    <x v="441"/>
    <n v="58.059560519070999"/>
    <n v="72.285015451979504"/>
    <x v="1"/>
    <n v="0"/>
    <x v="1"/>
    <n v="1"/>
    <x v="1"/>
    <x v="352"/>
  </r>
  <r>
    <x v="3"/>
    <x v="3"/>
    <n v="184"/>
    <n v="61"/>
    <x v="1"/>
    <x v="433"/>
    <n v="9"/>
    <n v="1"/>
    <n v="66.285811977017104"/>
    <n v="77.662368958161807"/>
    <n v="232.427702460147"/>
    <n v="71.105338308661103"/>
    <x v="442"/>
    <n v="76.607198855372104"/>
    <x v="442"/>
    <n v="40.873844096242898"/>
    <n v="70.026056998522293"/>
    <x v="1"/>
    <n v="1"/>
    <x v="0"/>
    <n v="1"/>
    <x v="1"/>
    <x v="353"/>
  </r>
  <r>
    <x v="2"/>
    <x v="2"/>
    <n v="185"/>
    <n v="60"/>
    <x v="2"/>
    <x v="434"/>
    <n v="29"/>
    <n v="2"/>
    <n v="81.712567831825496"/>
    <n v="82.130753278409799"/>
    <n v="235.848828228184"/>
    <n v="89.478611956625798"/>
    <x v="443"/>
    <n v="81.396535380837193"/>
    <x v="443"/>
    <n v="57.4176536808679"/>
    <n v="82.835631359126495"/>
    <x v="0"/>
    <n v="1"/>
    <x v="0"/>
    <n v="0"/>
    <x v="0"/>
    <x v="354"/>
  </r>
  <r>
    <x v="6"/>
    <x v="6"/>
    <n v="172"/>
    <n v="74"/>
    <x v="0"/>
    <x v="435"/>
    <n v="28"/>
    <n v="1"/>
    <n v="86.766437521623104"/>
    <n v="74.144049201015505"/>
    <n v="251.13249789144899"/>
    <n v="92.249702618199393"/>
    <x v="444"/>
    <n v="73.712892637453905"/>
    <x v="444"/>
    <n v="62.920249140541699"/>
    <n v="58.275646704641197"/>
    <x v="2"/>
    <n v="1"/>
    <x v="0"/>
    <n v="1"/>
    <x v="1"/>
    <x v="355"/>
  </r>
  <r>
    <x v="6"/>
    <x v="6"/>
    <n v="184"/>
    <n v="95"/>
    <x v="2"/>
    <x v="436"/>
    <n v="10"/>
    <n v="1"/>
    <n v="86.791618685051205"/>
    <n v="70.176218972561301"/>
    <n v="238.07398710353101"/>
    <n v="85.960946114375403"/>
    <x v="445"/>
    <n v="84.252580948146004"/>
    <x v="445"/>
    <n v="61.935105053474899"/>
    <n v="83.557968814892604"/>
    <x v="0"/>
    <n v="1"/>
    <x v="0"/>
    <n v="1"/>
    <x v="1"/>
    <x v="356"/>
  </r>
  <r>
    <x v="3"/>
    <x v="3"/>
    <n v="178"/>
    <n v="69"/>
    <x v="2"/>
    <x v="437"/>
    <n v="38"/>
    <n v="1"/>
    <n v="77.557290900017705"/>
    <n v="88.062243252959206"/>
    <n v="221.64483915606601"/>
    <n v="88.422619303444407"/>
    <x v="446"/>
    <n v="74.889131605619596"/>
    <x v="446"/>
    <n v="40.843825209213698"/>
    <n v="75.908631801365303"/>
    <x v="1"/>
    <n v="1"/>
    <x v="0"/>
    <n v="0"/>
    <x v="0"/>
    <x v="357"/>
  </r>
  <r>
    <x v="2"/>
    <x v="2"/>
    <n v="177"/>
    <n v="66"/>
    <x v="3"/>
    <x v="438"/>
    <n v="35"/>
    <n v="2"/>
    <n v="78.940239582539206"/>
    <n v="74.305564743789702"/>
    <n v="239.88319018126501"/>
    <n v="77.5528365266685"/>
    <x v="447"/>
    <n v="64.703403919426805"/>
    <x v="447"/>
    <n v="54.513765020850599"/>
    <n v="56.696268232724002"/>
    <x v="2"/>
    <n v="0"/>
    <x v="1"/>
    <n v="1"/>
    <x v="1"/>
    <x v="358"/>
  </r>
  <r>
    <x v="4"/>
    <x v="4"/>
    <n v="177"/>
    <n v="68"/>
    <x v="0"/>
    <x v="439"/>
    <n v="6"/>
    <n v="0"/>
    <n v="74.786036560057894"/>
    <n v="82.602772607840095"/>
    <n v="258.29683032468802"/>
    <n v="91.785184782987798"/>
    <x v="448"/>
    <n v="83.255284184479606"/>
    <x v="448"/>
    <n v="43.0998661536577"/>
    <n v="69.519002807950002"/>
    <x v="1"/>
    <n v="1"/>
    <x v="0"/>
    <n v="0"/>
    <x v="0"/>
    <x v="220"/>
  </r>
  <r>
    <x v="6"/>
    <x v="6"/>
    <n v="177"/>
    <n v="95"/>
    <x v="3"/>
    <x v="440"/>
    <n v="21"/>
    <n v="0"/>
    <n v="77.168326376023202"/>
    <n v="79.985570555233906"/>
    <n v="253.21553041994699"/>
    <n v="84.390517029603899"/>
    <x v="449"/>
    <n v="75.854806685662496"/>
    <x v="449"/>
    <n v="53.720338940794697"/>
    <n v="86.133623610132602"/>
    <x v="0"/>
    <n v="1"/>
    <x v="0"/>
    <n v="0"/>
    <x v="0"/>
    <x v="359"/>
  </r>
  <r>
    <x v="6"/>
    <x v="6"/>
    <n v="179"/>
    <n v="84"/>
    <x v="0"/>
    <x v="441"/>
    <n v="34"/>
    <n v="2"/>
    <n v="71.091961082447796"/>
    <n v="76.976981945139698"/>
    <n v="255.28713775140801"/>
    <n v="84.237683848252701"/>
    <x v="450"/>
    <n v="91.642365145217198"/>
    <x v="450"/>
    <n v="58.866177270385698"/>
    <n v="77.789192333123793"/>
    <x v="1"/>
    <n v="0"/>
    <x v="1"/>
    <n v="1"/>
    <x v="1"/>
    <x v="360"/>
  </r>
  <r>
    <x v="2"/>
    <x v="2"/>
    <n v="176"/>
    <n v="71"/>
    <x v="0"/>
    <x v="140"/>
    <n v="24"/>
    <n v="3"/>
    <n v="78.8013966903371"/>
    <n v="72.483470217264895"/>
    <n v="228.01282193596001"/>
    <n v="78.070268565136502"/>
    <x v="451"/>
    <n v="91.861987269732097"/>
    <x v="451"/>
    <n v="45.4768487551218"/>
    <n v="63.815621399155603"/>
    <x v="1"/>
    <n v="0"/>
    <x v="1"/>
    <n v="1"/>
    <x v="1"/>
    <x v="361"/>
  </r>
  <r>
    <x v="5"/>
    <x v="5"/>
    <n v="191"/>
    <n v="78"/>
    <x v="1"/>
    <x v="442"/>
    <n v="27"/>
    <n v="2"/>
    <n v="68.990944609002298"/>
    <n v="73.061742922921795"/>
    <n v="246.83442029843599"/>
    <n v="86.464046222133703"/>
    <x v="452"/>
    <n v="63.471222442949099"/>
    <x v="452"/>
    <n v="59.204366273963998"/>
    <n v="80.096717014359399"/>
    <x v="0"/>
    <n v="0"/>
    <x v="1"/>
    <n v="1"/>
    <x v="1"/>
    <x v="338"/>
  </r>
  <r>
    <x v="5"/>
    <x v="5"/>
    <n v="185"/>
    <n v="81"/>
    <x v="1"/>
    <x v="443"/>
    <n v="36"/>
    <n v="1"/>
    <n v="78.082125728763202"/>
    <n v="86.859240678462896"/>
    <n v="232.50394996282199"/>
    <n v="88.545364029195696"/>
    <x v="453"/>
    <n v="84.104825864582594"/>
    <x v="453"/>
    <n v="43.361216937157003"/>
    <n v="77.877038560746101"/>
    <x v="1"/>
    <n v="0"/>
    <x v="1"/>
    <n v="0"/>
    <x v="0"/>
    <x v="156"/>
  </r>
  <r>
    <x v="0"/>
    <x v="0"/>
    <n v="164"/>
    <n v="78"/>
    <x v="3"/>
    <x v="444"/>
    <n v="36"/>
    <n v="2"/>
    <n v="68.234542625607702"/>
    <n v="80.447030028809294"/>
    <n v="237.51262557821599"/>
    <n v="72.800429719131699"/>
    <x v="454"/>
    <n v="85.6414834024458"/>
    <x v="454"/>
    <n v="51.4306192312145"/>
    <n v="69.8942421531533"/>
    <x v="1"/>
    <n v="1"/>
    <x v="0"/>
    <n v="1"/>
    <x v="1"/>
    <x v="362"/>
  </r>
  <r>
    <x v="0"/>
    <x v="0"/>
    <n v="179"/>
    <n v="81"/>
    <x v="1"/>
    <x v="445"/>
    <n v="35"/>
    <n v="1"/>
    <n v="72.038920881292"/>
    <n v="82.563988343034794"/>
    <n v="282.37263285355601"/>
    <n v="80.031222416484098"/>
    <x v="455"/>
    <n v="65.366581841856302"/>
    <x v="455"/>
    <n v="58.2879825936731"/>
    <n v="74.116373198306306"/>
    <x v="1"/>
    <n v="1"/>
    <x v="0"/>
    <n v="1"/>
    <x v="1"/>
    <x v="363"/>
  </r>
  <r>
    <x v="5"/>
    <x v="5"/>
    <n v="179"/>
    <n v="78"/>
    <x v="3"/>
    <x v="446"/>
    <n v="24"/>
    <n v="1"/>
    <n v="68.7862780221446"/>
    <n v="76.352052476348405"/>
    <n v="259.57985279746703"/>
    <n v="80.764234734580597"/>
    <x v="456"/>
    <n v="72.901843464470403"/>
    <x v="456"/>
    <n v="75.646327578566101"/>
    <n v="85.164041951753205"/>
    <x v="0"/>
    <n v="0"/>
    <x v="1"/>
    <n v="1"/>
    <x v="1"/>
    <x v="336"/>
  </r>
  <r>
    <x v="1"/>
    <x v="1"/>
    <n v="186"/>
    <n v="81"/>
    <x v="1"/>
    <x v="447"/>
    <n v="30"/>
    <n v="2"/>
    <n v="67.699626058038902"/>
    <n v="68.878337010795306"/>
    <n v="258.35233564968797"/>
    <n v="88.737933929358206"/>
    <x v="457"/>
    <n v="80.891386163528097"/>
    <x v="457"/>
    <n v="61.306006663485803"/>
    <n v="72.017924524801202"/>
    <x v="1"/>
    <n v="0"/>
    <x v="1"/>
    <n v="1"/>
    <x v="1"/>
    <x v="364"/>
  </r>
  <r>
    <x v="5"/>
    <x v="5"/>
    <n v="166"/>
    <n v="71"/>
    <x v="0"/>
    <x v="448"/>
    <n v="24"/>
    <n v="4"/>
    <n v="73.822377053667196"/>
    <n v="83.020732608456598"/>
    <n v="286.930749287575"/>
    <n v="84.497758336621203"/>
    <x v="458"/>
    <n v="60.527621623776199"/>
    <x v="458"/>
    <n v="65.385372208786904"/>
    <n v="62.9743857724348"/>
    <x v="1"/>
    <n v="1"/>
    <x v="0"/>
    <n v="1"/>
    <x v="1"/>
    <x v="365"/>
  </r>
  <r>
    <x v="6"/>
    <x v="6"/>
    <n v="163"/>
    <n v="72"/>
    <x v="1"/>
    <x v="449"/>
    <n v="30"/>
    <n v="0"/>
    <n v="77.544139635002395"/>
    <n v="78.629602693324799"/>
    <n v="220.25114978331899"/>
    <n v="85.934536585649596"/>
    <x v="459"/>
    <n v="76.461513769741998"/>
    <x v="459"/>
    <n v="47.674060179586299"/>
    <n v="70.421118168273196"/>
    <x v="1"/>
    <n v="1"/>
    <x v="0"/>
    <n v="0"/>
    <x v="0"/>
    <x v="366"/>
  </r>
  <r>
    <x v="6"/>
    <x v="6"/>
    <n v="175"/>
    <n v="66"/>
    <x v="0"/>
    <x v="450"/>
    <n v="35"/>
    <n v="0"/>
    <n v="83.971949090992993"/>
    <n v="78.540648656095101"/>
    <n v="242.702712808934"/>
    <n v="83.573757851577597"/>
    <x v="460"/>
    <n v="71.807197572975099"/>
    <x v="460"/>
    <n v="51.635921830049298"/>
    <n v="89.583195799834002"/>
    <x v="0"/>
    <n v="1"/>
    <x v="0"/>
    <n v="0"/>
    <x v="0"/>
    <x v="367"/>
  </r>
  <r>
    <x v="2"/>
    <x v="2"/>
    <n v="190"/>
    <n v="70"/>
    <x v="3"/>
    <x v="451"/>
    <n v="19"/>
    <n v="0"/>
    <n v="86.157769636508704"/>
    <n v="87.118241610694398"/>
    <n v="259.81583860319"/>
    <n v="80.331074504549505"/>
    <x v="461"/>
    <n v="85.649293299724107"/>
    <x v="461"/>
    <n v="23.122009247109801"/>
    <n v="94.9181635465022"/>
    <x v="0"/>
    <n v="1"/>
    <x v="0"/>
    <n v="0"/>
    <x v="0"/>
    <x v="368"/>
  </r>
  <r>
    <x v="6"/>
    <x v="6"/>
    <n v="176"/>
    <n v="73"/>
    <x v="1"/>
    <x v="452"/>
    <n v="35"/>
    <n v="1"/>
    <n v="69.442556779545697"/>
    <n v="82.593714944157"/>
    <n v="251.81759870677999"/>
    <n v="76.582819242953093"/>
    <x v="462"/>
    <n v="64.3724493945181"/>
    <x v="462"/>
    <n v="46.085431634978399"/>
    <n v="62.525750517099702"/>
    <x v="1"/>
    <n v="0"/>
    <x v="1"/>
    <n v="1"/>
    <x v="1"/>
    <x v="123"/>
  </r>
  <r>
    <x v="3"/>
    <x v="3"/>
    <n v="175"/>
    <n v="76"/>
    <x v="1"/>
    <x v="453"/>
    <n v="19"/>
    <n v="0"/>
    <n v="59.542823253324997"/>
    <n v="77.8606476638939"/>
    <n v="243.95081468718001"/>
    <n v="92.919081492768299"/>
    <x v="463"/>
    <n v="78.157622021583094"/>
    <x v="463"/>
    <n v="49.126406168681797"/>
    <n v="55.310167588327801"/>
    <x v="2"/>
    <n v="1"/>
    <x v="0"/>
    <n v="0"/>
    <x v="0"/>
    <x v="369"/>
  </r>
  <r>
    <x v="1"/>
    <x v="1"/>
    <n v="167"/>
    <n v="79"/>
    <x v="2"/>
    <x v="454"/>
    <n v="29"/>
    <n v="1"/>
    <n v="75.859138944377406"/>
    <n v="80.777097786380494"/>
    <n v="277.53445552777799"/>
    <n v="85.421682205473402"/>
    <x v="464"/>
    <n v="79.235705344870794"/>
    <x v="464"/>
    <n v="48.4207504776899"/>
    <n v="72.038961185287704"/>
    <x v="1"/>
    <n v="0"/>
    <x v="1"/>
    <n v="1"/>
    <x v="1"/>
    <x v="370"/>
  </r>
  <r>
    <x v="0"/>
    <x v="0"/>
    <n v="169"/>
    <n v="79"/>
    <x v="2"/>
    <x v="455"/>
    <n v="19"/>
    <n v="3"/>
    <n v="86.3449744517158"/>
    <n v="76.620014550530996"/>
    <n v="272.116424461946"/>
    <n v="87.184276822955297"/>
    <x v="465"/>
    <n v="73.167001629563899"/>
    <x v="465"/>
    <n v="73.482804300658401"/>
    <n v="74.289128533890803"/>
    <x v="1"/>
    <n v="0"/>
    <x v="1"/>
    <n v="1"/>
    <x v="1"/>
    <x v="371"/>
  </r>
  <r>
    <x v="2"/>
    <x v="2"/>
    <n v="184"/>
    <n v="74"/>
    <x v="2"/>
    <x v="456"/>
    <n v="38"/>
    <n v="1"/>
    <n v="79.726633008359002"/>
    <n v="74.118766457887403"/>
    <n v="225.82216095283499"/>
    <n v="78.075870093211293"/>
    <x v="466"/>
    <n v="82.490572264523607"/>
    <x v="466"/>
    <n v="65.629875603233899"/>
    <n v="84.683895590670303"/>
    <x v="0"/>
    <n v="0"/>
    <x v="1"/>
    <n v="0"/>
    <x v="0"/>
    <x v="372"/>
  </r>
  <r>
    <x v="6"/>
    <x v="6"/>
    <n v="176"/>
    <n v="79"/>
    <x v="2"/>
    <x v="457"/>
    <n v="17"/>
    <n v="0"/>
    <n v="79.239499363557798"/>
    <n v="91.553998876111507"/>
    <n v="241.91697768033799"/>
    <n v="87.489638791896994"/>
    <x v="467"/>
    <n v="85.978124220328894"/>
    <x v="467"/>
    <n v="38.845551218361301"/>
    <n v="62.964948566551499"/>
    <x v="1"/>
    <n v="1"/>
    <x v="0"/>
    <n v="0"/>
    <x v="0"/>
    <x v="373"/>
  </r>
  <r>
    <x v="4"/>
    <x v="4"/>
    <n v="173"/>
    <n v="70"/>
    <x v="1"/>
    <x v="458"/>
    <n v="9"/>
    <n v="1"/>
    <n v="75.2438873628506"/>
    <n v="73.782853801427606"/>
    <n v="203.48678620230601"/>
    <n v="82.992986368104894"/>
    <x v="468"/>
    <n v="80.799049262245205"/>
    <x v="468"/>
    <n v="53.578765964931797"/>
    <n v="65.855929815667196"/>
    <x v="1"/>
    <n v="1"/>
    <x v="0"/>
    <n v="1"/>
    <x v="1"/>
    <x v="374"/>
  </r>
  <r>
    <x v="1"/>
    <x v="1"/>
    <n v="177"/>
    <n v="83"/>
    <x v="2"/>
    <x v="459"/>
    <n v="15"/>
    <n v="1"/>
    <n v="79.196661298651094"/>
    <n v="87.455053342935201"/>
    <n v="277.40886414654699"/>
    <n v="90.010016258890801"/>
    <x v="469"/>
    <n v="75.8636536558286"/>
    <x v="469"/>
    <n v="45.7167331163811"/>
    <n v="74.194794548986806"/>
    <x v="1"/>
    <n v="1"/>
    <x v="0"/>
    <n v="0"/>
    <x v="0"/>
    <x v="171"/>
  </r>
  <r>
    <x v="0"/>
    <x v="0"/>
    <n v="172"/>
    <n v="78"/>
    <x v="2"/>
    <x v="460"/>
    <n v="25"/>
    <n v="1"/>
    <n v="70.560924736698894"/>
    <n v="66.972871101187195"/>
    <n v="258.57155708995299"/>
    <n v="78.669433068681798"/>
    <x v="470"/>
    <n v="74.821223894029202"/>
    <x v="470"/>
    <n v="46.736003615537498"/>
    <n v="57.781613904046999"/>
    <x v="2"/>
    <n v="0"/>
    <x v="1"/>
    <n v="1"/>
    <x v="1"/>
    <x v="298"/>
  </r>
  <r>
    <x v="4"/>
    <x v="4"/>
    <n v="172"/>
    <n v="76"/>
    <x v="1"/>
    <x v="461"/>
    <n v="27"/>
    <n v="1"/>
    <n v="72.059537821160305"/>
    <n v="72.527170120114306"/>
    <n v="274.25886135067202"/>
    <n v="80.055816718342399"/>
    <x v="471"/>
    <n v="73.179145944701503"/>
    <x v="471"/>
    <n v="47.242992577910101"/>
    <n v="66.541870136988294"/>
    <x v="1"/>
    <n v="1"/>
    <x v="0"/>
    <n v="1"/>
    <x v="1"/>
    <x v="375"/>
  </r>
  <r>
    <x v="4"/>
    <x v="4"/>
    <n v="180"/>
    <n v="60"/>
    <x v="0"/>
    <x v="462"/>
    <n v="33"/>
    <n v="2"/>
    <n v="89.756197872669105"/>
    <n v="77.588522387330997"/>
    <n v="276.81165820690399"/>
    <n v="75.805199749017106"/>
    <x v="472"/>
    <n v="81.017667493512405"/>
    <x v="472"/>
    <n v="54.574128731673198"/>
    <n v="83.212357294236398"/>
    <x v="0"/>
    <n v="1"/>
    <x v="0"/>
    <n v="0"/>
    <x v="0"/>
    <x v="376"/>
  </r>
  <r>
    <x v="0"/>
    <x v="0"/>
    <n v="173"/>
    <n v="81"/>
    <x v="3"/>
    <x v="463"/>
    <n v="8"/>
    <n v="4"/>
    <n v="80.716749527210297"/>
    <n v="88.413345853113597"/>
    <n v="243.73175676654299"/>
    <n v="80.284438506675997"/>
    <x v="473"/>
    <n v="77.586569976337401"/>
    <x v="473"/>
    <n v="54.8367094217923"/>
    <n v="79.561220081042606"/>
    <x v="1"/>
    <n v="0"/>
    <x v="1"/>
    <n v="1"/>
    <x v="1"/>
    <x v="296"/>
  </r>
  <r>
    <x v="3"/>
    <x v="3"/>
    <n v="171"/>
    <n v="83"/>
    <x v="3"/>
    <x v="464"/>
    <n v="21"/>
    <n v="1"/>
    <n v="69.2311603047837"/>
    <n v="75.559934147735007"/>
    <n v="273.88577250999299"/>
    <n v="85.512804184404104"/>
    <x v="474"/>
    <n v="73.425571772987993"/>
    <x v="474"/>
    <n v="71.781270480297593"/>
    <n v="76.3204190686521"/>
    <x v="1"/>
    <n v="0"/>
    <x v="1"/>
    <n v="1"/>
    <x v="1"/>
    <x v="58"/>
  </r>
  <r>
    <x v="1"/>
    <x v="1"/>
    <n v="159"/>
    <n v="70"/>
    <x v="2"/>
    <x v="465"/>
    <n v="27"/>
    <n v="1"/>
    <n v="80.941477012628695"/>
    <n v="80.6955746061615"/>
    <n v="244.65960509911801"/>
    <n v="88.977725133670106"/>
    <x v="475"/>
    <n v="88.787548828407694"/>
    <x v="475"/>
    <n v="32.466250498352402"/>
    <n v="72.2205755804505"/>
    <x v="1"/>
    <n v="1"/>
    <x v="0"/>
    <n v="0"/>
    <x v="0"/>
    <x v="377"/>
  </r>
  <r>
    <x v="5"/>
    <x v="5"/>
    <n v="180"/>
    <n v="85"/>
    <x v="0"/>
    <x v="466"/>
    <n v="24"/>
    <n v="2"/>
    <n v="78.352185092669004"/>
    <n v="78.4389809261708"/>
    <n v="276.21839627125598"/>
    <n v="85.937165356168904"/>
    <x v="476"/>
    <n v="68.235174193819404"/>
    <x v="476"/>
    <n v="52.566743200338401"/>
    <n v="61.577852119858001"/>
    <x v="1"/>
    <n v="1"/>
    <x v="0"/>
    <n v="1"/>
    <x v="1"/>
    <x v="378"/>
  </r>
  <r>
    <x v="4"/>
    <x v="4"/>
    <n v="185"/>
    <n v="78"/>
    <x v="0"/>
    <x v="467"/>
    <n v="34"/>
    <n v="0"/>
    <n v="76.602684007330495"/>
    <n v="84.168822598021805"/>
    <n v="227.52491516514999"/>
    <n v="87.219940881830993"/>
    <x v="477"/>
    <n v="83.999771220747405"/>
    <x v="477"/>
    <n v="56.114511513486903"/>
    <n v="76.183666908772693"/>
    <x v="1"/>
    <n v="1"/>
    <x v="0"/>
    <n v="0"/>
    <x v="0"/>
    <x v="88"/>
  </r>
  <r>
    <x v="1"/>
    <x v="1"/>
    <n v="175"/>
    <n v="75"/>
    <x v="0"/>
    <x v="468"/>
    <n v="34"/>
    <n v="3"/>
    <n v="64.934012199967498"/>
    <n v="74.898749000785202"/>
    <n v="247.53099583958601"/>
    <n v="95.717049180083606"/>
    <x v="478"/>
    <n v="85.065727478787807"/>
    <x v="478"/>
    <n v="77.7635017245928"/>
    <n v="57.795153750099601"/>
    <x v="2"/>
    <n v="0"/>
    <x v="1"/>
    <n v="1"/>
    <x v="1"/>
    <x v="135"/>
  </r>
  <r>
    <x v="6"/>
    <x v="6"/>
    <n v="184"/>
    <n v="64"/>
    <x v="0"/>
    <x v="469"/>
    <n v="17"/>
    <n v="2"/>
    <n v="81.584491871465403"/>
    <n v="76.104520951412397"/>
    <n v="297.87571880473701"/>
    <n v="82.122858681168694"/>
    <x v="479"/>
    <n v="82.028531274230502"/>
    <x v="479"/>
    <n v="68.040775472128104"/>
    <n v="64.154036950661194"/>
    <x v="1"/>
    <n v="1"/>
    <x v="0"/>
    <n v="1"/>
    <x v="1"/>
    <x v="379"/>
  </r>
  <r>
    <x v="5"/>
    <x v="5"/>
    <n v="174"/>
    <n v="93"/>
    <x v="1"/>
    <x v="470"/>
    <n v="18"/>
    <n v="4"/>
    <n v="73.930896830262299"/>
    <n v="85.285783819653702"/>
    <n v="261.70025949904402"/>
    <n v="84.289366297737303"/>
    <x v="480"/>
    <n v="69.840160131637205"/>
    <x v="480"/>
    <n v="59.290949633349101"/>
    <n v="72.402894855427803"/>
    <x v="1"/>
    <n v="1"/>
    <x v="0"/>
    <n v="1"/>
    <x v="1"/>
    <x v="380"/>
  </r>
  <r>
    <x v="0"/>
    <x v="0"/>
    <n v="173"/>
    <n v="56"/>
    <x v="1"/>
    <x v="471"/>
    <n v="31"/>
    <n v="3"/>
    <n v="77.526908748008907"/>
    <n v="85.781706968196801"/>
    <n v="265.99187610302903"/>
    <n v="85.139811871167794"/>
    <x v="481"/>
    <n v="68.780470077752994"/>
    <x v="481"/>
    <n v="56.326050998305298"/>
    <n v="72.427829693901202"/>
    <x v="1"/>
    <n v="1"/>
    <x v="0"/>
    <n v="1"/>
    <x v="1"/>
    <x v="381"/>
  </r>
  <r>
    <x v="1"/>
    <x v="1"/>
    <n v="173"/>
    <n v="64"/>
    <x v="1"/>
    <x v="472"/>
    <n v="13"/>
    <n v="3"/>
    <n v="75.256072949876597"/>
    <n v="73.575810196723097"/>
    <n v="274.51914758803201"/>
    <n v="81.286132151473296"/>
    <x v="482"/>
    <n v="74.906611594671801"/>
    <x v="482"/>
    <n v="53.2685383585304"/>
    <n v="67.589384840253302"/>
    <x v="1"/>
    <n v="0"/>
    <x v="1"/>
    <n v="1"/>
    <x v="1"/>
    <x v="0"/>
  </r>
  <r>
    <x v="2"/>
    <x v="2"/>
    <n v="171"/>
    <n v="96"/>
    <x v="3"/>
    <x v="473"/>
    <n v="6"/>
    <n v="1"/>
    <n v="69.076782688537506"/>
    <n v="69.022485308211998"/>
    <n v="253.50443681216501"/>
    <n v="94.579727376002594"/>
    <x v="483"/>
    <n v="80.368523197498803"/>
    <x v="483"/>
    <n v="69.376239057495098"/>
    <n v="69.8002626206234"/>
    <x v="1"/>
    <n v="0"/>
    <x v="1"/>
    <n v="1"/>
    <x v="1"/>
    <x v="382"/>
  </r>
  <r>
    <x v="3"/>
    <x v="3"/>
    <n v="175"/>
    <n v="93"/>
    <x v="0"/>
    <x v="474"/>
    <n v="7"/>
    <n v="1"/>
    <n v="88.177143665214601"/>
    <n v="72.877377125035096"/>
    <n v="251.859210440922"/>
    <n v="88.902068705457907"/>
    <x v="484"/>
    <n v="84.383057701773794"/>
    <x v="484"/>
    <n v="39.3620750075006"/>
    <n v="77.500250105632702"/>
    <x v="1"/>
    <n v="0"/>
    <x v="1"/>
    <n v="0"/>
    <x v="0"/>
    <x v="383"/>
  </r>
  <r>
    <x v="0"/>
    <x v="0"/>
    <n v="186"/>
    <n v="62"/>
    <x v="2"/>
    <x v="475"/>
    <n v="39"/>
    <n v="3"/>
    <n v="86.769621812570605"/>
    <n v="67.090144709200601"/>
    <n v="259.140717279103"/>
    <n v="86.513051451559207"/>
    <x v="485"/>
    <n v="86.487594426027698"/>
    <x v="485"/>
    <n v="54.0665621860309"/>
    <n v="73.760790960957394"/>
    <x v="1"/>
    <n v="1"/>
    <x v="0"/>
    <n v="0"/>
    <x v="0"/>
    <x v="20"/>
  </r>
  <r>
    <x v="2"/>
    <x v="2"/>
    <n v="188"/>
    <n v="72"/>
    <x v="0"/>
    <x v="476"/>
    <n v="14"/>
    <n v="1"/>
    <n v="80.7388425780305"/>
    <n v="81.988803122294598"/>
    <n v="245.55860740933201"/>
    <n v="83.554610837297901"/>
    <x v="486"/>
    <n v="75.7605419741882"/>
    <x v="486"/>
    <n v="52.0767175552119"/>
    <n v="69.457189029066299"/>
    <x v="1"/>
    <n v="1"/>
    <x v="0"/>
    <n v="0"/>
    <x v="0"/>
    <x v="33"/>
  </r>
  <r>
    <x v="0"/>
    <x v="0"/>
    <n v="183"/>
    <n v="71"/>
    <x v="0"/>
    <x v="477"/>
    <n v="8"/>
    <n v="2"/>
    <n v="80.378942142984897"/>
    <n v="79.946244023416796"/>
    <n v="207.43435656237"/>
    <n v="81.122699410091897"/>
    <x v="487"/>
    <n v="79.222288185762295"/>
    <x v="487"/>
    <n v="51.8239501133421"/>
    <n v="77.589572210140503"/>
    <x v="1"/>
    <n v="1"/>
    <x v="0"/>
    <n v="0"/>
    <x v="0"/>
    <x v="63"/>
  </r>
  <r>
    <x v="4"/>
    <x v="4"/>
    <n v="169"/>
    <n v="74"/>
    <x v="0"/>
    <x v="478"/>
    <n v="39"/>
    <n v="2"/>
    <n v="74.409912885852805"/>
    <n v="81.269207219153401"/>
    <n v="257.60605904571798"/>
    <n v="95.4768315284294"/>
    <x v="488"/>
    <n v="81.8800606015553"/>
    <x v="488"/>
    <n v="39.797837704735002"/>
    <n v="81.149348886931506"/>
    <x v="0"/>
    <n v="1"/>
    <x v="0"/>
    <n v="0"/>
    <x v="0"/>
    <x v="285"/>
  </r>
  <r>
    <x v="3"/>
    <x v="3"/>
    <n v="180"/>
    <n v="70"/>
    <x v="0"/>
    <x v="479"/>
    <n v="39"/>
    <n v="3"/>
    <n v="71.786718473390593"/>
    <n v="76.405940738270402"/>
    <n v="272.06305053598197"/>
    <n v="80.991573489900802"/>
    <x v="489"/>
    <n v="60.627532613453099"/>
    <x v="489"/>
    <n v="69.151641864569797"/>
    <n v="89.446148353012205"/>
    <x v="0"/>
    <n v="1"/>
    <x v="0"/>
    <n v="1"/>
    <x v="1"/>
    <x v="384"/>
  </r>
  <r>
    <x v="6"/>
    <x v="6"/>
    <n v="180"/>
    <n v="75"/>
    <x v="0"/>
    <x v="480"/>
    <n v="38"/>
    <n v="5"/>
    <n v="77.483054319373807"/>
    <n v="86.029006678848901"/>
    <n v="257.84255178420102"/>
    <n v="68.5735879094495"/>
    <x v="490"/>
    <n v="88.008946170321295"/>
    <x v="490"/>
    <n v="53.364311598273602"/>
    <n v="67.688640579039898"/>
    <x v="1"/>
    <n v="1"/>
    <x v="0"/>
    <n v="1"/>
    <x v="1"/>
    <x v="385"/>
  </r>
  <r>
    <x v="6"/>
    <x v="6"/>
    <n v="167"/>
    <n v="72"/>
    <x v="2"/>
    <x v="481"/>
    <n v="31"/>
    <n v="0"/>
    <n v="84.303443402115803"/>
    <n v="97.035088318169699"/>
    <n v="272.07070149216599"/>
    <n v="89.709609814817199"/>
    <x v="491"/>
    <n v="84.162130053187894"/>
    <x v="491"/>
    <n v="36.955038713363898"/>
    <n v="87.288420233012801"/>
    <x v="0"/>
    <n v="0"/>
    <x v="1"/>
    <n v="0"/>
    <x v="0"/>
    <x v="386"/>
  </r>
  <r>
    <x v="5"/>
    <x v="5"/>
    <n v="180"/>
    <n v="75"/>
    <x v="2"/>
    <x v="482"/>
    <n v="26"/>
    <n v="0"/>
    <n v="74.391823926612801"/>
    <n v="88.281551574457694"/>
    <n v="238.80863265635901"/>
    <n v="83.464451206921197"/>
    <x v="492"/>
    <n v="80.125363190319007"/>
    <x v="492"/>
    <n v="52.665802877240701"/>
    <n v="95.542178594486899"/>
    <x v="0"/>
    <n v="0"/>
    <x v="1"/>
    <n v="0"/>
    <x v="0"/>
    <x v="385"/>
  </r>
  <r>
    <x v="5"/>
    <x v="5"/>
    <n v="173"/>
    <n v="71"/>
    <x v="0"/>
    <x v="483"/>
    <n v="30"/>
    <n v="2"/>
    <n v="80.947244821507098"/>
    <n v="91.278032993257298"/>
    <n v="250.36707424326801"/>
    <n v="87.803802720332499"/>
    <x v="493"/>
    <n v="74.893902849515499"/>
    <x v="493"/>
    <n v="48.924787084410497"/>
    <n v="57.696267690364799"/>
    <x v="2"/>
    <n v="1"/>
    <x v="0"/>
    <n v="0"/>
    <x v="0"/>
    <x v="387"/>
  </r>
  <r>
    <x v="4"/>
    <x v="4"/>
    <n v="177"/>
    <n v="81"/>
    <x v="1"/>
    <x v="484"/>
    <n v="16"/>
    <n v="3"/>
    <n v="69.849829959417093"/>
    <n v="73.041018099466797"/>
    <n v="251.00716547190001"/>
    <n v="84.735104649116806"/>
    <x v="494"/>
    <n v="70.714092298157894"/>
    <x v="494"/>
    <n v="56.242681692748498"/>
    <n v="63.621151905434999"/>
    <x v="1"/>
    <n v="0"/>
    <x v="1"/>
    <n v="1"/>
    <x v="1"/>
    <x v="111"/>
  </r>
  <r>
    <x v="2"/>
    <x v="2"/>
    <n v="176"/>
    <n v="61"/>
    <x v="0"/>
    <x v="485"/>
    <n v="34"/>
    <n v="1"/>
    <n v="59.540436779469502"/>
    <n v="87.642089585415903"/>
    <n v="252.409353128932"/>
    <n v="67.755588474659206"/>
    <x v="495"/>
    <n v="79.629961751970896"/>
    <x v="495"/>
    <n v="72.277085194861101"/>
    <n v="73.191835028201695"/>
    <x v="1"/>
    <n v="1"/>
    <x v="0"/>
    <n v="1"/>
    <x v="1"/>
    <x v="388"/>
  </r>
  <r>
    <x v="3"/>
    <x v="3"/>
    <n v="176"/>
    <n v="59"/>
    <x v="0"/>
    <x v="486"/>
    <n v="12"/>
    <n v="2"/>
    <n v="72.415326137862905"/>
    <n v="82.400732711260801"/>
    <n v="271.48691740282101"/>
    <n v="86.337944793650294"/>
    <x v="496"/>
    <n v="81.372346117888895"/>
    <x v="496"/>
    <n v="50.932956754712599"/>
    <n v="82.586043900270496"/>
    <x v="0"/>
    <n v="1"/>
    <x v="0"/>
    <n v="1"/>
    <x v="1"/>
    <x v="308"/>
  </r>
  <r>
    <x v="3"/>
    <x v="3"/>
    <n v="185"/>
    <n v="76"/>
    <x v="3"/>
    <x v="487"/>
    <n v="30"/>
    <n v="0"/>
    <n v="75.896255454599896"/>
    <n v="86.186736382242898"/>
    <n v="207.669804284626"/>
    <n v="89.727244193058098"/>
    <x v="497"/>
    <n v="88.144712402161304"/>
    <x v="497"/>
    <n v="41.906659418360803"/>
    <n v="72.462499901873301"/>
    <x v="1"/>
    <n v="1"/>
    <x v="0"/>
    <n v="0"/>
    <x v="0"/>
    <x v="9"/>
  </r>
  <r>
    <x v="5"/>
    <x v="5"/>
    <n v="165"/>
    <n v="71"/>
    <x v="0"/>
    <x v="488"/>
    <n v="37"/>
    <n v="1"/>
    <n v="88.988700186380797"/>
    <n v="86.834871733034703"/>
    <n v="244.14512463603899"/>
    <n v="97.377238646088799"/>
    <x v="498"/>
    <n v="80.364632504827696"/>
    <x v="498"/>
    <n v="67.745732859958196"/>
    <n v="93.472507523414293"/>
    <x v="0"/>
    <n v="1"/>
    <x v="0"/>
    <n v="0"/>
    <x v="0"/>
    <x v="133"/>
  </r>
  <r>
    <x v="3"/>
    <x v="3"/>
    <n v="180"/>
    <n v="81"/>
    <x v="1"/>
    <x v="489"/>
    <n v="14"/>
    <n v="0"/>
    <n v="77.784211154764705"/>
    <n v="74.560471324138703"/>
    <n v="276.10616112932399"/>
    <n v="87.550290849337102"/>
    <x v="499"/>
    <n v="91.580665842971101"/>
    <x v="499"/>
    <n v="45.906779996553603"/>
    <n v="86.159038711703801"/>
    <x v="0"/>
    <n v="1"/>
    <x v="0"/>
    <n v="0"/>
    <x v="0"/>
    <x v="316"/>
  </r>
  <r>
    <x v="6"/>
    <x v="6"/>
    <n v="173"/>
    <n v="60"/>
    <x v="2"/>
    <x v="490"/>
    <n v="20"/>
    <n v="2"/>
    <n v="86.660737743194204"/>
    <n v="84.3829060138453"/>
    <n v="211.13636759874399"/>
    <n v="84.625527665438895"/>
    <x v="500"/>
    <n v="80.232140765190294"/>
    <x v="500"/>
    <n v="46.348364781112899"/>
    <n v="66.3256047977343"/>
    <x v="1"/>
    <n v="0"/>
    <x v="1"/>
    <n v="0"/>
    <x v="0"/>
    <x v="389"/>
  </r>
  <r>
    <x v="1"/>
    <x v="1"/>
    <n v="167"/>
    <n v="59"/>
    <x v="2"/>
    <x v="491"/>
    <n v="13"/>
    <n v="1"/>
    <n v="69.869378910178199"/>
    <n v="90.328402087203798"/>
    <n v="239.09523073089201"/>
    <n v="90.647316350166506"/>
    <x v="501"/>
    <n v="70.252579239849197"/>
    <x v="501"/>
    <n v="40.293528741978797"/>
    <n v="75.788791035642802"/>
    <x v="1"/>
    <n v="1"/>
    <x v="0"/>
    <n v="0"/>
    <x v="0"/>
    <x v="390"/>
  </r>
  <r>
    <x v="0"/>
    <x v="0"/>
    <n v="176"/>
    <n v="73"/>
    <x v="0"/>
    <x v="492"/>
    <n v="27"/>
    <n v="1"/>
    <n v="79.247899679841893"/>
    <n v="86.591011740236695"/>
    <n v="253.09661149821699"/>
    <n v="95.672900643400297"/>
    <x v="502"/>
    <n v="82.538137209430403"/>
    <x v="502"/>
    <n v="47.5613968949419"/>
    <n v="90.567604701893202"/>
    <x v="0"/>
    <n v="0"/>
    <x v="1"/>
    <n v="0"/>
    <x v="0"/>
    <x v="123"/>
  </r>
  <r>
    <x v="2"/>
    <x v="2"/>
    <n v="193"/>
    <n v="76"/>
    <x v="2"/>
    <x v="493"/>
    <n v="13"/>
    <n v="1"/>
    <n v="76.415670430721505"/>
    <n v="86.866595787841305"/>
    <n v="193.746050762934"/>
    <n v="84.888529258607207"/>
    <x v="503"/>
    <n v="83.093885692457704"/>
    <x v="503"/>
    <n v="56.454994359756398"/>
    <n v="68.463027657172105"/>
    <x v="1"/>
    <n v="1"/>
    <x v="0"/>
    <n v="0"/>
    <x v="0"/>
    <x v="391"/>
  </r>
  <r>
    <x v="6"/>
    <x v="6"/>
    <n v="183"/>
    <n v="71"/>
    <x v="1"/>
    <x v="494"/>
    <n v="28"/>
    <n v="2"/>
    <n v="61.227626493139503"/>
    <n v="77.039051950311602"/>
    <n v="237.93169414068501"/>
    <n v="92.530732004964904"/>
    <x v="504"/>
    <n v="57.8308809193637"/>
    <x v="504"/>
    <n v="59.4702573545866"/>
    <n v="63.557843613619703"/>
    <x v="1"/>
    <n v="0"/>
    <x v="1"/>
    <n v="1"/>
    <x v="1"/>
    <x v="63"/>
  </r>
  <r>
    <x v="2"/>
    <x v="2"/>
    <n v="175"/>
    <n v="70"/>
    <x v="2"/>
    <x v="495"/>
    <n v="19"/>
    <n v="1"/>
    <n v="77.980822650892904"/>
    <n v="93.569313265200094"/>
    <n v="216.28599476506801"/>
    <n v="75.108100415375503"/>
    <x v="505"/>
    <n v="78.688640933056405"/>
    <x v="505"/>
    <n v="39.989484331198597"/>
    <n v="82.085177530632293"/>
    <x v="0"/>
    <n v="1"/>
    <x v="0"/>
    <n v="0"/>
    <x v="0"/>
    <x v="392"/>
  </r>
  <r>
    <x v="6"/>
    <x v="6"/>
    <n v="178"/>
    <n v="79"/>
    <x v="2"/>
    <x v="496"/>
    <n v="39"/>
    <n v="1"/>
    <n v="74.191920451330006"/>
    <n v="78.292082698379801"/>
    <n v="237.00462909286301"/>
    <n v="89.332509996852096"/>
    <x v="506"/>
    <n v="73.895772797767705"/>
    <x v="506"/>
    <n v="74.880012364932298"/>
    <n v="63.211798542080999"/>
    <x v="1"/>
    <n v="0"/>
    <x v="1"/>
    <n v="1"/>
    <x v="1"/>
    <x v="393"/>
  </r>
  <r>
    <x v="1"/>
    <x v="1"/>
    <n v="181"/>
    <n v="59"/>
    <x v="1"/>
    <x v="140"/>
    <n v="39"/>
    <n v="1"/>
    <n v="87.4058761850916"/>
    <n v="86.977966960413795"/>
    <n v="239.778265862886"/>
    <n v="84.997370939413301"/>
    <x v="507"/>
    <n v="92.253637309613296"/>
    <x v="507"/>
    <n v="65.670983211806401"/>
    <n v="52.529845455973003"/>
    <x v="2"/>
    <n v="1"/>
    <x v="0"/>
    <n v="0"/>
    <x v="0"/>
    <x v="394"/>
  </r>
  <r>
    <x v="3"/>
    <x v="3"/>
    <n v="171"/>
    <n v="78"/>
    <x v="0"/>
    <x v="497"/>
    <n v="22"/>
    <n v="3"/>
    <n v="68.124008900889905"/>
    <n v="68.528868000536406"/>
    <n v="267.41198821993601"/>
    <n v="76.707764901325802"/>
    <x v="508"/>
    <n v="88.909518918987104"/>
    <x v="508"/>
    <n v="56.4332105324686"/>
    <n v="71.8464500280148"/>
    <x v="1"/>
    <n v="0"/>
    <x v="1"/>
    <n v="1"/>
    <x v="1"/>
    <x v="395"/>
  </r>
  <r>
    <x v="5"/>
    <x v="5"/>
    <n v="175"/>
    <n v="81"/>
    <x v="1"/>
    <x v="498"/>
    <n v="34"/>
    <n v="3"/>
    <n v="72.329224084423899"/>
    <n v="90.816076304912002"/>
    <n v="232.607959358784"/>
    <n v="87.465145668635799"/>
    <x v="509"/>
    <n v="79.093352872917293"/>
    <x v="509"/>
    <n v="47.315659190353202"/>
    <n v="64.012385409040505"/>
    <x v="1"/>
    <n v="1"/>
    <x v="0"/>
    <n v="0"/>
    <x v="0"/>
    <x v="21"/>
  </r>
  <r>
    <x v="4"/>
    <x v="4"/>
    <n v="164"/>
    <n v="73"/>
    <x v="2"/>
    <x v="499"/>
    <n v="14"/>
    <n v="3"/>
    <n v="63.742404170244797"/>
    <n v="72.042663065484405"/>
    <n v="244.731964902024"/>
    <n v="76.272575756404393"/>
    <x v="510"/>
    <n v="76.671427820209203"/>
    <x v="510"/>
    <n v="72.151034800847697"/>
    <n v="71.280834640632193"/>
    <x v="1"/>
    <n v="0"/>
    <x v="1"/>
    <n v="1"/>
    <x v="1"/>
    <x v="396"/>
  </r>
  <r>
    <x v="4"/>
    <x v="4"/>
    <n v="180"/>
    <n v="81"/>
    <x v="0"/>
    <x v="500"/>
    <n v="18"/>
    <n v="0"/>
    <n v="74.532483127743603"/>
    <n v="62.6141829954204"/>
    <n v="249.653227615801"/>
    <n v="82.875943387332299"/>
    <x v="511"/>
    <n v="79.932540967758797"/>
    <x v="511"/>
    <n v="36.0100212679964"/>
    <n v="63.5618131885902"/>
    <x v="1"/>
    <n v="0"/>
    <x v="1"/>
    <n v="1"/>
    <x v="1"/>
    <x v="316"/>
  </r>
  <r>
    <x v="4"/>
    <x v="4"/>
    <n v="167"/>
    <n v="78"/>
    <x v="2"/>
    <x v="501"/>
    <n v="9"/>
    <n v="1"/>
    <n v="81.127345618092505"/>
    <n v="81.472319776131201"/>
    <n v="254.14921775376899"/>
    <n v="84.171466877722906"/>
    <x v="512"/>
    <n v="83.511247356581094"/>
    <x v="512"/>
    <n v="52.143045784544"/>
    <n v="76.385253199737093"/>
    <x v="1"/>
    <n v="0"/>
    <x v="1"/>
    <n v="0"/>
    <x v="0"/>
    <x v="397"/>
  </r>
  <r>
    <x v="5"/>
    <x v="5"/>
    <n v="179"/>
    <n v="76"/>
    <x v="0"/>
    <x v="502"/>
    <n v="8"/>
    <n v="3"/>
    <n v="70.531940888991301"/>
    <n v="71.286526495565099"/>
    <n v="303.07011485469297"/>
    <n v="88.836296180330507"/>
    <x v="513"/>
    <n v="69.183702086548294"/>
    <x v="513"/>
    <n v="67.575454888321204"/>
    <n v="73.951053157987104"/>
    <x v="1"/>
    <n v="0"/>
    <x v="1"/>
    <n v="1"/>
    <x v="1"/>
    <x v="172"/>
  </r>
  <r>
    <x v="5"/>
    <x v="5"/>
    <n v="180"/>
    <n v="78"/>
    <x v="1"/>
    <x v="503"/>
    <n v="7"/>
    <n v="0"/>
    <n v="84.900228335664096"/>
    <n v="84.686499118728705"/>
    <n v="235.13036724722301"/>
    <n v="93.728034843970704"/>
    <x v="514"/>
    <n v="78.696793733794394"/>
    <x v="514"/>
    <n v="51.720122151005903"/>
    <n v="78.431603379063304"/>
    <x v="1"/>
    <n v="1"/>
    <x v="0"/>
    <n v="0"/>
    <x v="0"/>
    <x v="398"/>
  </r>
  <r>
    <x v="6"/>
    <x v="6"/>
    <n v="184"/>
    <n v="64"/>
    <x v="3"/>
    <x v="504"/>
    <n v="13"/>
    <n v="0"/>
    <n v="68.225237340962593"/>
    <n v="89.977706732056902"/>
    <n v="206.830562471972"/>
    <n v="79.429267123948506"/>
    <x v="515"/>
    <n v="89.410860075182399"/>
    <x v="515"/>
    <n v="43.539430130550102"/>
    <n v="67.263962312512405"/>
    <x v="1"/>
    <n v="0"/>
    <x v="1"/>
    <n v="0"/>
    <x v="0"/>
    <x v="379"/>
  </r>
  <r>
    <x v="6"/>
    <x v="6"/>
    <n v="175"/>
    <n v="68"/>
    <x v="3"/>
    <x v="505"/>
    <n v="39"/>
    <n v="0"/>
    <n v="83.010722856330403"/>
    <n v="86.121081664807704"/>
    <n v="229.900477390242"/>
    <n v="84.525926371673805"/>
    <x v="516"/>
    <n v="85.546755263075795"/>
    <x v="516"/>
    <n v="30.729671125138601"/>
    <n v="70.400016975195598"/>
    <x v="1"/>
    <n v="1"/>
    <x v="0"/>
    <n v="0"/>
    <x v="0"/>
    <x v="399"/>
  </r>
  <r>
    <x v="6"/>
    <x v="6"/>
    <n v="179"/>
    <n v="59"/>
    <x v="0"/>
    <x v="506"/>
    <n v="18"/>
    <n v="1"/>
    <n v="60.748247046534402"/>
    <n v="83.879884854465701"/>
    <n v="286.57372044152203"/>
    <n v="84.975470343903694"/>
    <x v="517"/>
    <n v="73.033853353880005"/>
    <x v="517"/>
    <n v="61.438969527506103"/>
    <n v="65.603495020797993"/>
    <x v="1"/>
    <n v="0"/>
    <x v="1"/>
    <n v="1"/>
    <x v="1"/>
    <x v="400"/>
  </r>
  <r>
    <x v="3"/>
    <x v="3"/>
    <n v="182"/>
    <n v="76"/>
    <x v="2"/>
    <x v="507"/>
    <n v="10"/>
    <n v="1"/>
    <n v="73.137070408589395"/>
    <n v="79.855310519591896"/>
    <n v="226.99633110614201"/>
    <n v="88.400986260914095"/>
    <x v="518"/>
    <n v="76.958617861486005"/>
    <x v="518"/>
    <n v="51.413279828463097"/>
    <n v="83.955640828369994"/>
    <x v="0"/>
    <n v="0"/>
    <x v="1"/>
    <n v="0"/>
    <x v="0"/>
    <x v="50"/>
  </r>
  <r>
    <x v="6"/>
    <x v="6"/>
    <n v="185"/>
    <n v="61"/>
    <x v="0"/>
    <x v="508"/>
    <n v="29"/>
    <n v="2"/>
    <n v="69.890440941895804"/>
    <n v="75.410627510373899"/>
    <n v="264.62054083050799"/>
    <n v="80.367539712836404"/>
    <x v="519"/>
    <n v="63.5175849772167"/>
    <x v="519"/>
    <n v="60.4834182515118"/>
    <n v="74.378631686595597"/>
    <x v="1"/>
    <n v="0"/>
    <x v="1"/>
    <n v="1"/>
    <x v="1"/>
    <x v="401"/>
  </r>
  <r>
    <x v="1"/>
    <x v="1"/>
    <n v="183"/>
    <n v="78"/>
    <x v="1"/>
    <x v="509"/>
    <n v="35"/>
    <n v="3"/>
    <n v="66.573783557531797"/>
    <n v="82.515359530412098"/>
    <n v="288.75402614713698"/>
    <n v="81.635598294735203"/>
    <x v="520"/>
    <n v="74.293997050720705"/>
    <x v="520"/>
    <n v="51.870777815007003"/>
    <n v="73.770939609593597"/>
    <x v="1"/>
    <n v="0"/>
    <x v="1"/>
    <n v="1"/>
    <x v="1"/>
    <x v="402"/>
  </r>
  <r>
    <x v="5"/>
    <x v="5"/>
    <n v="192"/>
    <n v="59"/>
    <x v="3"/>
    <x v="510"/>
    <n v="39"/>
    <n v="2"/>
    <n v="93.900051456457206"/>
    <n v="82.774614835988501"/>
    <n v="263.162273170753"/>
    <n v="82.152445481322204"/>
    <x v="521"/>
    <n v="79.002039085638003"/>
    <x v="521"/>
    <n v="43.689842437630197"/>
    <n v="81.743426737113197"/>
    <x v="0"/>
    <n v="1"/>
    <x v="0"/>
    <n v="0"/>
    <x v="0"/>
    <x v="403"/>
  </r>
  <r>
    <x v="0"/>
    <x v="0"/>
    <n v="174"/>
    <n v="73"/>
    <x v="2"/>
    <x v="511"/>
    <n v="23"/>
    <n v="1"/>
    <n v="88.049061963225398"/>
    <n v="85.073776895895705"/>
    <n v="223.275249188023"/>
    <n v="96.2573103203855"/>
    <x v="522"/>
    <n v="78.332231084952298"/>
    <x v="522"/>
    <n v="41.616774060141303"/>
    <n v="74.350331107001097"/>
    <x v="1"/>
    <n v="0"/>
    <x v="1"/>
    <n v="0"/>
    <x v="0"/>
    <x v="404"/>
  </r>
  <r>
    <x v="3"/>
    <x v="3"/>
    <n v="162"/>
    <n v="65"/>
    <x v="1"/>
    <x v="512"/>
    <n v="33"/>
    <n v="0"/>
    <n v="62.6102290271442"/>
    <n v="74.137037841250006"/>
    <n v="266.34299919281"/>
    <n v="94.441794023877605"/>
    <x v="523"/>
    <n v="72.994088925194106"/>
    <x v="523"/>
    <n v="68.258993288661202"/>
    <n v="72.925266614944704"/>
    <x v="1"/>
    <n v="0"/>
    <x v="1"/>
    <n v="1"/>
    <x v="1"/>
    <x v="405"/>
  </r>
  <r>
    <x v="0"/>
    <x v="0"/>
    <n v="193"/>
    <n v="63"/>
    <x v="1"/>
    <x v="513"/>
    <n v="5"/>
    <n v="3"/>
    <n v="71.1023471010554"/>
    <n v="79.336536328469606"/>
    <n v="249.85272320015901"/>
    <n v="87.320340277942506"/>
    <x v="524"/>
    <n v="77.823982235985895"/>
    <x v="524"/>
    <n v="60.744226402349199"/>
    <n v="66.208502693528601"/>
    <x v="1"/>
    <n v="0"/>
    <x v="1"/>
    <n v="1"/>
    <x v="1"/>
    <x v="406"/>
  </r>
  <r>
    <x v="2"/>
    <x v="2"/>
    <n v="180"/>
    <n v="89"/>
    <x v="0"/>
    <x v="514"/>
    <n v="17"/>
    <n v="0"/>
    <n v="72.629091174650995"/>
    <n v="82.874236897279999"/>
    <n v="271.557788374111"/>
    <n v="87.967318106101899"/>
    <x v="525"/>
    <n v="74.9580916288661"/>
    <x v="525"/>
    <n v="61.153681240377203"/>
    <n v="79.992809796457806"/>
    <x v="1"/>
    <n v="1"/>
    <x v="0"/>
    <n v="1"/>
    <x v="1"/>
    <x v="407"/>
  </r>
  <r>
    <x v="4"/>
    <x v="4"/>
    <n v="178"/>
    <n v="85"/>
    <x v="2"/>
    <x v="515"/>
    <n v="26"/>
    <n v="1"/>
    <n v="75.742270640431002"/>
    <n v="82.767815742391505"/>
    <n v="242.56237128071899"/>
    <n v="91.549460215082703"/>
    <x v="526"/>
    <n v="82.876741270523993"/>
    <x v="526"/>
    <n v="50.171254400039501"/>
    <n v="77.7555151777444"/>
    <x v="1"/>
    <n v="1"/>
    <x v="0"/>
    <n v="0"/>
    <x v="0"/>
    <x v="408"/>
  </r>
  <r>
    <x v="3"/>
    <x v="3"/>
    <n v="165"/>
    <n v="71"/>
    <x v="3"/>
    <x v="516"/>
    <n v="15"/>
    <n v="0"/>
    <n v="80.330880451209893"/>
    <n v="87.183216872103699"/>
    <n v="227.07188861017599"/>
    <n v="91.615543531035897"/>
    <x v="527"/>
    <n v="71.644623440203006"/>
    <x v="527"/>
    <n v="62.185139572409199"/>
    <n v="58.1036801067334"/>
    <x v="2"/>
    <n v="0"/>
    <x v="1"/>
    <n v="1"/>
    <x v="1"/>
    <x v="133"/>
  </r>
  <r>
    <x v="6"/>
    <x v="6"/>
    <n v="175"/>
    <n v="94"/>
    <x v="1"/>
    <x v="517"/>
    <n v="5"/>
    <n v="1"/>
    <n v="77.472888471419296"/>
    <n v="91.060722100095603"/>
    <n v="256.735944361892"/>
    <n v="82.708419037417798"/>
    <x v="528"/>
    <n v="79.639633236876193"/>
    <x v="528"/>
    <n v="42.9614792703291"/>
    <n v="65.741926247979805"/>
    <x v="1"/>
    <n v="1"/>
    <x v="0"/>
    <n v="0"/>
    <x v="0"/>
    <x v="409"/>
  </r>
  <r>
    <x v="4"/>
    <x v="4"/>
    <n v="167"/>
    <n v="69"/>
    <x v="2"/>
    <x v="518"/>
    <n v="32"/>
    <n v="0"/>
    <n v="73.866119179161799"/>
    <n v="79.901720426594196"/>
    <n v="228.61454618136699"/>
    <n v="80.576104774505595"/>
    <x v="529"/>
    <n v="93.346344272840994"/>
    <x v="529"/>
    <n v="68.2116287808268"/>
    <n v="67.215751428736098"/>
    <x v="1"/>
    <n v="1"/>
    <x v="0"/>
    <n v="0"/>
    <x v="0"/>
    <x v="410"/>
  </r>
  <r>
    <x v="3"/>
    <x v="3"/>
    <n v="176"/>
    <n v="60"/>
    <x v="1"/>
    <x v="519"/>
    <n v="39"/>
    <n v="2"/>
    <n v="74.890294253540702"/>
    <n v="91.776356509736701"/>
    <n v="250.290376882441"/>
    <n v="85.843486162060302"/>
    <x v="530"/>
    <n v="76.187338527274605"/>
    <x v="530"/>
    <n v="61.3737554724744"/>
    <n v="63.664305158894798"/>
    <x v="1"/>
    <n v="1"/>
    <x v="0"/>
    <n v="0"/>
    <x v="0"/>
    <x v="319"/>
  </r>
  <r>
    <x v="5"/>
    <x v="5"/>
    <n v="179"/>
    <n v="60"/>
    <x v="1"/>
    <x v="520"/>
    <n v="37"/>
    <n v="1"/>
    <n v="82.574182385273403"/>
    <n v="79.833038863035497"/>
    <n v="221.330297766765"/>
    <n v="100"/>
    <x v="531"/>
    <n v="84.369143941987005"/>
    <x v="531"/>
    <n v="38.723209676325098"/>
    <n v="86.820859350285303"/>
    <x v="0"/>
    <n v="1"/>
    <x v="0"/>
    <n v="0"/>
    <x v="0"/>
    <x v="411"/>
  </r>
  <r>
    <x v="6"/>
    <x v="6"/>
    <n v="181"/>
    <n v="58"/>
    <x v="2"/>
    <x v="521"/>
    <n v="21"/>
    <n v="2"/>
    <n v="71.222926987233706"/>
    <n v="74.336218252318801"/>
    <n v="237.82778104215799"/>
    <n v="79.192201008153802"/>
    <x v="532"/>
    <n v="76.870274198618802"/>
    <x v="532"/>
    <n v="36.743453583264099"/>
    <n v="58.331314403932602"/>
    <x v="2"/>
    <n v="0"/>
    <x v="1"/>
    <n v="1"/>
    <x v="1"/>
    <x v="412"/>
  </r>
  <r>
    <x v="2"/>
    <x v="2"/>
    <n v="169"/>
    <n v="73"/>
    <x v="3"/>
    <x v="522"/>
    <n v="10"/>
    <n v="2"/>
    <n v="79.070492162228803"/>
    <n v="90.636618127986495"/>
    <n v="255.95715729243901"/>
    <n v="88.544163979153197"/>
    <x v="533"/>
    <n v="82.042121589899907"/>
    <x v="533"/>
    <n v="60.147325173243303"/>
    <n v="86.5868183630174"/>
    <x v="0"/>
    <n v="1"/>
    <x v="0"/>
    <n v="0"/>
    <x v="0"/>
    <x v="413"/>
  </r>
  <r>
    <x v="1"/>
    <x v="1"/>
    <n v="185"/>
    <n v="69"/>
    <x v="0"/>
    <x v="140"/>
    <n v="13"/>
    <n v="0"/>
    <n v="76.589800408058906"/>
    <n v="78.120911578783193"/>
    <n v="226.164746200217"/>
    <n v="94.727607794417096"/>
    <x v="534"/>
    <n v="90.856739592581107"/>
    <x v="534"/>
    <n v="61.803370555887902"/>
    <n v="88.40401821236"/>
    <x v="0"/>
    <n v="1"/>
    <x v="0"/>
    <n v="0"/>
    <x v="0"/>
    <x v="102"/>
  </r>
  <r>
    <x v="4"/>
    <x v="4"/>
    <n v="183"/>
    <n v="71"/>
    <x v="3"/>
    <x v="523"/>
    <n v="25"/>
    <n v="1"/>
    <n v="69.252715991074197"/>
    <n v="77.435005665895901"/>
    <n v="239.42103114429199"/>
    <n v="89.502539556717693"/>
    <x v="535"/>
    <n v="58.837362129849097"/>
    <x v="535"/>
    <n v="51.896699368453497"/>
    <n v="84.926070024441202"/>
    <x v="0"/>
    <n v="1"/>
    <x v="0"/>
    <n v="0"/>
    <x v="0"/>
    <x v="63"/>
  </r>
  <r>
    <x v="3"/>
    <x v="3"/>
    <n v="172"/>
    <n v="64"/>
    <x v="3"/>
    <x v="524"/>
    <n v="19"/>
    <n v="2"/>
    <n v="82.669566077979297"/>
    <n v="81.747151284538106"/>
    <n v="251.90228995774299"/>
    <n v="83.657009444892594"/>
    <x v="536"/>
    <n v="75.949057463594301"/>
    <x v="536"/>
    <n v="36.244207981360901"/>
    <n v="86.218567689643194"/>
    <x v="0"/>
    <n v="1"/>
    <x v="0"/>
    <n v="0"/>
    <x v="0"/>
    <x v="55"/>
  </r>
  <r>
    <x v="3"/>
    <x v="3"/>
    <n v="175"/>
    <n v="77"/>
    <x v="2"/>
    <x v="525"/>
    <n v="33"/>
    <n v="0"/>
    <n v="79.020021589927197"/>
    <n v="83.946756339142894"/>
    <n v="225.79738569885299"/>
    <n v="89.406654808322102"/>
    <x v="537"/>
    <n v="75.055960079974696"/>
    <x v="537"/>
    <n v="43.425923053655303"/>
    <n v="80.973384140403397"/>
    <x v="0"/>
    <n v="1"/>
    <x v="0"/>
    <n v="0"/>
    <x v="0"/>
    <x v="40"/>
  </r>
  <r>
    <x v="0"/>
    <x v="0"/>
    <n v="173"/>
    <n v="65"/>
    <x v="2"/>
    <x v="526"/>
    <n v="39"/>
    <n v="2"/>
    <n v="80.932734505921999"/>
    <n v="76.606838272023197"/>
    <n v="234.61970353576601"/>
    <n v="92.974643812757705"/>
    <x v="538"/>
    <n v="72.321537324165604"/>
    <x v="538"/>
    <n v="36.245446832063003"/>
    <n v="80.091233885857704"/>
    <x v="0"/>
    <n v="0"/>
    <x v="1"/>
    <n v="0"/>
    <x v="0"/>
    <x v="108"/>
  </r>
  <r>
    <x v="5"/>
    <x v="5"/>
    <n v="170"/>
    <n v="80"/>
    <x v="3"/>
    <x v="527"/>
    <n v="34"/>
    <n v="2"/>
    <n v="64.356202887560599"/>
    <n v="92.779475748021198"/>
    <n v="270.65024706067197"/>
    <n v="78.430394911933007"/>
    <x v="539"/>
    <n v="62.884726171992597"/>
    <x v="539"/>
    <n v="70.565346322678195"/>
    <n v="78.2663903078262"/>
    <x v="1"/>
    <n v="1"/>
    <x v="0"/>
    <n v="1"/>
    <x v="1"/>
    <x v="38"/>
  </r>
  <r>
    <x v="1"/>
    <x v="1"/>
    <n v="177"/>
    <n v="75"/>
    <x v="0"/>
    <x v="528"/>
    <n v="9"/>
    <n v="1"/>
    <n v="77.174297230090701"/>
    <n v="91.119243798627295"/>
    <n v="243.54948950037101"/>
    <n v="93.004058565237401"/>
    <x v="540"/>
    <n v="85.514311682638905"/>
    <x v="540"/>
    <n v="56.891989989248202"/>
    <n v="67.834202099172998"/>
    <x v="1"/>
    <n v="0"/>
    <x v="1"/>
    <n v="0"/>
    <x v="0"/>
    <x v="332"/>
  </r>
  <r>
    <x v="1"/>
    <x v="1"/>
    <n v="181"/>
    <n v="57"/>
    <x v="2"/>
    <x v="529"/>
    <n v="27"/>
    <n v="2"/>
    <n v="78.2191213993503"/>
    <n v="66.037583084238506"/>
    <n v="241.730836652969"/>
    <n v="74.322271309957799"/>
    <x v="541"/>
    <n v="66.7949667176905"/>
    <x v="541"/>
    <n v="56.637608940887802"/>
    <n v="65.427290598510396"/>
    <x v="1"/>
    <n v="0"/>
    <x v="1"/>
    <n v="1"/>
    <x v="1"/>
    <x v="414"/>
  </r>
  <r>
    <x v="6"/>
    <x v="6"/>
    <n v="187"/>
    <n v="56"/>
    <x v="0"/>
    <x v="530"/>
    <n v="14"/>
    <n v="3"/>
    <n v="80.839781417428398"/>
    <n v="80.445214038469601"/>
    <n v="232.01117728658201"/>
    <n v="85.235545529581799"/>
    <x v="542"/>
    <n v="81.2701865951272"/>
    <x v="542"/>
    <n v="58.185034301847097"/>
    <n v="84.169399850951095"/>
    <x v="0"/>
    <n v="1"/>
    <x v="0"/>
    <n v="0"/>
    <x v="0"/>
    <x v="290"/>
  </r>
  <r>
    <x v="5"/>
    <x v="5"/>
    <n v="176"/>
    <n v="80"/>
    <x v="0"/>
    <x v="531"/>
    <n v="34"/>
    <n v="2"/>
    <n v="81.276156882989596"/>
    <n v="71.051436356161901"/>
    <n v="266.60156416761401"/>
    <n v="93.616759736518503"/>
    <x v="543"/>
    <n v="80.063432963221899"/>
    <x v="543"/>
    <n v="25.051871336797401"/>
    <n v="86.790961899967598"/>
    <x v="0"/>
    <n v="0"/>
    <x v="1"/>
    <n v="0"/>
    <x v="0"/>
    <x v="325"/>
  </r>
  <r>
    <x v="3"/>
    <x v="3"/>
    <n v="178"/>
    <n v="59"/>
    <x v="0"/>
    <x v="532"/>
    <n v="15"/>
    <n v="0"/>
    <n v="80.278031924883905"/>
    <n v="86.927316010094998"/>
    <n v="266.04773532574598"/>
    <n v="75.836442320432894"/>
    <x v="544"/>
    <n v="80.1055314710012"/>
    <x v="544"/>
    <n v="25.939038506968"/>
    <n v="85.775708624345597"/>
    <x v="0"/>
    <n v="1"/>
    <x v="0"/>
    <n v="0"/>
    <x v="0"/>
    <x v="415"/>
  </r>
  <r>
    <x v="2"/>
    <x v="2"/>
    <n v="172"/>
    <n v="73"/>
    <x v="3"/>
    <x v="533"/>
    <n v="38"/>
    <n v="5"/>
    <n v="60.903645336116703"/>
    <n v="72.749398799228601"/>
    <n v="247.06710157520899"/>
    <n v="84.252698279949399"/>
    <x v="545"/>
    <n v="69.152541531237503"/>
    <x v="545"/>
    <n v="54.475188095198398"/>
    <n v="59.688886725963698"/>
    <x v="2"/>
    <n v="0"/>
    <x v="1"/>
    <n v="1"/>
    <x v="1"/>
    <x v="334"/>
  </r>
  <r>
    <x v="6"/>
    <x v="6"/>
    <n v="182"/>
    <n v="63"/>
    <x v="0"/>
    <x v="534"/>
    <n v="17"/>
    <n v="2"/>
    <n v="69.391109685519694"/>
    <n v="74.071706878959603"/>
    <n v="248.12766746202001"/>
    <n v="90.414344972497304"/>
    <x v="546"/>
    <n v="75.261545819582494"/>
    <x v="546"/>
    <n v="60.564776648893798"/>
    <n v="67.5413937660188"/>
    <x v="1"/>
    <n v="0"/>
    <x v="1"/>
    <n v="1"/>
    <x v="1"/>
    <x v="416"/>
  </r>
  <r>
    <x v="3"/>
    <x v="3"/>
    <n v="181"/>
    <n v="69"/>
    <x v="0"/>
    <x v="535"/>
    <n v="7"/>
    <n v="2"/>
    <n v="76.003507238186899"/>
    <n v="83.390312829841307"/>
    <n v="249.65986515072501"/>
    <n v="98.775664998805794"/>
    <x v="547"/>
    <n v="91.104962404687896"/>
    <x v="547"/>
    <n v="40.662835097808099"/>
    <n v="67.788856035242205"/>
    <x v="1"/>
    <n v="1"/>
    <x v="0"/>
    <n v="0"/>
    <x v="0"/>
    <x v="417"/>
  </r>
  <r>
    <x v="2"/>
    <x v="2"/>
    <n v="170"/>
    <n v="77"/>
    <x v="1"/>
    <x v="536"/>
    <n v="5"/>
    <n v="3"/>
    <n v="62.5410266463645"/>
    <n v="77.276313035817495"/>
    <n v="231.53144951526801"/>
    <n v="70.293278315735407"/>
    <x v="548"/>
    <n v="87.329993514957295"/>
    <x v="548"/>
    <n v="71.329059131373796"/>
    <n v="85.845465248088203"/>
    <x v="0"/>
    <n v="1"/>
    <x v="0"/>
    <n v="1"/>
    <x v="1"/>
    <x v="194"/>
  </r>
  <r>
    <x v="6"/>
    <x v="6"/>
    <n v="186"/>
    <n v="60"/>
    <x v="0"/>
    <x v="537"/>
    <n v="5"/>
    <n v="0"/>
    <n v="75.3032809768699"/>
    <n v="76.6264413922774"/>
    <n v="259.11807084541402"/>
    <n v="95.367942733320206"/>
    <x v="549"/>
    <n v="73.0947611793774"/>
    <x v="549"/>
    <n v="53.143166806835801"/>
    <n v="91.682516627304693"/>
    <x v="0"/>
    <n v="0"/>
    <x v="1"/>
    <n v="0"/>
    <x v="0"/>
    <x v="418"/>
  </r>
  <r>
    <x v="4"/>
    <x v="4"/>
    <n v="184"/>
    <n v="69"/>
    <x v="0"/>
    <x v="538"/>
    <n v="32"/>
    <n v="0"/>
    <n v="69.776884762481799"/>
    <n v="78.788136910620395"/>
    <n v="229.55936512304399"/>
    <n v="89.827875329948995"/>
    <x v="550"/>
    <n v="75.920093144821394"/>
    <x v="550"/>
    <n v="38.583467335308001"/>
    <n v="86.742060215213201"/>
    <x v="0"/>
    <n v="1"/>
    <x v="0"/>
    <n v="0"/>
    <x v="0"/>
    <x v="419"/>
  </r>
  <r>
    <x v="0"/>
    <x v="0"/>
    <n v="181"/>
    <n v="72"/>
    <x v="3"/>
    <x v="539"/>
    <n v="8"/>
    <n v="3"/>
    <n v="65.566917155992698"/>
    <n v="69.581628475571407"/>
    <n v="277.671228789027"/>
    <n v="79.659230408786598"/>
    <x v="551"/>
    <n v="70.560108769114095"/>
    <x v="551"/>
    <n v="64.819730935617102"/>
    <n v="73.0516307857973"/>
    <x v="1"/>
    <n v="0"/>
    <x v="1"/>
    <n v="1"/>
    <x v="1"/>
    <x v="420"/>
  </r>
  <r>
    <x v="4"/>
    <x v="4"/>
    <n v="187"/>
    <n v="61"/>
    <x v="0"/>
    <x v="540"/>
    <n v="24"/>
    <n v="1"/>
    <n v="71.779331722095094"/>
    <n v="85.987744600779706"/>
    <n v="273.68263861045398"/>
    <n v="64.777770038882593"/>
    <x v="552"/>
    <n v="79.163625189522705"/>
    <x v="552"/>
    <n v="65.784601743234902"/>
    <n v="68.979008519817199"/>
    <x v="1"/>
    <n v="1"/>
    <x v="0"/>
    <n v="1"/>
    <x v="1"/>
    <x v="421"/>
  </r>
  <r>
    <x v="3"/>
    <x v="3"/>
    <n v="186"/>
    <n v="91"/>
    <x v="2"/>
    <x v="541"/>
    <n v="25"/>
    <n v="1"/>
    <n v="66.063289214657104"/>
    <n v="81.260257761357494"/>
    <n v="235.83321520939299"/>
    <n v="78.269001622512306"/>
    <x v="553"/>
    <n v="80.636274521326598"/>
    <x v="553"/>
    <n v="61.314515878369903"/>
    <n v="71.883868082203307"/>
    <x v="1"/>
    <n v="0"/>
    <x v="1"/>
    <n v="1"/>
    <x v="1"/>
    <x v="422"/>
  </r>
  <r>
    <x v="2"/>
    <x v="2"/>
    <n v="182"/>
    <n v="73"/>
    <x v="1"/>
    <x v="542"/>
    <n v="8"/>
    <n v="2"/>
    <n v="66.928881954391102"/>
    <n v="92.470443261284601"/>
    <n v="248.99187453568899"/>
    <n v="88.722964299125806"/>
    <x v="554"/>
    <n v="88.320684516946997"/>
    <x v="554"/>
    <n v="61.4542985519968"/>
    <n v="65.892213614931606"/>
    <x v="1"/>
    <n v="1"/>
    <x v="0"/>
    <n v="0"/>
    <x v="0"/>
    <x v="423"/>
  </r>
  <r>
    <x v="2"/>
    <x v="2"/>
    <n v="181"/>
    <n v="85"/>
    <x v="0"/>
    <x v="543"/>
    <n v="37"/>
    <n v="1"/>
    <n v="65.959606993660898"/>
    <n v="83.136794930757304"/>
    <n v="221.63638645615001"/>
    <n v="83.637069115670997"/>
    <x v="555"/>
    <n v="97.687482981347799"/>
    <x v="555"/>
    <n v="38.698284694824999"/>
    <n v="86.553650353097296"/>
    <x v="0"/>
    <n v="0"/>
    <x v="1"/>
    <n v="0"/>
    <x v="0"/>
    <x v="424"/>
  </r>
  <r>
    <x v="1"/>
    <x v="1"/>
    <n v="184"/>
    <n v="74"/>
    <x v="0"/>
    <x v="544"/>
    <n v="19"/>
    <n v="2"/>
    <n v="66.003874852765094"/>
    <n v="76.194211905417205"/>
    <n v="269.444649719202"/>
    <n v="88.451982055746996"/>
    <x v="556"/>
    <n v="68.973503057805104"/>
    <x v="556"/>
    <n v="57.924598550175901"/>
    <n v="78.712317084006699"/>
    <x v="1"/>
    <n v="1"/>
    <x v="0"/>
    <n v="1"/>
    <x v="1"/>
    <x v="372"/>
  </r>
  <r>
    <x v="4"/>
    <x v="4"/>
    <n v="178"/>
    <n v="63"/>
    <x v="3"/>
    <x v="545"/>
    <n v="6"/>
    <n v="2"/>
    <n v="75.200091057470104"/>
    <n v="75.411803943039502"/>
    <n v="247.41771877974301"/>
    <n v="71.708390759276696"/>
    <x v="557"/>
    <n v="79.370171072473198"/>
    <x v="557"/>
    <n v="29.673482639136701"/>
    <n v="69.011633445429993"/>
    <x v="1"/>
    <n v="0"/>
    <x v="1"/>
    <n v="0"/>
    <x v="0"/>
    <x v="425"/>
  </r>
  <r>
    <x v="2"/>
    <x v="2"/>
    <n v="168"/>
    <n v="68"/>
    <x v="2"/>
    <x v="546"/>
    <n v="22"/>
    <n v="0"/>
    <n v="79.326791211841893"/>
    <n v="91.027350794904507"/>
    <n v="235.80057981299601"/>
    <n v="85.198690689909697"/>
    <x v="558"/>
    <n v="81.506365297070005"/>
    <x v="558"/>
    <n v="40.893084281090402"/>
    <n v="75.127771989145899"/>
    <x v="1"/>
    <n v="1"/>
    <x v="0"/>
    <n v="0"/>
    <x v="0"/>
    <x v="426"/>
  </r>
  <r>
    <x v="3"/>
    <x v="3"/>
    <n v="181"/>
    <n v="68"/>
    <x v="0"/>
    <x v="547"/>
    <n v="19"/>
    <n v="6"/>
    <n v="71.202298125537794"/>
    <n v="75.537304529323706"/>
    <n v="281.46099443675803"/>
    <n v="84.514606034560401"/>
    <x v="559"/>
    <n v="78.066164774472895"/>
    <x v="559"/>
    <n v="51.649732785737797"/>
    <n v="67.326176190641206"/>
    <x v="1"/>
    <n v="1"/>
    <x v="0"/>
    <n v="1"/>
    <x v="1"/>
    <x v="341"/>
  </r>
  <r>
    <x v="1"/>
    <x v="1"/>
    <n v="176"/>
    <n v="83"/>
    <x v="3"/>
    <x v="548"/>
    <n v="13"/>
    <n v="1"/>
    <n v="79.131245117443598"/>
    <n v="78.059828010656204"/>
    <n v="257.73907616708999"/>
    <n v="80.526535418824395"/>
    <x v="560"/>
    <n v="100"/>
    <x v="560"/>
    <n v="35.616134146746397"/>
    <n v="70.406285288158898"/>
    <x v="1"/>
    <n v="1"/>
    <x v="0"/>
    <n v="0"/>
    <x v="0"/>
    <x v="43"/>
  </r>
  <r>
    <x v="6"/>
    <x v="6"/>
    <n v="181"/>
    <n v="90"/>
    <x v="1"/>
    <x v="549"/>
    <n v="24"/>
    <n v="1"/>
    <n v="75.549154996237903"/>
    <n v="94.894917506156602"/>
    <n v="246.25020311857901"/>
    <n v="90.666619475307101"/>
    <x v="561"/>
    <n v="73.1926131208117"/>
    <x v="561"/>
    <n v="57.486909242187302"/>
    <n v="64.988509978517897"/>
    <x v="1"/>
    <n v="1"/>
    <x v="0"/>
    <n v="1"/>
    <x v="1"/>
    <x v="427"/>
  </r>
  <r>
    <x v="0"/>
    <x v="0"/>
    <n v="169"/>
    <n v="52"/>
    <x v="1"/>
    <x v="550"/>
    <n v="34"/>
    <n v="3"/>
    <n v="71.277742649114003"/>
    <n v="83.594435355811399"/>
    <n v="195.590206546704"/>
    <n v="90.7835412472446"/>
    <x v="562"/>
    <n v="72.981770681986404"/>
    <x v="562"/>
    <n v="50.775278526978397"/>
    <n v="76.165672424944802"/>
    <x v="1"/>
    <n v="0"/>
    <x v="1"/>
    <n v="0"/>
    <x v="0"/>
    <x v="428"/>
  </r>
  <r>
    <x v="3"/>
    <x v="3"/>
    <n v="177"/>
    <n v="58"/>
    <x v="2"/>
    <x v="551"/>
    <n v="12"/>
    <n v="1"/>
    <n v="73.476473414756995"/>
    <n v="83.809687745883807"/>
    <n v="261.91213843970399"/>
    <n v="84.220386143460104"/>
    <x v="563"/>
    <n v="74.596693001987404"/>
    <x v="563"/>
    <n v="67.209909755040599"/>
    <n v="64.565821946546805"/>
    <x v="1"/>
    <n v="0"/>
    <x v="1"/>
    <n v="1"/>
    <x v="1"/>
    <x v="117"/>
  </r>
  <r>
    <x v="2"/>
    <x v="2"/>
    <n v="179"/>
    <n v="75"/>
    <x v="0"/>
    <x v="552"/>
    <n v="26"/>
    <n v="2"/>
    <n v="72.772443459073003"/>
    <n v="77.662766581051997"/>
    <n v="255.57781339017001"/>
    <n v="69.897740435034507"/>
    <x v="564"/>
    <n v="88.300084979795699"/>
    <x v="564"/>
    <n v="48.115505479843797"/>
    <n v="77.565017477507695"/>
    <x v="1"/>
    <n v="1"/>
    <x v="0"/>
    <n v="1"/>
    <x v="1"/>
    <x v="349"/>
  </r>
  <r>
    <x v="3"/>
    <x v="3"/>
    <n v="168"/>
    <n v="69"/>
    <x v="1"/>
    <x v="553"/>
    <n v="34"/>
    <n v="0"/>
    <n v="79.678588443824296"/>
    <n v="79.833329840278196"/>
    <n v="261.26765113815998"/>
    <n v="95.061333635181199"/>
    <x v="565"/>
    <n v="87.887813747207801"/>
    <x v="565"/>
    <n v="45.091374309479001"/>
    <n v="86.956762692577897"/>
    <x v="0"/>
    <n v="1"/>
    <x v="0"/>
    <n v="0"/>
    <x v="0"/>
    <x v="429"/>
  </r>
  <r>
    <x v="3"/>
    <x v="3"/>
    <n v="165"/>
    <n v="69"/>
    <x v="0"/>
    <x v="554"/>
    <n v="36"/>
    <n v="0"/>
    <n v="70.383698581770204"/>
    <n v="87.260800493873205"/>
    <n v="232.68463163667201"/>
    <n v="89.142591624442801"/>
    <x v="566"/>
    <n v="84.0897102302674"/>
    <x v="566"/>
    <n v="59.868893191514097"/>
    <n v="84.067394043836401"/>
    <x v="0"/>
    <n v="0"/>
    <x v="1"/>
    <n v="0"/>
    <x v="0"/>
    <x v="324"/>
  </r>
  <r>
    <x v="2"/>
    <x v="2"/>
    <n v="175"/>
    <n v="72"/>
    <x v="0"/>
    <x v="555"/>
    <n v="27"/>
    <n v="0"/>
    <n v="79.963214039688694"/>
    <n v="75.336945500756102"/>
    <n v="247.818974225495"/>
    <n v="84.363461180305194"/>
    <x v="567"/>
    <n v="68.013417338615895"/>
    <x v="567"/>
    <n v="52.7842437539719"/>
    <n v="78.016983579667396"/>
    <x v="1"/>
    <n v="1"/>
    <x v="0"/>
    <n v="0"/>
    <x v="0"/>
    <x v="430"/>
  </r>
  <r>
    <x v="3"/>
    <x v="3"/>
    <n v="193"/>
    <n v="70"/>
    <x v="1"/>
    <x v="140"/>
    <n v="23"/>
    <n v="1"/>
    <n v="74.218874522270497"/>
    <n v="82.977163859051203"/>
    <n v="276.02465050180399"/>
    <n v="88.721699913185006"/>
    <x v="568"/>
    <n v="79.166138091034597"/>
    <x v="568"/>
    <n v="76.027756426897795"/>
    <n v="64.7399790935808"/>
    <x v="1"/>
    <n v="1"/>
    <x v="0"/>
    <n v="1"/>
    <x v="1"/>
    <x v="299"/>
  </r>
  <r>
    <x v="2"/>
    <x v="2"/>
    <n v="167"/>
    <n v="58"/>
    <x v="2"/>
    <x v="556"/>
    <n v="28"/>
    <n v="3"/>
    <n v="66.7701016323022"/>
    <n v="72.498503738648296"/>
    <n v="275.01460151406701"/>
    <n v="76.387997330926197"/>
    <x v="569"/>
    <n v="69.3885522350934"/>
    <x v="569"/>
    <n v="63.206437940905097"/>
    <n v="84.311045408519703"/>
    <x v="0"/>
    <n v="1"/>
    <x v="0"/>
    <n v="1"/>
    <x v="1"/>
    <x v="431"/>
  </r>
  <r>
    <x v="3"/>
    <x v="3"/>
    <n v="176"/>
    <n v="55"/>
    <x v="2"/>
    <x v="557"/>
    <n v="38"/>
    <n v="1"/>
    <n v="80.165247187507006"/>
    <n v="83.632921214495596"/>
    <n v="219.09480904021601"/>
    <n v="86.539483351334297"/>
    <x v="570"/>
    <n v="84.417198523228706"/>
    <x v="570"/>
    <n v="51.566171228019499"/>
    <n v="90.140906150804398"/>
    <x v="0"/>
    <n v="1"/>
    <x v="0"/>
    <n v="0"/>
    <x v="0"/>
    <x v="432"/>
  </r>
  <r>
    <x v="5"/>
    <x v="5"/>
    <n v="183"/>
    <n v="58"/>
    <x v="2"/>
    <x v="558"/>
    <n v="30"/>
    <n v="2"/>
    <n v="65.555818407517904"/>
    <n v="80.205874778024295"/>
    <n v="237.23926117716201"/>
    <n v="73.893772922939405"/>
    <x v="571"/>
    <n v="80.743696782819399"/>
    <x v="571"/>
    <n v="32.575751182905996"/>
    <n v="82.562966795941705"/>
    <x v="0"/>
    <n v="0"/>
    <x v="1"/>
    <n v="1"/>
    <x v="1"/>
    <x v="294"/>
  </r>
  <r>
    <x v="6"/>
    <x v="6"/>
    <n v="179"/>
    <n v="69"/>
    <x v="0"/>
    <x v="559"/>
    <n v="34"/>
    <n v="0"/>
    <n v="73.811428325025204"/>
    <n v="71.554603792026995"/>
    <n v="241.300690308279"/>
    <n v="89.341487569216099"/>
    <x v="572"/>
    <n v="80.1857870573876"/>
    <x v="572"/>
    <n v="51.669814534979501"/>
    <n v="73.5046105011874"/>
    <x v="1"/>
    <n v="1"/>
    <x v="0"/>
    <n v="0"/>
    <x v="0"/>
    <x v="272"/>
  </r>
  <r>
    <x v="4"/>
    <x v="4"/>
    <n v="191"/>
    <n v="70"/>
    <x v="0"/>
    <x v="560"/>
    <n v="14"/>
    <n v="0"/>
    <n v="73.968708095327898"/>
    <n v="66.200404839847906"/>
    <n v="230.87062497390301"/>
    <n v="73.677171349891694"/>
    <x v="573"/>
    <n v="89.153543459499701"/>
    <x v="573"/>
    <n v="60.130835022352898"/>
    <n v="75.577893782908703"/>
    <x v="1"/>
    <n v="1"/>
    <x v="0"/>
    <n v="0"/>
    <x v="0"/>
    <x v="433"/>
  </r>
  <r>
    <x v="5"/>
    <x v="5"/>
    <n v="173"/>
    <n v="81"/>
    <x v="1"/>
    <x v="561"/>
    <n v="13"/>
    <n v="2"/>
    <n v="79.631501443917102"/>
    <n v="74.533191353215202"/>
    <n v="216.040507403758"/>
    <n v="91.3310431680178"/>
    <x v="574"/>
    <n v="79.194368678008104"/>
    <x v="574"/>
    <n v="53.701164224888601"/>
    <n v="94.5649621699352"/>
    <x v="0"/>
    <n v="1"/>
    <x v="0"/>
    <n v="0"/>
    <x v="0"/>
    <x v="296"/>
  </r>
  <r>
    <x v="6"/>
    <x v="6"/>
    <n v="176"/>
    <n v="80"/>
    <x v="3"/>
    <x v="562"/>
    <n v="21"/>
    <n v="2"/>
    <n v="74.280750051301496"/>
    <n v="88.222907741827299"/>
    <n v="229.98474569927799"/>
    <n v="87.856685869476095"/>
    <x v="575"/>
    <n v="93.765291787633103"/>
    <x v="575"/>
    <n v="60.049902582142998"/>
    <n v="74.836259450914696"/>
    <x v="1"/>
    <n v="1"/>
    <x v="0"/>
    <n v="0"/>
    <x v="0"/>
    <x v="325"/>
  </r>
  <r>
    <x v="4"/>
    <x v="4"/>
    <n v="174"/>
    <n v="91"/>
    <x v="1"/>
    <x v="563"/>
    <n v="29"/>
    <n v="2"/>
    <n v="60.491944291139497"/>
    <n v="76.323234270024201"/>
    <n v="256.89395146597701"/>
    <n v="87.182577491119702"/>
    <x v="576"/>
    <n v="64.442268795468905"/>
    <x v="576"/>
    <n v="73.841229768938106"/>
    <n v="77.541155267991996"/>
    <x v="1"/>
    <n v="0"/>
    <x v="1"/>
    <n v="1"/>
    <x v="1"/>
    <x v="434"/>
  </r>
  <r>
    <x v="2"/>
    <x v="2"/>
    <n v="180"/>
    <n v="67"/>
    <x v="1"/>
    <x v="564"/>
    <n v="17"/>
    <n v="1"/>
    <n v="73.290085362974395"/>
    <n v="75.616383351886796"/>
    <n v="249.216734604181"/>
    <n v="81.804193600771896"/>
    <x v="577"/>
    <n v="66.163554141853496"/>
    <x v="577"/>
    <n v="55.792771478525601"/>
    <n v="79.288897151007006"/>
    <x v="1"/>
    <n v="1"/>
    <x v="0"/>
    <n v="1"/>
    <x v="1"/>
    <x v="435"/>
  </r>
  <r>
    <x v="4"/>
    <x v="4"/>
    <n v="174"/>
    <n v="53"/>
    <x v="1"/>
    <x v="565"/>
    <n v="39"/>
    <n v="2"/>
    <n v="76.867502812160495"/>
    <n v="85.562935575044904"/>
    <n v="260.24840904479902"/>
    <n v="83.369932081473905"/>
    <x v="578"/>
    <n v="80.180271322556706"/>
    <x v="578"/>
    <n v="52.788797428436403"/>
    <n v="90.953537316437604"/>
    <x v="0"/>
    <n v="1"/>
    <x v="0"/>
    <n v="0"/>
    <x v="0"/>
    <x v="436"/>
  </r>
  <r>
    <x v="5"/>
    <x v="5"/>
    <n v="188"/>
    <n v="71"/>
    <x v="2"/>
    <x v="566"/>
    <n v="13"/>
    <n v="2"/>
    <n v="73.441993998762598"/>
    <n v="80.841464440961701"/>
    <n v="240.83123234484199"/>
    <n v="93.164493835202094"/>
    <x v="579"/>
    <n v="89.634468768329995"/>
    <x v="579"/>
    <n v="46.040878697718298"/>
    <n v="84.280650504540006"/>
    <x v="0"/>
    <n v="1"/>
    <x v="0"/>
    <n v="0"/>
    <x v="0"/>
    <x v="437"/>
  </r>
  <r>
    <x v="5"/>
    <x v="5"/>
    <n v="184"/>
    <n v="74"/>
    <x v="1"/>
    <x v="567"/>
    <n v="23"/>
    <n v="0"/>
    <n v="77.822689615525206"/>
    <n v="84.000458453146607"/>
    <n v="215.71227697162001"/>
    <n v="100"/>
    <x v="580"/>
    <n v="95.1577472933118"/>
    <x v="580"/>
    <n v="44.114462564688097"/>
    <n v="88.741890655572206"/>
    <x v="0"/>
    <n v="1"/>
    <x v="0"/>
    <n v="0"/>
    <x v="0"/>
    <x v="372"/>
  </r>
  <r>
    <x v="0"/>
    <x v="0"/>
    <n v="166"/>
    <n v="82"/>
    <x v="3"/>
    <x v="568"/>
    <n v="22"/>
    <n v="0"/>
    <n v="64.957765217412799"/>
    <n v="70.767731297398001"/>
    <n v="247.529265098537"/>
    <n v="81.787905984579098"/>
    <x v="581"/>
    <n v="86.519843309945998"/>
    <x v="581"/>
    <n v="38.091891708488603"/>
    <n v="64.006660211842998"/>
    <x v="1"/>
    <n v="1"/>
    <x v="0"/>
    <n v="1"/>
    <x v="1"/>
    <x v="438"/>
  </r>
  <r>
    <x v="5"/>
    <x v="5"/>
    <n v="174"/>
    <n v="68"/>
    <x v="1"/>
    <x v="569"/>
    <n v="6"/>
    <n v="0"/>
    <n v="82.277386635132004"/>
    <n v="81.884307941486597"/>
    <n v="266.70091859609602"/>
    <n v="93.135499541163099"/>
    <x v="582"/>
    <n v="81.125004210741594"/>
    <x v="582"/>
    <n v="50.951090668534199"/>
    <n v="80.753389828723002"/>
    <x v="0"/>
    <n v="0"/>
    <x v="1"/>
    <n v="0"/>
    <x v="0"/>
    <x v="439"/>
  </r>
  <r>
    <x v="5"/>
    <x v="5"/>
    <n v="184"/>
    <n v="77"/>
    <x v="2"/>
    <x v="570"/>
    <n v="31"/>
    <n v="2"/>
    <n v="63.900675791737399"/>
    <n v="80.644099062354897"/>
    <n v="240.40363752282499"/>
    <n v="85.711524794697596"/>
    <x v="583"/>
    <n v="76.313000538100397"/>
    <x v="583"/>
    <n v="63.444397428732799"/>
    <n v="65.901036822001402"/>
    <x v="1"/>
    <n v="0"/>
    <x v="1"/>
    <n v="1"/>
    <x v="1"/>
    <x v="440"/>
  </r>
  <r>
    <x v="2"/>
    <x v="2"/>
    <n v="187"/>
    <n v="72"/>
    <x v="1"/>
    <x v="571"/>
    <n v="33"/>
    <n v="3"/>
    <n v="76.612381815610107"/>
    <n v="65.596489705943597"/>
    <n v="279.55209540409101"/>
    <n v="93.007373816409796"/>
    <x v="584"/>
    <n v="64.656332154885405"/>
    <x v="584"/>
    <n v="61.619218459804401"/>
    <n v="80.466555140549005"/>
    <x v="0"/>
    <n v="1"/>
    <x v="0"/>
    <n v="1"/>
    <x v="1"/>
    <x v="151"/>
  </r>
  <r>
    <x v="2"/>
    <x v="2"/>
    <n v="177"/>
    <n v="65"/>
    <x v="2"/>
    <x v="572"/>
    <n v="18"/>
    <n v="3"/>
    <n v="80.197386872203097"/>
    <n v="80.045320882102899"/>
    <n v="236.64799875207501"/>
    <n v="83.962796253770605"/>
    <x v="585"/>
    <n v="77.968420230637804"/>
    <x v="585"/>
    <n v="50.611510970255097"/>
    <n v="57.935569513766197"/>
    <x v="2"/>
    <n v="0"/>
    <x v="1"/>
    <n v="1"/>
    <x v="1"/>
    <x v="441"/>
  </r>
  <r>
    <x v="2"/>
    <x v="2"/>
    <n v="187"/>
    <n v="65"/>
    <x v="2"/>
    <x v="573"/>
    <n v="34"/>
    <n v="1"/>
    <n v="89.304475908218194"/>
    <n v="82.642018260192998"/>
    <n v="255.12114807335999"/>
    <n v="96.905571516679103"/>
    <x v="586"/>
    <n v="87.424300769938498"/>
    <x v="586"/>
    <n v="41.619807413181199"/>
    <n v="89.241248962131905"/>
    <x v="0"/>
    <n v="0"/>
    <x v="1"/>
    <n v="0"/>
    <x v="0"/>
    <x v="442"/>
  </r>
  <r>
    <x v="5"/>
    <x v="5"/>
    <n v="178"/>
    <n v="82"/>
    <x v="1"/>
    <x v="574"/>
    <n v="33"/>
    <n v="0"/>
    <n v="74.973867340078399"/>
    <n v="77.124189203134193"/>
    <n v="261.69083757407202"/>
    <n v="83.002855396222998"/>
    <x v="587"/>
    <n v="78.172342533335197"/>
    <x v="587"/>
    <n v="59.433334829750201"/>
    <n v="70.402329882675701"/>
    <x v="1"/>
    <n v="0"/>
    <x v="1"/>
    <n v="1"/>
    <x v="1"/>
    <x v="443"/>
  </r>
  <r>
    <x v="5"/>
    <x v="5"/>
    <n v="168"/>
    <n v="77"/>
    <x v="2"/>
    <x v="575"/>
    <n v="36"/>
    <n v="2"/>
    <n v="69.645291790957899"/>
    <n v="83.144428800487404"/>
    <n v="243.22607831103801"/>
    <n v="86.086257440092396"/>
    <x v="588"/>
    <n v="79.094056703686505"/>
    <x v="588"/>
    <n v="52.129086697629603"/>
    <n v="79.555738298158403"/>
    <x v="1"/>
    <n v="1"/>
    <x v="0"/>
    <n v="0"/>
    <x v="0"/>
    <x v="189"/>
  </r>
  <r>
    <x v="0"/>
    <x v="0"/>
    <n v="189"/>
    <n v="65"/>
    <x v="3"/>
    <x v="576"/>
    <n v="16"/>
    <n v="2"/>
    <n v="73.689296840265897"/>
    <n v="73.755737121869103"/>
    <n v="276.671276873274"/>
    <n v="73.830194638803107"/>
    <x v="589"/>
    <n v="67.149686243480105"/>
    <x v="589"/>
    <n v="59.3204563157759"/>
    <n v="89.098766242508503"/>
    <x v="0"/>
    <n v="0"/>
    <x v="1"/>
    <n v="1"/>
    <x v="1"/>
    <x v="444"/>
  </r>
  <r>
    <x v="3"/>
    <x v="3"/>
    <n v="177"/>
    <n v="79"/>
    <x v="0"/>
    <x v="577"/>
    <n v="28"/>
    <n v="2"/>
    <n v="73.075185035159805"/>
    <n v="85.941410676871698"/>
    <n v="244.122230233278"/>
    <n v="73.526932672210904"/>
    <x v="590"/>
    <n v="71.438273590008606"/>
    <x v="590"/>
    <n v="53.668118770297703"/>
    <n v="76.602107666057293"/>
    <x v="1"/>
    <n v="1"/>
    <x v="0"/>
    <n v="1"/>
    <x v="1"/>
    <x v="445"/>
  </r>
  <r>
    <x v="6"/>
    <x v="6"/>
    <n v="167"/>
    <n v="70"/>
    <x v="3"/>
    <x v="578"/>
    <n v="9"/>
    <n v="0"/>
    <n v="69.040135166255197"/>
    <n v="74.058058860459298"/>
    <n v="283.30130728599499"/>
    <n v="80.775426572591002"/>
    <x v="591"/>
    <n v="73.111349963282905"/>
    <x v="591"/>
    <n v="61.562675513503102"/>
    <n v="67.993847502941094"/>
    <x v="1"/>
    <n v="1"/>
    <x v="0"/>
    <n v="1"/>
    <x v="1"/>
    <x v="446"/>
  </r>
  <r>
    <x v="3"/>
    <x v="3"/>
    <n v="178"/>
    <n v="75"/>
    <x v="0"/>
    <x v="579"/>
    <n v="29"/>
    <n v="2"/>
    <n v="85.246422717133498"/>
    <n v="84.442197252762099"/>
    <n v="232.23147769690999"/>
    <n v="83.999497591391702"/>
    <x v="592"/>
    <n v="86.321058865837799"/>
    <x v="592"/>
    <n v="52.263507397567899"/>
    <n v="77.375363458421802"/>
    <x v="1"/>
    <n v="1"/>
    <x v="0"/>
    <n v="0"/>
    <x v="0"/>
    <x v="49"/>
  </r>
  <r>
    <x v="5"/>
    <x v="5"/>
    <n v="184"/>
    <n v="72"/>
    <x v="0"/>
    <x v="580"/>
    <n v="24"/>
    <n v="4"/>
    <n v="67.403529226798"/>
    <n v="75.992650853242495"/>
    <n v="265.717421135969"/>
    <n v="68.979218111030903"/>
    <x v="593"/>
    <n v="89.799414623054602"/>
    <x v="593"/>
    <n v="67.305191597929706"/>
    <n v="72.787591657886495"/>
    <x v="1"/>
    <n v="1"/>
    <x v="0"/>
    <n v="1"/>
    <x v="1"/>
    <x v="447"/>
  </r>
  <r>
    <x v="1"/>
    <x v="1"/>
    <n v="169"/>
    <n v="71"/>
    <x v="0"/>
    <x v="581"/>
    <n v="38"/>
    <n v="1"/>
    <n v="56.6644815250609"/>
    <n v="73.278333785901495"/>
    <n v="263.96242663060099"/>
    <n v="86.866006879262201"/>
    <x v="594"/>
    <n v="73.617716740780693"/>
    <x v="594"/>
    <n v="61.349900066954298"/>
    <n v="76.774574517485405"/>
    <x v="1"/>
    <n v="1"/>
    <x v="0"/>
    <n v="1"/>
    <x v="1"/>
    <x v="67"/>
  </r>
  <r>
    <x v="2"/>
    <x v="2"/>
    <n v="177"/>
    <n v="85"/>
    <x v="0"/>
    <x v="582"/>
    <n v="31"/>
    <n v="1"/>
    <n v="66.336396986422301"/>
    <n v="64.579089805912801"/>
    <n v="239.16659218613299"/>
    <n v="78.602723500528896"/>
    <x v="595"/>
    <n v="74.284448534536395"/>
    <x v="595"/>
    <n v="50.9608774664202"/>
    <n v="82.320332357401597"/>
    <x v="0"/>
    <n v="1"/>
    <x v="0"/>
    <n v="1"/>
    <x v="1"/>
    <x v="200"/>
  </r>
  <r>
    <x v="1"/>
    <x v="1"/>
    <n v="178"/>
    <n v="76"/>
    <x v="2"/>
    <x v="583"/>
    <n v="26"/>
    <n v="0"/>
    <n v="87.171156117473302"/>
    <n v="88.834637960461393"/>
    <n v="230.82357903105"/>
    <n v="90.731072993120605"/>
    <x v="596"/>
    <n v="91.555973619591299"/>
    <x v="596"/>
    <n v="40.446631504902697"/>
    <n v="81.645656815661695"/>
    <x v="0"/>
    <n v="1"/>
    <x v="0"/>
    <n v="0"/>
    <x v="0"/>
    <x v="226"/>
  </r>
  <r>
    <x v="0"/>
    <x v="0"/>
    <n v="167"/>
    <n v="59"/>
    <x v="1"/>
    <x v="584"/>
    <n v="10"/>
    <n v="2"/>
    <n v="77.197471947000494"/>
    <n v="82.828863769838506"/>
    <n v="262.14889815483099"/>
    <n v="79.899757373587803"/>
    <x v="597"/>
    <n v="77.235056905514597"/>
    <x v="597"/>
    <n v="57.173884580872198"/>
    <n v="76.639534669782506"/>
    <x v="1"/>
    <n v="0"/>
    <x v="1"/>
    <n v="1"/>
    <x v="1"/>
    <x v="390"/>
  </r>
  <r>
    <x v="5"/>
    <x v="5"/>
    <n v="176"/>
    <n v="84"/>
    <x v="0"/>
    <x v="585"/>
    <n v="36"/>
    <n v="1"/>
    <n v="77.299096362316902"/>
    <n v="90.717707680346706"/>
    <n v="252.285522826826"/>
    <n v="77.491130827267398"/>
    <x v="598"/>
    <n v="92.896729315262306"/>
    <x v="598"/>
    <n v="55.3480668695601"/>
    <n v="95.890571152372701"/>
    <x v="0"/>
    <n v="0"/>
    <x v="1"/>
    <n v="0"/>
    <x v="0"/>
    <x v="448"/>
  </r>
  <r>
    <x v="5"/>
    <x v="5"/>
    <n v="191"/>
    <n v="77"/>
    <x v="1"/>
    <x v="586"/>
    <n v="8"/>
    <n v="3"/>
    <n v="68.122038289537898"/>
    <n v="68.551676609744206"/>
    <n v="244.70110197817201"/>
    <n v="91.507575716735204"/>
    <x v="599"/>
    <n v="85.379274448176801"/>
    <x v="599"/>
    <n v="68.885299183300702"/>
    <n v="75.756092662031705"/>
    <x v="1"/>
    <n v="0"/>
    <x v="1"/>
    <n v="0"/>
    <x v="0"/>
    <x v="449"/>
  </r>
  <r>
    <x v="6"/>
    <x v="6"/>
    <n v="175"/>
    <n v="70"/>
    <x v="2"/>
    <x v="587"/>
    <n v="5"/>
    <n v="0"/>
    <n v="74.219592042291197"/>
    <n v="69.961639911741699"/>
    <n v="271.48987617545498"/>
    <n v="87.498288374116697"/>
    <x v="600"/>
    <n v="72.058437018646401"/>
    <x v="600"/>
    <n v="61.018065015884297"/>
    <n v="79.351819595047601"/>
    <x v="1"/>
    <n v="1"/>
    <x v="0"/>
    <n v="1"/>
    <x v="1"/>
    <x v="392"/>
  </r>
  <r>
    <x v="5"/>
    <x v="5"/>
    <n v="181"/>
    <n v="89"/>
    <x v="3"/>
    <x v="588"/>
    <n v="18"/>
    <n v="1"/>
    <n v="74.042859280029305"/>
    <n v="87.162325788571493"/>
    <n v="221.29282539707199"/>
    <n v="77.850996269648604"/>
    <x v="601"/>
    <n v="90.8452695850021"/>
    <x v="601"/>
    <n v="36.030686968196598"/>
    <n v="74.972834715428107"/>
    <x v="1"/>
    <n v="0"/>
    <x v="1"/>
    <n v="0"/>
    <x v="0"/>
    <x v="146"/>
  </r>
  <r>
    <x v="2"/>
    <x v="2"/>
    <n v="183"/>
    <n v="68"/>
    <x v="3"/>
    <x v="589"/>
    <n v="38"/>
    <n v="0"/>
    <n v="78.311437841565905"/>
    <n v="74.240253412512203"/>
    <n v="271.34002032685402"/>
    <n v="86.443746759942698"/>
    <x v="602"/>
    <n v="76.674651904399298"/>
    <x v="602"/>
    <n v="46.676335818628303"/>
    <n v="79.711399760391998"/>
    <x v="1"/>
    <n v="1"/>
    <x v="0"/>
    <n v="0"/>
    <x v="0"/>
    <x v="120"/>
  </r>
  <r>
    <x v="4"/>
    <x v="4"/>
    <n v="185"/>
    <n v="69"/>
    <x v="0"/>
    <x v="590"/>
    <n v="24"/>
    <n v="1"/>
    <n v="75.489483153317195"/>
    <n v="76.924255619434305"/>
    <n v="245.986794312775"/>
    <n v="82.355308307229905"/>
    <x v="603"/>
    <n v="73.347928694439204"/>
    <x v="603"/>
    <n v="52.494432858953999"/>
    <n v="67.711061467256599"/>
    <x v="1"/>
    <n v="1"/>
    <x v="0"/>
    <n v="0"/>
    <x v="0"/>
    <x v="102"/>
  </r>
  <r>
    <x v="0"/>
    <x v="0"/>
    <n v="174"/>
    <n v="61"/>
    <x v="1"/>
    <x v="591"/>
    <n v="11"/>
    <n v="2"/>
    <n v="75.302994541492197"/>
    <n v="73.709531351790304"/>
    <n v="231.83688864130301"/>
    <n v="85.705085266758701"/>
    <x v="604"/>
    <n v="79.412747953201105"/>
    <x v="604"/>
    <n v="28.5130079199132"/>
    <n v="82.507278750742003"/>
    <x v="0"/>
    <n v="1"/>
    <x v="0"/>
    <n v="0"/>
    <x v="0"/>
    <x v="165"/>
  </r>
  <r>
    <x v="2"/>
    <x v="2"/>
    <n v="170"/>
    <n v="78"/>
    <x v="2"/>
    <x v="592"/>
    <n v="27"/>
    <n v="5"/>
    <n v="84.453050235477505"/>
    <n v="90.519342106933905"/>
    <n v="268.09695713411003"/>
    <n v="82.890891735456094"/>
    <x v="605"/>
    <n v="88.910173236142299"/>
    <x v="605"/>
    <n v="58.118150184314899"/>
    <n v="69.932864222641399"/>
    <x v="1"/>
    <n v="0"/>
    <x v="1"/>
    <n v="1"/>
    <x v="1"/>
    <x v="65"/>
  </r>
  <r>
    <x v="1"/>
    <x v="1"/>
    <n v="180"/>
    <n v="82"/>
    <x v="1"/>
    <x v="593"/>
    <n v="26"/>
    <n v="0"/>
    <n v="84.443468077492597"/>
    <n v="90.764294209554393"/>
    <n v="232.890353793304"/>
    <n v="82.199026253731802"/>
    <x v="606"/>
    <n v="82.724192636884595"/>
    <x v="606"/>
    <n v="28.7471074393344"/>
    <n v="85.169365320034998"/>
    <x v="0"/>
    <n v="1"/>
    <x v="0"/>
    <n v="0"/>
    <x v="0"/>
    <x v="450"/>
  </r>
  <r>
    <x v="2"/>
    <x v="2"/>
    <n v="178"/>
    <n v="72"/>
    <x v="0"/>
    <x v="594"/>
    <n v="14"/>
    <n v="2"/>
    <n v="81.857176570856893"/>
    <n v="71.712956253019101"/>
    <n v="243.48525025220201"/>
    <n v="87.322733435207795"/>
    <x v="607"/>
    <n v="83.592643559813993"/>
    <x v="607"/>
    <n v="53.498681294886097"/>
    <n v="83.415255341157902"/>
    <x v="0"/>
    <n v="1"/>
    <x v="0"/>
    <n v="0"/>
    <x v="0"/>
    <x v="451"/>
  </r>
  <r>
    <x v="6"/>
    <x v="6"/>
    <n v="176"/>
    <n v="93"/>
    <x v="3"/>
    <x v="595"/>
    <n v="25"/>
    <n v="2"/>
    <n v="75.339844665825893"/>
    <n v="78.779053785109397"/>
    <n v="221.638175220091"/>
    <n v="83.438735699445203"/>
    <x v="608"/>
    <n v="76.7274719360163"/>
    <x v="608"/>
    <n v="64.016048466031805"/>
    <n v="70.208631184918204"/>
    <x v="1"/>
    <n v="1"/>
    <x v="0"/>
    <n v="0"/>
    <x v="0"/>
    <x v="452"/>
  </r>
  <r>
    <x v="6"/>
    <x v="6"/>
    <n v="185"/>
    <n v="80"/>
    <x v="1"/>
    <x v="596"/>
    <n v="22"/>
    <n v="0"/>
    <n v="74.241261670726502"/>
    <n v="81.367881253412605"/>
    <n v="262.72149261190998"/>
    <n v="84.607540089343104"/>
    <x v="609"/>
    <n v="90.256003590534107"/>
    <x v="609"/>
    <n v="56.086535638793997"/>
    <n v="63.602957908491902"/>
    <x v="1"/>
    <n v="1"/>
    <x v="0"/>
    <n v="0"/>
    <x v="0"/>
    <x v="453"/>
  </r>
  <r>
    <x v="2"/>
    <x v="2"/>
    <n v="188"/>
    <n v="67"/>
    <x v="3"/>
    <x v="597"/>
    <n v="23"/>
    <n v="2"/>
    <n v="68.201012054506094"/>
    <n v="66.586636017424993"/>
    <n v="290.75458488037702"/>
    <n v="84.395467154574504"/>
    <x v="610"/>
    <n v="71.031450100338205"/>
    <x v="610"/>
    <n v="54.0946936945438"/>
    <n v="75.134403536160505"/>
    <x v="1"/>
    <n v="1"/>
    <x v="0"/>
    <n v="1"/>
    <x v="1"/>
    <x v="454"/>
  </r>
  <r>
    <x v="0"/>
    <x v="0"/>
    <n v="180"/>
    <n v="63"/>
    <x v="0"/>
    <x v="598"/>
    <n v="31"/>
    <n v="2"/>
    <n v="80.938717336783199"/>
    <n v="80.385175962580007"/>
    <n v="207.651238917955"/>
    <n v="99.276614901806994"/>
    <x v="611"/>
    <n v="94.199342709136204"/>
    <x v="611"/>
    <n v="49.235614732371602"/>
    <n v="79.405918122368007"/>
    <x v="1"/>
    <n v="0"/>
    <x v="1"/>
    <n v="0"/>
    <x v="0"/>
    <x v="455"/>
  </r>
  <r>
    <x v="0"/>
    <x v="0"/>
    <n v="182"/>
    <n v="66"/>
    <x v="3"/>
    <x v="599"/>
    <n v="26"/>
    <n v="1"/>
    <n v="74.942119564776206"/>
    <n v="80.524437765540497"/>
    <n v="242.534404646844"/>
    <n v="87.751389207863596"/>
    <x v="612"/>
    <n v="78.106703526048804"/>
    <x v="612"/>
    <n v="52.570109043610998"/>
    <n v="71.733950938209105"/>
    <x v="1"/>
    <n v="1"/>
    <x v="0"/>
    <n v="0"/>
    <x v="0"/>
    <x v="275"/>
  </r>
  <r>
    <x v="4"/>
    <x v="4"/>
    <n v="177"/>
    <n v="89"/>
    <x v="0"/>
    <x v="600"/>
    <n v="17"/>
    <n v="0"/>
    <n v="79.104295679022201"/>
    <n v="86.361765409543594"/>
    <n v="263.988260176285"/>
    <n v="83.443153070794494"/>
    <x v="613"/>
    <n v="74.115125047584101"/>
    <x v="613"/>
    <n v="51.338652522822002"/>
    <n v="66.965791114246201"/>
    <x v="1"/>
    <n v="0"/>
    <x v="1"/>
    <n v="1"/>
    <x v="1"/>
    <x v="119"/>
  </r>
  <r>
    <x v="6"/>
    <x v="6"/>
    <n v="188"/>
    <n v="89"/>
    <x v="1"/>
    <x v="601"/>
    <n v="27"/>
    <n v="2"/>
    <n v="78.547613059963695"/>
    <n v="78.061504537758296"/>
    <n v="248.55944933398999"/>
    <n v="84.586580780486798"/>
    <x v="614"/>
    <n v="94.668408189104198"/>
    <x v="614"/>
    <n v="43.896208797958401"/>
    <n v="85.218498848542197"/>
    <x v="0"/>
    <n v="0"/>
    <x v="1"/>
    <n v="0"/>
    <x v="0"/>
    <x v="456"/>
  </r>
  <r>
    <x v="0"/>
    <x v="0"/>
    <n v="174"/>
    <n v="80"/>
    <x v="1"/>
    <x v="602"/>
    <n v="12"/>
    <n v="1"/>
    <n v="75.251751227929802"/>
    <n v="84.144265086836995"/>
    <n v="225.85182996037801"/>
    <n v="95.044509101901397"/>
    <x v="615"/>
    <n v="82.237572672597693"/>
    <x v="615"/>
    <n v="44.416623277155303"/>
    <n v="76.448754576722706"/>
    <x v="1"/>
    <n v="1"/>
    <x v="0"/>
    <n v="0"/>
    <x v="0"/>
    <x v="301"/>
  </r>
  <r>
    <x v="0"/>
    <x v="0"/>
    <n v="173"/>
    <n v="81"/>
    <x v="0"/>
    <x v="603"/>
    <n v="15"/>
    <n v="1"/>
    <n v="80.617669774232894"/>
    <n v="78.546537380349207"/>
    <n v="213.75551227796799"/>
    <n v="91.486359549550798"/>
    <x v="616"/>
    <n v="78.948503838343299"/>
    <x v="616"/>
    <n v="50.609202567109399"/>
    <n v="69.708496906049007"/>
    <x v="1"/>
    <n v="1"/>
    <x v="0"/>
    <n v="0"/>
    <x v="0"/>
    <x v="296"/>
  </r>
  <r>
    <x v="1"/>
    <x v="1"/>
    <n v="183"/>
    <n v="78"/>
    <x v="0"/>
    <x v="604"/>
    <n v="12"/>
    <n v="1"/>
    <n v="72.457154733123801"/>
    <n v="74.546243986912103"/>
    <n v="285.06115236361302"/>
    <n v="81.756833384793097"/>
    <x v="617"/>
    <n v="78.672863331960897"/>
    <x v="617"/>
    <n v="55.796254362155302"/>
    <n v="74.633735641136496"/>
    <x v="1"/>
    <n v="1"/>
    <x v="0"/>
    <n v="1"/>
    <x v="1"/>
    <x v="402"/>
  </r>
  <r>
    <x v="5"/>
    <x v="5"/>
    <n v="171"/>
    <n v="67"/>
    <x v="2"/>
    <x v="605"/>
    <n v="22"/>
    <n v="4"/>
    <n v="79.630905016259007"/>
    <n v="78.213509710871094"/>
    <n v="303.30029475555898"/>
    <n v="83.728949245357398"/>
    <x v="618"/>
    <n v="77.452984306778305"/>
    <x v="618"/>
    <n v="62.014528198955603"/>
    <n v="78.655101090612405"/>
    <x v="1"/>
    <n v="1"/>
    <x v="0"/>
    <n v="1"/>
    <x v="1"/>
    <x v="457"/>
  </r>
  <r>
    <x v="0"/>
    <x v="0"/>
    <n v="177"/>
    <n v="74"/>
    <x v="0"/>
    <x v="606"/>
    <n v="24"/>
    <n v="0"/>
    <n v="81.108681495932899"/>
    <n v="73.0245678839824"/>
    <n v="200.48681720525701"/>
    <n v="84.685850614370096"/>
    <x v="619"/>
    <n v="84.486626122108106"/>
    <x v="619"/>
    <n v="60.077965821459003"/>
    <n v="82.717663982262295"/>
    <x v="0"/>
    <n v="1"/>
    <x v="0"/>
    <n v="0"/>
    <x v="0"/>
    <x v="94"/>
  </r>
  <r>
    <x v="3"/>
    <x v="3"/>
    <n v="177"/>
    <n v="88"/>
    <x v="1"/>
    <x v="607"/>
    <n v="15"/>
    <n v="1"/>
    <n v="72.904751896037297"/>
    <n v="84.203498384891603"/>
    <n v="213.86187391020599"/>
    <n v="86.496869183837703"/>
    <x v="620"/>
    <n v="86.522590312126994"/>
    <x v="620"/>
    <n v="53.315571986676197"/>
    <n v="53.788259785807497"/>
    <x v="2"/>
    <n v="1"/>
    <x v="0"/>
    <n v="0"/>
    <x v="0"/>
    <x v="70"/>
  </r>
  <r>
    <x v="0"/>
    <x v="0"/>
    <n v="173"/>
    <n v="74"/>
    <x v="3"/>
    <x v="608"/>
    <n v="12"/>
    <n v="1"/>
    <n v="73.748106624625095"/>
    <n v="71.549882337381803"/>
    <n v="243.99280460149501"/>
    <n v="87.059195306550905"/>
    <x v="621"/>
    <n v="80.527578590778901"/>
    <x v="621"/>
    <n v="34.702364891077302"/>
    <n v="64.781849358306204"/>
    <x v="1"/>
    <n v="0"/>
    <x v="1"/>
    <n v="1"/>
    <x v="1"/>
    <x v="458"/>
  </r>
  <r>
    <x v="0"/>
    <x v="0"/>
    <n v="164"/>
    <n v="62"/>
    <x v="3"/>
    <x v="609"/>
    <n v="13"/>
    <n v="1"/>
    <n v="62.174421229221899"/>
    <n v="82.773275541241503"/>
    <n v="209.94908550154099"/>
    <n v="77.371515438979799"/>
    <x v="622"/>
    <n v="73.156167191589702"/>
    <x v="622"/>
    <n v="61.613145321876601"/>
    <n v="61.542872761877597"/>
    <x v="1"/>
    <n v="0"/>
    <x v="1"/>
    <n v="1"/>
    <x v="1"/>
    <x v="459"/>
  </r>
  <r>
    <x v="0"/>
    <x v="0"/>
    <n v="170"/>
    <n v="65"/>
    <x v="2"/>
    <x v="610"/>
    <n v="10"/>
    <n v="1"/>
    <n v="69.941293999883101"/>
    <n v="77.660227672664206"/>
    <n v="229.11240821303599"/>
    <n v="89.046026199559194"/>
    <x v="623"/>
    <n v="75.679382524965504"/>
    <x v="623"/>
    <n v="35.648413537207098"/>
    <n v="81.616178536275996"/>
    <x v="0"/>
    <n v="1"/>
    <x v="0"/>
    <n v="0"/>
    <x v="0"/>
    <x v="460"/>
  </r>
  <r>
    <x v="3"/>
    <x v="3"/>
    <n v="171"/>
    <n v="80"/>
    <x v="3"/>
    <x v="140"/>
    <n v="12"/>
    <n v="0"/>
    <n v="78.493239665246406"/>
    <n v="67.711580591593702"/>
    <n v="241.753418222384"/>
    <n v="81.790430114683303"/>
    <x v="624"/>
    <n v="63.818534971496497"/>
    <x v="624"/>
    <n v="64.918272101653102"/>
    <n v="73.342544995999205"/>
    <x v="1"/>
    <n v="0"/>
    <x v="1"/>
    <n v="1"/>
    <x v="1"/>
    <x v="461"/>
  </r>
  <r>
    <x v="4"/>
    <x v="4"/>
    <n v="164"/>
    <n v="74"/>
    <x v="2"/>
    <x v="611"/>
    <n v="38"/>
    <n v="1"/>
    <n v="78.386020433768905"/>
    <n v="86.763839019618004"/>
    <n v="244.35278128237999"/>
    <n v="91.848489373126299"/>
    <x v="625"/>
    <n v="85.261585453236407"/>
    <x v="625"/>
    <n v="52.368819542155997"/>
    <n v="79.675998076344399"/>
    <x v="1"/>
    <n v="0"/>
    <x v="1"/>
    <n v="0"/>
    <x v="0"/>
    <x v="462"/>
  </r>
  <r>
    <x v="4"/>
    <x v="4"/>
    <n v="175"/>
    <n v="86"/>
    <x v="2"/>
    <x v="612"/>
    <n v="18"/>
    <n v="1"/>
    <n v="81.301005512619597"/>
    <n v="84.054015419951597"/>
    <n v="180"/>
    <n v="88.984960099491403"/>
    <x v="626"/>
    <n v="89.997489875158806"/>
    <x v="626"/>
    <n v="29.786196359311301"/>
    <n v="78.327423309410506"/>
    <x v="1"/>
    <n v="1"/>
    <x v="0"/>
    <n v="0"/>
    <x v="0"/>
    <x v="463"/>
  </r>
  <r>
    <x v="2"/>
    <x v="2"/>
    <n v="166"/>
    <n v="61"/>
    <x v="2"/>
    <x v="613"/>
    <n v="18"/>
    <n v="1"/>
    <n v="81.106490821186895"/>
    <n v="78.541551447807294"/>
    <n v="281.16105564003198"/>
    <n v="76.809128938275705"/>
    <x v="627"/>
    <n v="71.029575912721995"/>
    <x v="627"/>
    <n v="64.791204375270098"/>
    <n v="85.799422272335306"/>
    <x v="0"/>
    <n v="1"/>
    <x v="0"/>
    <n v="1"/>
    <x v="1"/>
    <x v="464"/>
  </r>
  <r>
    <x v="0"/>
    <x v="0"/>
    <n v="176"/>
    <n v="69"/>
    <x v="3"/>
    <x v="614"/>
    <n v="9"/>
    <n v="1"/>
    <n v="79.963361016833105"/>
    <n v="78.793832991729303"/>
    <n v="258.09811075006598"/>
    <n v="81.760596967874903"/>
    <x v="628"/>
    <n v="81.125914995444205"/>
    <x v="628"/>
    <n v="60.177086841699001"/>
    <n v="66.965220705526903"/>
    <x v="1"/>
    <n v="0"/>
    <x v="1"/>
    <n v="1"/>
    <x v="1"/>
    <x v="465"/>
  </r>
  <r>
    <x v="2"/>
    <x v="2"/>
    <n v="183"/>
    <n v="71"/>
    <x v="2"/>
    <x v="615"/>
    <n v="39"/>
    <n v="2"/>
    <n v="83.792824973422299"/>
    <n v="83.455448136141896"/>
    <n v="260.25616019340902"/>
    <n v="92.8363450297702"/>
    <x v="629"/>
    <n v="86.999094156331296"/>
    <x v="629"/>
    <n v="52.191992744261697"/>
    <n v="85.804311744748503"/>
    <x v="0"/>
    <n v="1"/>
    <x v="0"/>
    <n v="0"/>
    <x v="0"/>
    <x v="63"/>
  </r>
  <r>
    <x v="2"/>
    <x v="2"/>
    <n v="177"/>
    <n v="83"/>
    <x v="3"/>
    <x v="616"/>
    <n v="25"/>
    <n v="2"/>
    <n v="83.711568655873094"/>
    <n v="83.116858250068503"/>
    <n v="268.140895286545"/>
    <n v="76.6570704435875"/>
    <x v="630"/>
    <n v="78.588764122690804"/>
    <x v="630"/>
    <n v="43.326413684104097"/>
    <n v="66.0806963594991"/>
    <x v="1"/>
    <n v="1"/>
    <x v="0"/>
    <n v="1"/>
    <x v="1"/>
    <x v="171"/>
  </r>
  <r>
    <x v="1"/>
    <x v="1"/>
    <n v="181"/>
    <n v="65"/>
    <x v="0"/>
    <x v="617"/>
    <n v="25"/>
    <n v="1"/>
    <n v="77.3749690478693"/>
    <n v="86.053656128828706"/>
    <n v="288.54118807900602"/>
    <n v="77.753776608642198"/>
    <x v="631"/>
    <n v="62.835094391214"/>
    <x v="631"/>
    <n v="67.480546242946502"/>
    <n v="70.290397671379196"/>
    <x v="1"/>
    <n v="0"/>
    <x v="1"/>
    <n v="1"/>
    <x v="1"/>
    <x v="157"/>
  </r>
  <r>
    <x v="0"/>
    <x v="0"/>
    <n v="178"/>
    <n v="86"/>
    <x v="1"/>
    <x v="618"/>
    <n v="23"/>
    <n v="4"/>
    <n v="69.412925038848499"/>
    <n v="79.681251738976897"/>
    <n v="229.614178646504"/>
    <n v="81.367092316979907"/>
    <x v="632"/>
    <n v="72.684829555842597"/>
    <x v="632"/>
    <n v="49.754052915326596"/>
    <n v="67.993225497426707"/>
    <x v="1"/>
    <n v="0"/>
    <x v="1"/>
    <n v="1"/>
    <x v="1"/>
    <x v="300"/>
  </r>
  <r>
    <x v="5"/>
    <x v="5"/>
    <n v="191"/>
    <n v="83"/>
    <x v="0"/>
    <x v="619"/>
    <n v="22"/>
    <n v="4"/>
    <n v="73.7045772660571"/>
    <n v="74.829349383687997"/>
    <n v="269.485986905478"/>
    <n v="80.737669472683606"/>
    <x v="633"/>
    <n v="69.155899940770695"/>
    <x v="633"/>
    <n v="68.164054595615298"/>
    <n v="62.644932893117897"/>
    <x v="1"/>
    <n v="1"/>
    <x v="0"/>
    <n v="1"/>
    <x v="1"/>
    <x v="270"/>
  </r>
  <r>
    <x v="4"/>
    <x v="4"/>
    <n v="172"/>
    <n v="85"/>
    <x v="1"/>
    <x v="620"/>
    <n v="6"/>
    <n v="0"/>
    <n v="66.750079266633804"/>
    <n v="86.143451925698699"/>
    <n v="198.544182017645"/>
    <n v="82.074152591626003"/>
    <x v="634"/>
    <n v="80.123217531477295"/>
    <x v="634"/>
    <n v="54.339291094024503"/>
    <n v="89.038781746840201"/>
    <x v="0"/>
    <n v="0"/>
    <x v="1"/>
    <n v="0"/>
    <x v="0"/>
    <x v="125"/>
  </r>
  <r>
    <x v="5"/>
    <x v="5"/>
    <n v="166"/>
    <n v="65"/>
    <x v="3"/>
    <x v="621"/>
    <n v="34"/>
    <n v="3"/>
    <n v="81.558957398321198"/>
    <n v="81.854904881777998"/>
    <n v="253.32371532300101"/>
    <n v="78.294372202285899"/>
    <x v="635"/>
    <n v="61.305726963489199"/>
    <x v="635"/>
    <n v="35.6440751316525"/>
    <n v="65.928685122603397"/>
    <x v="1"/>
    <n v="1"/>
    <x v="0"/>
    <n v="0"/>
    <x v="0"/>
    <x v="466"/>
  </r>
  <r>
    <x v="3"/>
    <x v="3"/>
    <n v="182"/>
    <n v="82"/>
    <x v="3"/>
    <x v="622"/>
    <n v="33"/>
    <n v="2"/>
    <n v="67.823246093906704"/>
    <n v="81.850462728870696"/>
    <n v="225.65583873852299"/>
    <n v="86.715529448151997"/>
    <x v="636"/>
    <n v="77.329882437174604"/>
    <x v="636"/>
    <n v="62.001646875365303"/>
    <n v="64.614174341471795"/>
    <x v="1"/>
    <n v="0"/>
    <x v="1"/>
    <n v="0"/>
    <x v="0"/>
    <x v="309"/>
  </r>
  <r>
    <x v="0"/>
    <x v="0"/>
    <n v="171"/>
    <n v="69"/>
    <x v="1"/>
    <x v="623"/>
    <n v="13"/>
    <n v="1"/>
    <n v="71.192741226953601"/>
    <n v="76.124095556170303"/>
    <n v="251.05808027249199"/>
    <n v="78.959214890745997"/>
    <x v="637"/>
    <n v="71.196150598487407"/>
    <x v="637"/>
    <n v="60.4883995341429"/>
    <n v="61.231817670377602"/>
    <x v="1"/>
    <n v="1"/>
    <x v="0"/>
    <n v="1"/>
    <x v="1"/>
    <x v="44"/>
  </r>
  <r>
    <x v="4"/>
    <x v="4"/>
    <n v="169"/>
    <n v="59"/>
    <x v="1"/>
    <x v="624"/>
    <n v="6"/>
    <n v="1"/>
    <n v="79.480920317585898"/>
    <n v="70.240104864357093"/>
    <n v="222.41127898487201"/>
    <n v="92.984489984388603"/>
    <x v="638"/>
    <n v="96.817813037711701"/>
    <x v="638"/>
    <n v="37.919725964506"/>
    <n v="82.918029185777399"/>
    <x v="0"/>
    <n v="1"/>
    <x v="0"/>
    <n v="0"/>
    <x v="0"/>
    <x v="467"/>
  </r>
  <r>
    <x v="2"/>
    <x v="2"/>
    <n v="171"/>
    <n v="78"/>
    <x v="0"/>
    <x v="625"/>
    <n v="28"/>
    <n v="0"/>
    <n v="80.713708104749799"/>
    <n v="81.042208129656103"/>
    <n v="242.30874728879101"/>
    <n v="84.675663125026205"/>
    <x v="639"/>
    <n v="90.390408095260298"/>
    <x v="639"/>
    <n v="61.470563250803103"/>
    <n v="89.448083959379602"/>
    <x v="0"/>
    <n v="1"/>
    <x v="0"/>
    <n v="0"/>
    <x v="0"/>
    <x v="395"/>
  </r>
  <r>
    <x v="1"/>
    <x v="1"/>
    <n v="183"/>
    <n v="72"/>
    <x v="3"/>
    <x v="626"/>
    <n v="32"/>
    <n v="1"/>
    <n v="84.750831419889295"/>
    <n v="82.114081814415201"/>
    <n v="269.322856609459"/>
    <n v="95.093973916154397"/>
    <x v="640"/>
    <n v="81.840573311507399"/>
    <x v="640"/>
    <n v="33.349497796912502"/>
    <n v="72.699024460886406"/>
    <x v="1"/>
    <n v="1"/>
    <x v="0"/>
    <n v="0"/>
    <x v="0"/>
    <x v="12"/>
  </r>
  <r>
    <x v="5"/>
    <x v="5"/>
    <n v="183"/>
    <n v="71"/>
    <x v="0"/>
    <x v="627"/>
    <n v="36"/>
    <n v="0"/>
    <n v="88.317681400475493"/>
    <n v="76.852810598550803"/>
    <n v="250.921595073611"/>
    <n v="91.981248893367095"/>
    <x v="641"/>
    <n v="84.922674524313706"/>
    <x v="641"/>
    <n v="30.793456336166699"/>
    <n v="79.792038133883594"/>
    <x v="1"/>
    <n v="1"/>
    <x v="0"/>
    <n v="0"/>
    <x v="0"/>
    <x v="63"/>
  </r>
  <r>
    <x v="3"/>
    <x v="3"/>
    <n v="182"/>
    <n v="63"/>
    <x v="2"/>
    <x v="628"/>
    <n v="16"/>
    <n v="1"/>
    <n v="85.308366448567597"/>
    <n v="91.483524742277098"/>
    <n v="262.67694797381398"/>
    <n v="84.796886650337399"/>
    <x v="642"/>
    <n v="77.102559502418401"/>
    <x v="642"/>
    <n v="48.098171423742301"/>
    <n v="71.019022542822299"/>
    <x v="1"/>
    <n v="0"/>
    <x v="1"/>
    <n v="0"/>
    <x v="0"/>
    <x v="416"/>
  </r>
  <r>
    <x v="1"/>
    <x v="1"/>
    <n v="184"/>
    <n v="52"/>
    <x v="0"/>
    <x v="629"/>
    <n v="22"/>
    <n v="0"/>
    <n v="69.316085275657002"/>
    <n v="86.041005652787803"/>
    <n v="211.880935823047"/>
    <n v="93.5760150937448"/>
    <x v="643"/>
    <n v="77.155870911451998"/>
    <x v="643"/>
    <n v="45.665724206066201"/>
    <n v="87.889510135075398"/>
    <x v="0"/>
    <n v="0"/>
    <x v="1"/>
    <n v="0"/>
    <x v="0"/>
    <x v="468"/>
  </r>
  <r>
    <x v="4"/>
    <x v="4"/>
    <n v="177"/>
    <n v="82"/>
    <x v="0"/>
    <x v="630"/>
    <n v="38"/>
    <n v="0"/>
    <n v="79.614745713237696"/>
    <n v="68.608826295447003"/>
    <n v="244.83382934524101"/>
    <n v="91.139059737421505"/>
    <x v="644"/>
    <n v="82.303181512378302"/>
    <x v="644"/>
    <n v="38.847289938105803"/>
    <n v="82.324508612407598"/>
    <x v="0"/>
    <n v="1"/>
    <x v="0"/>
    <n v="0"/>
    <x v="0"/>
    <x v="257"/>
  </r>
  <r>
    <x v="3"/>
    <x v="3"/>
    <n v="177"/>
    <n v="58"/>
    <x v="0"/>
    <x v="631"/>
    <n v="11"/>
    <n v="3"/>
    <n v="64.476692839444397"/>
    <n v="93.451457056040297"/>
    <n v="230.063164903363"/>
    <n v="93.714051050930394"/>
    <x v="645"/>
    <n v="87.093815847357405"/>
    <x v="645"/>
    <n v="40.255864844776198"/>
    <n v="86.467115516646899"/>
    <x v="0"/>
    <n v="1"/>
    <x v="0"/>
    <n v="0"/>
    <x v="0"/>
    <x v="117"/>
  </r>
  <r>
    <x v="4"/>
    <x v="4"/>
    <n v="176"/>
    <n v="60"/>
    <x v="2"/>
    <x v="632"/>
    <n v="17"/>
    <n v="1"/>
    <n v="78.9231939247898"/>
    <n v="72.119729625140295"/>
    <n v="206.40899034295501"/>
    <n v="82.046039417276702"/>
    <x v="646"/>
    <n v="82.313935592189793"/>
    <x v="646"/>
    <n v="30.317169261033001"/>
    <n v="64.631913340541601"/>
    <x v="1"/>
    <n v="1"/>
    <x v="0"/>
    <n v="0"/>
    <x v="0"/>
    <x v="319"/>
  </r>
  <r>
    <x v="2"/>
    <x v="2"/>
    <n v="185"/>
    <n v="77"/>
    <x v="1"/>
    <x v="633"/>
    <n v="32"/>
    <n v="0"/>
    <n v="73.718169266455405"/>
    <n v="96.487291623177398"/>
    <n v="256.52961369665297"/>
    <n v="95.389848333336801"/>
    <x v="647"/>
    <n v="79.500519404195401"/>
    <x v="647"/>
    <n v="62.561419042844598"/>
    <n v="84.088898959532102"/>
    <x v="0"/>
    <n v="0"/>
    <x v="1"/>
    <n v="0"/>
    <x v="0"/>
    <x v="95"/>
  </r>
  <r>
    <x v="1"/>
    <x v="1"/>
    <n v="187"/>
    <n v="91"/>
    <x v="0"/>
    <x v="634"/>
    <n v="10"/>
    <n v="2"/>
    <n v="72.500880497961603"/>
    <n v="79.815953960306402"/>
    <n v="215.20438917413901"/>
    <n v="82.017025614965206"/>
    <x v="648"/>
    <n v="67.753534238824599"/>
    <x v="648"/>
    <n v="52.1939114064878"/>
    <n v="72.565038056597203"/>
    <x v="1"/>
    <n v="1"/>
    <x v="0"/>
    <n v="0"/>
    <x v="0"/>
    <x v="469"/>
  </r>
  <r>
    <x v="0"/>
    <x v="0"/>
    <n v="175"/>
    <n v="62"/>
    <x v="2"/>
    <x v="635"/>
    <n v="17"/>
    <n v="2"/>
    <n v="80.781717970748005"/>
    <n v="74.512127983859202"/>
    <n v="222.40648771123901"/>
    <n v="83.325287464012206"/>
    <x v="649"/>
    <n v="63.894423847468801"/>
    <x v="649"/>
    <n v="44.635576043834497"/>
    <n v="71.088881104064995"/>
    <x v="1"/>
    <n v="1"/>
    <x v="0"/>
    <n v="1"/>
    <x v="1"/>
    <x v="470"/>
  </r>
  <r>
    <x v="1"/>
    <x v="1"/>
    <n v="175"/>
    <n v="76"/>
    <x v="1"/>
    <x v="636"/>
    <n v="5"/>
    <n v="1"/>
    <n v="77.843372707305207"/>
    <n v="79.000422071200703"/>
    <n v="239.85026530403701"/>
    <n v="82.258468460089901"/>
    <x v="650"/>
    <n v="77.784476442611606"/>
    <x v="650"/>
    <n v="50.1002229382579"/>
    <n v="67.835936405897996"/>
    <x v="1"/>
    <n v="0"/>
    <x v="1"/>
    <n v="1"/>
    <x v="1"/>
    <x v="369"/>
  </r>
  <r>
    <x v="5"/>
    <x v="5"/>
    <n v="167"/>
    <n v="91"/>
    <x v="1"/>
    <x v="637"/>
    <n v="6"/>
    <n v="1"/>
    <n v="79.923521297960804"/>
    <n v="78.116659272390194"/>
    <n v="306.47186909326598"/>
    <n v="73.136803180644506"/>
    <x v="651"/>
    <n v="78.583947145439495"/>
    <x v="651"/>
    <n v="60.642561179548899"/>
    <n v="80.338381848729099"/>
    <x v="0"/>
    <n v="1"/>
    <x v="0"/>
    <n v="1"/>
    <x v="1"/>
    <x v="471"/>
  </r>
  <r>
    <x v="3"/>
    <x v="3"/>
    <n v="165"/>
    <n v="83"/>
    <x v="2"/>
    <x v="638"/>
    <n v="31"/>
    <n v="1"/>
    <n v="83.0653036762955"/>
    <n v="92.348662406783006"/>
    <n v="256.77780951854902"/>
    <n v="76.225077605511501"/>
    <x v="652"/>
    <n v="77.555170225394804"/>
    <x v="652"/>
    <n v="55.764572270377698"/>
    <n v="64.988382479742398"/>
    <x v="1"/>
    <n v="1"/>
    <x v="0"/>
    <n v="0"/>
    <x v="0"/>
    <x v="472"/>
  </r>
  <r>
    <x v="0"/>
    <x v="0"/>
    <n v="176"/>
    <n v="80"/>
    <x v="3"/>
    <x v="639"/>
    <n v="8"/>
    <n v="1"/>
    <n v="73.529817486096803"/>
    <n v="80.746977945257896"/>
    <n v="254.78297615215001"/>
    <n v="81.234596960061197"/>
    <x v="653"/>
    <n v="79.576442129803596"/>
    <x v="653"/>
    <n v="54.485891281010502"/>
    <n v="78.286266975089603"/>
    <x v="1"/>
    <n v="1"/>
    <x v="0"/>
    <n v="1"/>
    <x v="1"/>
    <x v="325"/>
  </r>
  <r>
    <x v="5"/>
    <x v="5"/>
    <n v="185"/>
    <n v="64"/>
    <x v="3"/>
    <x v="640"/>
    <n v="18"/>
    <n v="0"/>
    <n v="77.388756161346606"/>
    <n v="87.765414577405494"/>
    <n v="230.38292489408099"/>
    <n v="83.293713137972006"/>
    <x v="654"/>
    <n v="78.2045515647266"/>
    <x v="654"/>
    <n v="41.958354327655101"/>
    <n v="86.437714299118696"/>
    <x v="0"/>
    <n v="0"/>
    <x v="1"/>
    <n v="0"/>
    <x v="0"/>
    <x v="184"/>
  </r>
  <r>
    <x v="6"/>
    <x v="6"/>
    <n v="174"/>
    <n v="68"/>
    <x v="2"/>
    <x v="641"/>
    <n v="37"/>
    <n v="3"/>
    <n v="70.877676103625205"/>
    <n v="72.466036076069201"/>
    <n v="265.06731197091102"/>
    <n v="75.688049125816903"/>
    <x v="655"/>
    <n v="60.052811470887299"/>
    <x v="655"/>
    <n v="61.128005514174603"/>
    <n v="71.872645235775494"/>
    <x v="1"/>
    <n v="0"/>
    <x v="1"/>
    <n v="1"/>
    <x v="1"/>
    <x v="439"/>
  </r>
  <r>
    <x v="6"/>
    <x v="6"/>
    <n v="174"/>
    <n v="63"/>
    <x v="1"/>
    <x v="642"/>
    <n v="36"/>
    <n v="1"/>
    <n v="77.829214075345604"/>
    <n v="86.281373283544994"/>
    <n v="225.23295990684201"/>
    <n v="97.290953996944097"/>
    <x v="656"/>
    <n v="94.051287033200197"/>
    <x v="656"/>
    <n v="61.239129336376699"/>
    <n v="74.258400476773502"/>
    <x v="1"/>
    <n v="1"/>
    <x v="0"/>
    <n v="0"/>
    <x v="0"/>
    <x v="168"/>
  </r>
  <r>
    <x v="4"/>
    <x v="4"/>
    <n v="175"/>
    <n v="66"/>
    <x v="3"/>
    <x v="643"/>
    <n v="36"/>
    <n v="1"/>
    <n v="75.631877104188305"/>
    <n v="79.088769520297504"/>
    <n v="208.21733064954199"/>
    <n v="93.5419332502846"/>
    <x v="657"/>
    <n v="69.063316522975001"/>
    <x v="657"/>
    <n v="44.783560340518903"/>
    <n v="75.100747225320106"/>
    <x v="1"/>
    <n v="0"/>
    <x v="1"/>
    <n v="0"/>
    <x v="0"/>
    <x v="367"/>
  </r>
  <r>
    <x v="0"/>
    <x v="0"/>
    <n v="175"/>
    <n v="62"/>
    <x v="0"/>
    <x v="644"/>
    <n v="5"/>
    <n v="1"/>
    <n v="75.124543039059503"/>
    <n v="81.824253623788493"/>
    <n v="229.41920372650301"/>
    <n v="97.412686158712802"/>
    <x v="658"/>
    <n v="92.720782529956395"/>
    <x v="658"/>
    <n v="56.953369224215201"/>
    <n v="88.622867944798898"/>
    <x v="0"/>
    <n v="1"/>
    <x v="0"/>
    <n v="0"/>
    <x v="0"/>
    <x v="470"/>
  </r>
  <r>
    <x v="2"/>
    <x v="2"/>
    <n v="185"/>
    <n v="76"/>
    <x v="2"/>
    <x v="645"/>
    <n v="12"/>
    <n v="0"/>
    <n v="80.080913631475497"/>
    <n v="79.4023820887451"/>
    <n v="214.94829102915401"/>
    <n v="92.543401001021493"/>
    <x v="659"/>
    <n v="83.917305790364594"/>
    <x v="659"/>
    <n v="44.428265118919001"/>
    <n v="76.963644880164495"/>
    <x v="1"/>
    <n v="0"/>
    <x v="1"/>
    <n v="0"/>
    <x v="0"/>
    <x v="9"/>
  </r>
  <r>
    <x v="4"/>
    <x v="4"/>
    <n v="175"/>
    <n v="82"/>
    <x v="2"/>
    <x v="646"/>
    <n v="32"/>
    <n v="1"/>
    <n v="74.867113378991505"/>
    <n v="76.3046200278161"/>
    <n v="288.53522547276299"/>
    <n v="86.983351089356304"/>
    <x v="660"/>
    <n v="69.769949523310999"/>
    <x v="660"/>
    <n v="64.929277952285901"/>
    <n v="72.016916448276504"/>
    <x v="1"/>
    <n v="0"/>
    <x v="1"/>
    <n v="1"/>
    <x v="1"/>
    <x v="473"/>
  </r>
  <r>
    <x v="5"/>
    <x v="5"/>
    <n v="175"/>
    <n v="58"/>
    <x v="1"/>
    <x v="647"/>
    <n v="15"/>
    <n v="2"/>
    <n v="82.410286408929394"/>
    <n v="81.855345862014104"/>
    <n v="265.66669992217601"/>
    <n v="89.574377341965601"/>
    <x v="661"/>
    <n v="84.205647125176498"/>
    <x v="661"/>
    <n v="41.550444527501398"/>
    <n v="83.912113127643195"/>
    <x v="0"/>
    <n v="1"/>
    <x v="0"/>
    <n v="0"/>
    <x v="0"/>
    <x v="206"/>
  </r>
  <r>
    <x v="5"/>
    <x v="5"/>
    <n v="169"/>
    <n v="87"/>
    <x v="2"/>
    <x v="648"/>
    <n v="26"/>
    <n v="0"/>
    <n v="70.413007971292402"/>
    <n v="86.696829263479401"/>
    <n v="247.951634208596"/>
    <n v="82.040730744617207"/>
    <x v="662"/>
    <n v="64.456107301090697"/>
    <x v="662"/>
    <n v="67.000039303832907"/>
    <n v="63.148614460120598"/>
    <x v="1"/>
    <n v="1"/>
    <x v="0"/>
    <n v="1"/>
    <x v="1"/>
    <x v="474"/>
  </r>
  <r>
    <x v="6"/>
    <x v="6"/>
    <n v="171"/>
    <n v="80"/>
    <x v="0"/>
    <x v="649"/>
    <n v="38"/>
    <n v="0"/>
    <n v="83.696720920138603"/>
    <n v="77.048541534278598"/>
    <n v="225.345600613545"/>
    <n v="89.6834861020196"/>
    <x v="663"/>
    <n v="68.307081126852793"/>
    <x v="663"/>
    <n v="44.424313281665697"/>
    <n v="80.279244519286806"/>
    <x v="0"/>
    <n v="0"/>
    <x v="1"/>
    <n v="0"/>
    <x v="0"/>
    <x v="461"/>
  </r>
  <r>
    <x v="5"/>
    <x v="5"/>
    <n v="184"/>
    <n v="77"/>
    <x v="3"/>
    <x v="650"/>
    <n v="35"/>
    <n v="0"/>
    <n v="83.812710205255797"/>
    <n v="84.1887716110501"/>
    <n v="238.544549662798"/>
    <n v="89.540590187553093"/>
    <x v="664"/>
    <n v="79.708504060597306"/>
    <x v="664"/>
    <n v="53.097333240450197"/>
    <n v="69.816951869841105"/>
    <x v="1"/>
    <n v="0"/>
    <x v="1"/>
    <n v="0"/>
    <x v="0"/>
    <x v="440"/>
  </r>
  <r>
    <x v="2"/>
    <x v="2"/>
    <n v="183"/>
    <n v="61"/>
    <x v="1"/>
    <x v="651"/>
    <n v="26"/>
    <n v="0"/>
    <n v="72.304310025323502"/>
    <n v="83.300307246628407"/>
    <n v="222.778189921701"/>
    <n v="90.608864680023203"/>
    <x v="665"/>
    <n v="82.013827382788193"/>
    <x v="665"/>
    <n v="58.420740860519899"/>
    <n v="80.406250712757995"/>
    <x v="0"/>
    <n v="0"/>
    <x v="1"/>
    <n v="0"/>
    <x v="0"/>
    <x v="475"/>
  </r>
  <r>
    <x v="4"/>
    <x v="4"/>
    <n v="178"/>
    <n v="80"/>
    <x v="3"/>
    <x v="652"/>
    <n v="25"/>
    <n v="4"/>
    <n v="84.8345252047732"/>
    <n v="76.367701520259303"/>
    <n v="247.230806798618"/>
    <n v="76.3085887129767"/>
    <x v="666"/>
    <n v="77.794488810460294"/>
    <x v="666"/>
    <n v="38.3234816708868"/>
    <n v="69.972436859406997"/>
    <x v="1"/>
    <n v="1"/>
    <x v="0"/>
    <n v="0"/>
    <x v="0"/>
    <x v="476"/>
  </r>
  <r>
    <x v="3"/>
    <x v="3"/>
    <n v="183"/>
    <n v="74"/>
    <x v="1"/>
    <x v="653"/>
    <n v="17"/>
    <n v="0"/>
    <n v="72.749380165909599"/>
    <n v="83.240448114659699"/>
    <n v="239.586454320862"/>
    <n v="83.229296181016494"/>
    <x v="667"/>
    <n v="65.473997032665096"/>
    <x v="667"/>
    <n v="64.484729110382901"/>
    <n v="75.227116209816202"/>
    <x v="1"/>
    <n v="0"/>
    <x v="1"/>
    <n v="1"/>
    <x v="1"/>
    <x v="131"/>
  </r>
  <r>
    <x v="0"/>
    <x v="0"/>
    <n v="180"/>
    <n v="55"/>
    <x v="3"/>
    <x v="654"/>
    <n v="32"/>
    <n v="4"/>
    <n v="72.583175261935807"/>
    <n v="78.298329546160403"/>
    <n v="264.69135216541002"/>
    <n v="71.763518083278299"/>
    <x v="668"/>
    <n v="71.447131091047297"/>
    <x v="668"/>
    <n v="51.208265968526497"/>
    <n v="84.373825749147699"/>
    <x v="0"/>
    <n v="0"/>
    <x v="1"/>
    <n v="1"/>
    <x v="1"/>
    <x v="477"/>
  </r>
  <r>
    <x v="5"/>
    <x v="5"/>
    <n v="185"/>
    <n v="77"/>
    <x v="0"/>
    <x v="655"/>
    <n v="24"/>
    <n v="2"/>
    <n v="63.512269927386697"/>
    <n v="83.534841764633299"/>
    <n v="279.65256386723303"/>
    <n v="73.123431385207098"/>
    <x v="669"/>
    <n v="71.761978753447295"/>
    <x v="669"/>
    <n v="67.109048056014203"/>
    <n v="71.329915390802398"/>
    <x v="1"/>
    <n v="1"/>
    <x v="0"/>
    <n v="1"/>
    <x v="1"/>
    <x v="95"/>
  </r>
  <r>
    <x v="6"/>
    <x v="6"/>
    <n v="184"/>
    <n v="84"/>
    <x v="2"/>
    <x v="656"/>
    <n v="31"/>
    <n v="2"/>
    <n v="76.397087191923504"/>
    <n v="80.385333829760299"/>
    <n v="214.95280983357799"/>
    <n v="93.868258743891701"/>
    <x v="670"/>
    <n v="95.138327466013806"/>
    <x v="670"/>
    <n v="36.915353503684102"/>
    <n v="73.061108838646106"/>
    <x v="1"/>
    <n v="1"/>
    <x v="0"/>
    <n v="0"/>
    <x v="0"/>
    <x v="478"/>
  </r>
  <r>
    <x v="3"/>
    <x v="3"/>
    <n v="174"/>
    <n v="88"/>
    <x v="1"/>
    <x v="657"/>
    <n v="21"/>
    <n v="0"/>
    <n v="71.547050315522497"/>
    <n v="81.804988382904497"/>
    <n v="271.13125334200998"/>
    <n v="80.829900223129101"/>
    <x v="671"/>
    <n v="75.855223493484203"/>
    <x v="671"/>
    <n v="87.065007174630793"/>
    <n v="77.472988232025699"/>
    <x v="1"/>
    <n v="1"/>
    <x v="0"/>
    <n v="1"/>
    <x v="1"/>
    <x v="479"/>
  </r>
  <r>
    <x v="4"/>
    <x v="4"/>
    <n v="170"/>
    <n v="64"/>
    <x v="0"/>
    <x v="140"/>
    <n v="39"/>
    <n v="1"/>
    <n v="73.858091900780096"/>
    <n v="86.281939212530006"/>
    <n v="233.77371366002299"/>
    <n v="68.485061078647703"/>
    <x v="672"/>
    <n v="81.422704337801505"/>
    <x v="672"/>
    <n v="80.420831412707102"/>
    <n v="70.156498523617898"/>
    <x v="1"/>
    <n v="1"/>
    <x v="0"/>
    <n v="1"/>
    <x v="1"/>
    <x v="149"/>
  </r>
  <r>
    <x v="6"/>
    <x v="6"/>
    <n v="171"/>
    <n v="80"/>
    <x v="0"/>
    <x v="658"/>
    <n v="13"/>
    <n v="0"/>
    <n v="83.726229281075206"/>
    <n v="77.776812312157503"/>
    <n v="232.357183844498"/>
    <n v="81.249439973177502"/>
    <x v="673"/>
    <n v="90.010474169852998"/>
    <x v="673"/>
    <n v="38.526365160265399"/>
    <n v="96.117921559471597"/>
    <x v="0"/>
    <n v="0"/>
    <x v="1"/>
    <n v="0"/>
    <x v="0"/>
    <x v="461"/>
  </r>
  <r>
    <x v="5"/>
    <x v="5"/>
    <n v="187"/>
    <n v="64"/>
    <x v="2"/>
    <x v="659"/>
    <n v="24"/>
    <n v="0"/>
    <n v="75.821646179973797"/>
    <n v="73.533378190506994"/>
    <n v="239.21822824148299"/>
    <n v="90.420393937431996"/>
    <x v="674"/>
    <n v="89.854605497449597"/>
    <x v="674"/>
    <n v="47.428254439123599"/>
    <n v="74.802685275424807"/>
    <x v="1"/>
    <n v="0"/>
    <x v="1"/>
    <n v="0"/>
    <x v="0"/>
    <x v="480"/>
  </r>
  <r>
    <x v="5"/>
    <x v="5"/>
    <n v="186"/>
    <n v="92"/>
    <x v="0"/>
    <x v="660"/>
    <n v="39"/>
    <n v="0"/>
    <n v="69.931824127772302"/>
    <n v="88.2394669842855"/>
    <n v="250.895017886391"/>
    <n v="100"/>
    <x v="675"/>
    <n v="72.455147340253802"/>
    <x v="675"/>
    <n v="44.856687823382899"/>
    <n v="82.205264932988896"/>
    <x v="0"/>
    <n v="1"/>
    <x v="0"/>
    <n v="0"/>
    <x v="0"/>
    <x v="481"/>
  </r>
  <r>
    <x v="6"/>
    <x v="6"/>
    <n v="181"/>
    <n v="91"/>
    <x v="2"/>
    <x v="661"/>
    <n v="9"/>
    <n v="1"/>
    <n v="83.730652084794201"/>
    <n v="86.957644839206594"/>
    <n v="276.14757805292101"/>
    <n v="84.618629663923599"/>
    <x v="676"/>
    <n v="71.929217693198893"/>
    <x v="676"/>
    <n v="56.040600709891798"/>
    <n v="79.623847686728794"/>
    <x v="1"/>
    <n v="1"/>
    <x v="0"/>
    <n v="0"/>
    <x v="0"/>
    <x v="482"/>
  </r>
  <r>
    <x v="6"/>
    <x v="6"/>
    <n v="179"/>
    <n v="73"/>
    <x v="3"/>
    <x v="662"/>
    <n v="38"/>
    <n v="1"/>
    <n v="75.038979222375303"/>
    <n v="71.814438946570604"/>
    <n v="275.47845295809299"/>
    <n v="82.516025475278695"/>
    <x v="677"/>
    <n v="56.980716126809803"/>
    <x v="677"/>
    <n v="64.137188755670294"/>
    <n v="62.5491226579257"/>
    <x v="1"/>
    <n v="0"/>
    <x v="1"/>
    <n v="1"/>
    <x v="1"/>
    <x v="30"/>
  </r>
  <r>
    <x v="3"/>
    <x v="3"/>
    <n v="178"/>
    <n v="92"/>
    <x v="2"/>
    <x v="140"/>
    <n v="14"/>
    <n v="2"/>
    <n v="78.919034075637995"/>
    <n v="85.047156150800703"/>
    <n v="247.043934733756"/>
    <n v="90.499463618104102"/>
    <x v="678"/>
    <n v="82.493574303988396"/>
    <x v="678"/>
    <n v="56.429965420314602"/>
    <n v="74.389362352081093"/>
    <x v="1"/>
    <n v="1"/>
    <x v="0"/>
    <n v="0"/>
    <x v="0"/>
    <x v="196"/>
  </r>
  <r>
    <x v="1"/>
    <x v="1"/>
    <n v="188"/>
    <n v="72"/>
    <x v="2"/>
    <x v="663"/>
    <n v="32"/>
    <n v="3"/>
    <n v="83.451059000570694"/>
    <n v="81.318292266641393"/>
    <n v="247.46689145680401"/>
    <n v="85.462354408912503"/>
    <x v="679"/>
    <n v="89.404715176189399"/>
    <x v="679"/>
    <n v="32.0541543939826"/>
    <n v="72.518770858402604"/>
    <x v="1"/>
    <n v="1"/>
    <x v="0"/>
    <n v="0"/>
    <x v="0"/>
    <x v="33"/>
  </r>
  <r>
    <x v="4"/>
    <x v="4"/>
    <n v="182"/>
    <n v="80"/>
    <x v="3"/>
    <x v="664"/>
    <n v="29"/>
    <n v="1"/>
    <n v="75.717473608093798"/>
    <n v="77.016743775359203"/>
    <n v="230.46378626509301"/>
    <n v="89.250599591297302"/>
    <x v="680"/>
    <n v="83.035120781473694"/>
    <x v="680"/>
    <n v="41.5195047811591"/>
    <n v="71.517251125014795"/>
    <x v="1"/>
    <n v="0"/>
    <x v="1"/>
    <n v="0"/>
    <x v="0"/>
    <x v="483"/>
  </r>
  <r>
    <x v="4"/>
    <x v="4"/>
    <n v="167"/>
    <n v="51"/>
    <x v="0"/>
    <x v="140"/>
    <n v="30"/>
    <n v="5"/>
    <n v="69.1447806485195"/>
    <n v="75.352866962760501"/>
    <n v="254.274852205228"/>
    <n v="72.161809133513103"/>
    <x v="681"/>
    <n v="71.283491928350301"/>
    <x v="681"/>
    <n v="65.907032384711897"/>
    <n v="76.728611084026497"/>
    <x v="1"/>
    <n v="1"/>
    <x v="0"/>
    <n v="1"/>
    <x v="1"/>
    <x v="484"/>
  </r>
  <r>
    <x v="4"/>
    <x v="4"/>
    <n v="193"/>
    <n v="80"/>
    <x v="3"/>
    <x v="665"/>
    <n v="25"/>
    <n v="2"/>
    <n v="66.2793840514762"/>
    <n v="67.877846704708205"/>
    <n v="251.581139295914"/>
    <n v="78.6442296407388"/>
    <x v="682"/>
    <n v="79.566659254760097"/>
    <x v="682"/>
    <n v="67.001980373807598"/>
    <n v="67.847054692265004"/>
    <x v="1"/>
    <n v="0"/>
    <x v="1"/>
    <n v="1"/>
    <x v="1"/>
    <x v="103"/>
  </r>
  <r>
    <x v="1"/>
    <x v="1"/>
    <n v="187"/>
    <n v="77"/>
    <x v="1"/>
    <x v="666"/>
    <n v="38"/>
    <n v="1"/>
    <n v="72.566698787426702"/>
    <n v="78.540880713453006"/>
    <n v="235.255483208415"/>
    <n v="78.341470065860307"/>
    <x v="683"/>
    <n v="69.188830738665899"/>
    <x v="683"/>
    <n v="64.111146882666105"/>
    <n v="84.725057138293593"/>
    <x v="0"/>
    <n v="1"/>
    <x v="0"/>
    <n v="1"/>
    <x v="1"/>
    <x v="485"/>
  </r>
  <r>
    <x v="3"/>
    <x v="3"/>
    <n v="184"/>
    <n v="66"/>
    <x v="1"/>
    <x v="667"/>
    <n v="16"/>
    <n v="2"/>
    <n v="80.545947921445006"/>
    <n v="85.121354174985697"/>
    <n v="235.754883940224"/>
    <n v="75.748042204489806"/>
    <x v="684"/>
    <n v="71.762964263035798"/>
    <x v="684"/>
    <n v="54.123081945618999"/>
    <n v="89.352188984809402"/>
    <x v="0"/>
    <n v="0"/>
    <x v="1"/>
    <n v="1"/>
    <x v="1"/>
    <x v="486"/>
  </r>
  <r>
    <x v="3"/>
    <x v="3"/>
    <n v="177"/>
    <n v="77"/>
    <x v="2"/>
    <x v="668"/>
    <n v="16"/>
    <n v="1"/>
    <n v="71.851267420682504"/>
    <n v="74.383248400448096"/>
    <n v="261.64429569426801"/>
    <n v="73.363459561255198"/>
    <x v="685"/>
    <n v="79.218579470349297"/>
    <x v="685"/>
    <n v="49.787402161520198"/>
    <n v="72.232398422943007"/>
    <x v="1"/>
    <n v="0"/>
    <x v="1"/>
    <n v="1"/>
    <x v="1"/>
    <x v="487"/>
  </r>
  <r>
    <x v="0"/>
    <x v="0"/>
    <n v="193"/>
    <n v="71"/>
    <x v="0"/>
    <x v="669"/>
    <n v="21"/>
    <n v="2"/>
    <n v="83.479498115888603"/>
    <n v="64.466820345754897"/>
    <n v="216.656311679922"/>
    <n v="80.684661180667504"/>
    <x v="686"/>
    <n v="78.678536691655495"/>
    <x v="686"/>
    <n v="61.607610091919199"/>
    <n v="71.615856430129298"/>
    <x v="1"/>
    <n v="1"/>
    <x v="0"/>
    <n v="0"/>
    <x v="0"/>
    <x v="488"/>
  </r>
  <r>
    <x v="6"/>
    <x v="6"/>
    <n v="172"/>
    <n v="76"/>
    <x v="3"/>
    <x v="670"/>
    <n v="31"/>
    <n v="5"/>
    <n v="76.372432316378195"/>
    <n v="83.150547180684796"/>
    <n v="227.00161289114001"/>
    <n v="78.187970567702493"/>
    <x v="687"/>
    <n v="59.1442135837585"/>
    <x v="687"/>
    <n v="73.886063084465206"/>
    <n v="86.029003977513398"/>
    <x v="0"/>
    <n v="1"/>
    <x v="0"/>
    <n v="1"/>
    <x v="1"/>
    <x v="375"/>
  </r>
  <r>
    <x v="6"/>
    <x v="6"/>
    <n v="178"/>
    <n v="53"/>
    <x v="3"/>
    <x v="140"/>
    <n v="37"/>
    <n v="4"/>
    <n v="77.079350353899301"/>
    <n v="88.757362061944804"/>
    <n v="259.600051786123"/>
    <n v="81.9361682220283"/>
    <x v="688"/>
    <n v="96.766231306092493"/>
    <x v="688"/>
    <n v="66.636448497069793"/>
    <n v="100"/>
    <x v="0"/>
    <n v="1"/>
    <x v="0"/>
    <n v="0"/>
    <x v="0"/>
    <x v="269"/>
  </r>
  <r>
    <x v="6"/>
    <x v="6"/>
    <n v="164"/>
    <n v="60"/>
    <x v="1"/>
    <x v="671"/>
    <n v="24"/>
    <n v="1"/>
    <n v="63.882869674177599"/>
    <n v="74.444665783366105"/>
    <n v="276.38155189584501"/>
    <n v="87.522326717066306"/>
    <x v="689"/>
    <n v="68.480213982072101"/>
    <x v="689"/>
    <n v="54.5577282376263"/>
    <n v="68.909305688551797"/>
    <x v="1"/>
    <n v="1"/>
    <x v="0"/>
    <n v="1"/>
    <x v="1"/>
    <x v="19"/>
  </r>
  <r>
    <x v="5"/>
    <x v="5"/>
    <n v="173"/>
    <n v="83"/>
    <x v="0"/>
    <x v="672"/>
    <n v="24"/>
    <n v="3"/>
    <n v="82.028194400693806"/>
    <n v="75.469331382705306"/>
    <n v="253.06225053568201"/>
    <n v="80.6844585887102"/>
    <x v="690"/>
    <n v="83.8348223699778"/>
    <x v="690"/>
    <n v="72.193597902627403"/>
    <n v="61.536683311695597"/>
    <x v="1"/>
    <n v="1"/>
    <x v="0"/>
    <n v="1"/>
    <x v="1"/>
    <x v="87"/>
  </r>
  <r>
    <x v="1"/>
    <x v="1"/>
    <n v="166"/>
    <n v="53"/>
    <x v="2"/>
    <x v="673"/>
    <n v="10"/>
    <n v="0"/>
    <n v="89.302614260992598"/>
    <n v="78.253001165700098"/>
    <n v="259.58234354892397"/>
    <n v="85.500348703601603"/>
    <x v="691"/>
    <n v="82.601040002002904"/>
    <x v="691"/>
    <n v="37.988542701026198"/>
    <n v="77.6200721440877"/>
    <x v="1"/>
    <n v="1"/>
    <x v="0"/>
    <n v="0"/>
    <x v="0"/>
    <x v="489"/>
  </r>
  <r>
    <x v="6"/>
    <x v="6"/>
    <n v="169"/>
    <n v="62"/>
    <x v="2"/>
    <x v="674"/>
    <n v="37"/>
    <n v="0"/>
    <n v="75.234717645734705"/>
    <n v="84.154789588617305"/>
    <n v="266.31225465859097"/>
    <n v="98.830325196233801"/>
    <x v="692"/>
    <n v="74.687032391937095"/>
    <x v="692"/>
    <n v="43.487814019064501"/>
    <n v="53.437392586058202"/>
    <x v="2"/>
    <n v="1"/>
    <x v="0"/>
    <n v="0"/>
    <x v="0"/>
    <x v="490"/>
  </r>
  <r>
    <x v="4"/>
    <x v="4"/>
    <n v="174"/>
    <n v="68"/>
    <x v="2"/>
    <x v="675"/>
    <n v="36"/>
    <n v="0"/>
    <n v="63.938936306189802"/>
    <n v="70.357730830859694"/>
    <n v="255.19577798079999"/>
    <n v="84.5258372517997"/>
    <x v="693"/>
    <n v="71.317338289041402"/>
    <x v="693"/>
    <n v="57.198633761408303"/>
    <n v="75.935785214142598"/>
    <x v="1"/>
    <n v="0"/>
    <x v="1"/>
    <n v="1"/>
    <x v="1"/>
    <x v="439"/>
  </r>
  <r>
    <x v="6"/>
    <x v="6"/>
    <n v="174"/>
    <n v="74"/>
    <x v="3"/>
    <x v="676"/>
    <n v="18"/>
    <n v="3"/>
    <n v="74.748294046797994"/>
    <n v="82.120150684690998"/>
    <n v="234.19487479044301"/>
    <n v="92.044283392354799"/>
    <x v="694"/>
    <n v="74.020766133881693"/>
    <x v="694"/>
    <n v="40.491778280470697"/>
    <n v="85.969429332248794"/>
    <x v="0"/>
    <n v="1"/>
    <x v="0"/>
    <n v="0"/>
    <x v="0"/>
    <x v="491"/>
  </r>
  <r>
    <x v="1"/>
    <x v="1"/>
    <n v="192"/>
    <n v="72"/>
    <x v="2"/>
    <x v="677"/>
    <n v="28"/>
    <n v="2"/>
    <n v="76.186725222594504"/>
    <n v="80.952718412766103"/>
    <n v="249.10852594394899"/>
    <n v="94.954461448915197"/>
    <x v="695"/>
    <n v="82.5389508129429"/>
    <x v="695"/>
    <n v="31.51936447189"/>
    <n v="72.466349117053298"/>
    <x v="1"/>
    <n v="1"/>
    <x v="0"/>
    <n v="0"/>
    <x v="0"/>
    <x v="492"/>
  </r>
  <r>
    <x v="2"/>
    <x v="2"/>
    <n v="177"/>
    <n v="83"/>
    <x v="2"/>
    <x v="678"/>
    <n v="21"/>
    <n v="2"/>
    <n v="72.961965086729407"/>
    <n v="76.010590667687396"/>
    <n v="250.239483601876"/>
    <n v="84.437346998904303"/>
    <x v="696"/>
    <n v="74.922934123347602"/>
    <x v="696"/>
    <n v="61.906446438170398"/>
    <n v="86.943814454476097"/>
    <x v="0"/>
    <n v="1"/>
    <x v="0"/>
    <n v="1"/>
    <x v="1"/>
    <x v="171"/>
  </r>
  <r>
    <x v="4"/>
    <x v="4"/>
    <n v="175"/>
    <n v="76"/>
    <x v="2"/>
    <x v="679"/>
    <n v="9"/>
    <n v="3"/>
    <n v="76.475602012119595"/>
    <n v="80.511057634773806"/>
    <n v="265.23052448581001"/>
    <n v="75.524635862627605"/>
    <x v="697"/>
    <n v="81.689902551791207"/>
    <x v="697"/>
    <n v="68.632210102958496"/>
    <n v="76.598834277094994"/>
    <x v="1"/>
    <n v="1"/>
    <x v="0"/>
    <n v="1"/>
    <x v="1"/>
    <x v="369"/>
  </r>
  <r>
    <x v="4"/>
    <x v="4"/>
    <n v="169"/>
    <n v="89"/>
    <x v="2"/>
    <x v="680"/>
    <n v="30"/>
    <n v="1"/>
    <n v="75.177005380105001"/>
    <n v="82.340793834561197"/>
    <n v="200.35520120177301"/>
    <n v="96.549162221326995"/>
    <x v="698"/>
    <n v="74.432273195873506"/>
    <x v="698"/>
    <n v="56.725618166844399"/>
    <n v="65.168881837367394"/>
    <x v="1"/>
    <n v="1"/>
    <x v="0"/>
    <n v="0"/>
    <x v="0"/>
    <x v="493"/>
  </r>
  <r>
    <x v="1"/>
    <x v="1"/>
    <n v="175"/>
    <n v="91"/>
    <x v="0"/>
    <x v="681"/>
    <n v="36"/>
    <n v="0"/>
    <n v="74.013250679314993"/>
    <n v="82.004943660426605"/>
    <n v="235.43803528287799"/>
    <n v="81.146828357190202"/>
    <x v="699"/>
    <n v="79.932571103271798"/>
    <x v="699"/>
    <n v="37.707726518429901"/>
    <n v="74.602729802287698"/>
    <x v="1"/>
    <n v="0"/>
    <x v="1"/>
    <n v="0"/>
    <x v="0"/>
    <x v="494"/>
  </r>
  <r>
    <x v="2"/>
    <x v="2"/>
    <n v="172"/>
    <n v="57"/>
    <x v="2"/>
    <x v="682"/>
    <n v="23"/>
    <n v="5"/>
    <n v="70.286926111511306"/>
    <n v="66.978183421922196"/>
    <n v="286.04869421225402"/>
    <n v="79.599143772872495"/>
    <x v="700"/>
    <n v="81.431138675763407"/>
    <x v="700"/>
    <n v="51.7514095913821"/>
    <n v="73.100660603991201"/>
    <x v="1"/>
    <n v="0"/>
    <x v="1"/>
    <n v="1"/>
    <x v="1"/>
    <x v="495"/>
  </r>
  <r>
    <x v="6"/>
    <x v="6"/>
    <n v="173"/>
    <n v="89"/>
    <x v="3"/>
    <x v="683"/>
    <n v="25"/>
    <n v="0"/>
    <n v="79.635058598302606"/>
    <n v="84.382527061215697"/>
    <n v="223.209296188438"/>
    <n v="80.963090497563002"/>
    <x v="701"/>
    <n v="90.737893471039499"/>
    <x v="701"/>
    <n v="45.3224946472656"/>
    <n v="82.976277866405795"/>
    <x v="0"/>
    <n v="1"/>
    <x v="0"/>
    <n v="0"/>
    <x v="0"/>
    <x v="96"/>
  </r>
  <r>
    <x v="5"/>
    <x v="5"/>
    <n v="181"/>
    <n v="86"/>
    <x v="3"/>
    <x v="684"/>
    <n v="6"/>
    <n v="1"/>
    <n v="78.952417997639003"/>
    <n v="79.975065392885796"/>
    <n v="244.08867419885499"/>
    <n v="94.206602948777999"/>
    <x v="702"/>
    <n v="84.051613721401495"/>
    <x v="702"/>
    <n v="53.485066376656697"/>
    <n v="73.878555769980807"/>
    <x v="1"/>
    <n v="1"/>
    <x v="0"/>
    <n v="0"/>
    <x v="0"/>
    <x v="496"/>
  </r>
  <r>
    <x v="0"/>
    <x v="0"/>
    <n v="180"/>
    <n v="62"/>
    <x v="1"/>
    <x v="685"/>
    <n v="39"/>
    <n v="2"/>
    <n v="78.242286325117902"/>
    <n v="76.144955893151405"/>
    <n v="253.20713307285999"/>
    <n v="86.011212512718998"/>
    <x v="703"/>
    <n v="77.692930608634896"/>
    <x v="703"/>
    <n v="66.189282829857802"/>
    <n v="71.515114046858699"/>
    <x v="1"/>
    <n v="0"/>
    <x v="1"/>
    <n v="1"/>
    <x v="1"/>
    <x v="193"/>
  </r>
  <r>
    <x v="1"/>
    <x v="1"/>
    <n v="174"/>
    <n v="49"/>
    <x v="2"/>
    <x v="686"/>
    <n v="36"/>
    <n v="4"/>
    <n v="69.633936426169498"/>
    <n v="80.981477484088501"/>
    <n v="233.510248963283"/>
    <n v="76.674891305700896"/>
    <x v="704"/>
    <n v="64.494420445326"/>
    <x v="704"/>
    <n v="52.293722571630198"/>
    <n v="82.185793034702101"/>
    <x v="0"/>
    <n v="1"/>
    <x v="0"/>
    <n v="1"/>
    <x v="1"/>
    <x v="497"/>
  </r>
  <r>
    <x v="0"/>
    <x v="0"/>
    <n v="179"/>
    <n v="76"/>
    <x v="0"/>
    <x v="687"/>
    <n v="36"/>
    <n v="4"/>
    <n v="66.466427459669902"/>
    <n v="75.217600203705601"/>
    <n v="268.50253921726602"/>
    <n v="76.496405040915803"/>
    <x v="705"/>
    <n v="77.697407753739199"/>
    <x v="705"/>
    <n v="61.836266210788601"/>
    <n v="68.296384808502694"/>
    <x v="1"/>
    <n v="0"/>
    <x v="1"/>
    <n v="1"/>
    <x v="1"/>
    <x v="172"/>
  </r>
  <r>
    <x v="2"/>
    <x v="2"/>
    <n v="180"/>
    <n v="69"/>
    <x v="1"/>
    <x v="688"/>
    <n v="34"/>
    <n v="2"/>
    <n v="71.7368812316099"/>
    <n v="76.643672315258002"/>
    <n v="300.41604777905201"/>
    <n v="76.623118083376397"/>
    <x v="706"/>
    <n v="88.008696678175696"/>
    <x v="706"/>
    <n v="52.556157453030103"/>
    <n v="60.885729493153903"/>
    <x v="1"/>
    <n v="0"/>
    <x v="1"/>
    <n v="1"/>
    <x v="1"/>
    <x v="45"/>
  </r>
  <r>
    <x v="0"/>
    <x v="0"/>
    <n v="169"/>
    <n v="65"/>
    <x v="3"/>
    <x v="689"/>
    <n v="14"/>
    <n v="2"/>
    <n v="62.865460606899298"/>
    <n v="81.952942944680103"/>
    <n v="251.96991471457201"/>
    <n v="89.013744836269396"/>
    <x v="707"/>
    <n v="80.822346414905397"/>
    <x v="707"/>
    <n v="27.395177967461098"/>
    <n v="77.713562580002801"/>
    <x v="1"/>
    <n v="1"/>
    <x v="0"/>
    <n v="0"/>
    <x v="0"/>
    <x v="209"/>
  </r>
  <r>
    <x v="4"/>
    <x v="4"/>
    <n v="183"/>
    <n v="72"/>
    <x v="0"/>
    <x v="690"/>
    <n v="13"/>
    <n v="0"/>
    <n v="75.075420844689802"/>
    <n v="77.037862833482805"/>
    <n v="286.45395735476501"/>
    <n v="89.093199694397299"/>
    <x v="708"/>
    <n v="79.125097520226504"/>
    <x v="708"/>
    <n v="48.3595409480846"/>
    <n v="78.398258459216194"/>
    <x v="1"/>
    <n v="1"/>
    <x v="0"/>
    <n v="1"/>
    <x v="1"/>
    <x v="12"/>
  </r>
  <r>
    <x v="6"/>
    <x v="6"/>
    <n v="177"/>
    <n v="64"/>
    <x v="2"/>
    <x v="691"/>
    <n v="33"/>
    <n v="0"/>
    <n v="78.453939875106798"/>
    <n v="79.850391182683296"/>
    <n v="247.691248583706"/>
    <n v="86.430434913069405"/>
    <x v="709"/>
    <n v="72.819578107660504"/>
    <x v="709"/>
    <n v="64.341007103749902"/>
    <n v="77.531957168863897"/>
    <x v="1"/>
    <n v="0"/>
    <x v="1"/>
    <n v="1"/>
    <x v="1"/>
    <x v="498"/>
  </r>
  <r>
    <x v="6"/>
    <x v="6"/>
    <n v="182"/>
    <n v="75"/>
    <x v="0"/>
    <x v="692"/>
    <n v="35"/>
    <n v="3"/>
    <n v="71.924451249723006"/>
    <n v="77.936643033086597"/>
    <n v="253.322248266999"/>
    <n v="78.893174093964205"/>
    <x v="710"/>
    <n v="67.609562938867398"/>
    <x v="710"/>
    <n v="70.195345015279401"/>
    <n v="72.436846804239096"/>
    <x v="1"/>
    <n v="0"/>
    <x v="1"/>
    <n v="1"/>
    <x v="1"/>
    <x v="499"/>
  </r>
  <r>
    <x v="5"/>
    <x v="5"/>
    <n v="176"/>
    <n v="71"/>
    <x v="2"/>
    <x v="693"/>
    <n v="30"/>
    <n v="3"/>
    <n v="58.453898301568103"/>
    <n v="68.286870766569805"/>
    <n v="274.36537670563598"/>
    <n v="93.451760381420897"/>
    <x v="711"/>
    <n v="75.6729273106736"/>
    <x v="711"/>
    <n v="56.389395363307003"/>
    <n v="68.838557700261902"/>
    <x v="1"/>
    <n v="1"/>
    <x v="0"/>
    <n v="1"/>
    <x v="1"/>
    <x v="361"/>
  </r>
  <r>
    <x v="4"/>
    <x v="4"/>
    <n v="176"/>
    <n v="71"/>
    <x v="3"/>
    <x v="694"/>
    <n v="32"/>
    <n v="2"/>
    <n v="74.186621626195802"/>
    <n v="74.447452539949296"/>
    <n v="240.94798952860799"/>
    <n v="81.380476878958007"/>
    <x v="712"/>
    <n v="74.070386654271104"/>
    <x v="712"/>
    <n v="46.086436381399302"/>
    <n v="85.467125143790398"/>
    <x v="0"/>
    <n v="0"/>
    <x v="1"/>
    <n v="1"/>
    <x v="1"/>
    <x v="361"/>
  </r>
  <r>
    <x v="0"/>
    <x v="0"/>
    <n v="194"/>
    <n v="81"/>
    <x v="1"/>
    <x v="695"/>
    <n v="5"/>
    <n v="4"/>
    <n v="68.529204012587101"/>
    <n v="79.226427396112101"/>
    <n v="263.57995458065699"/>
    <n v="85.080213266043302"/>
    <x v="713"/>
    <n v="60.788980964762203"/>
    <x v="713"/>
    <n v="69.3770459882832"/>
    <n v="77.535548257004507"/>
    <x v="1"/>
    <n v="0"/>
    <x v="1"/>
    <n v="1"/>
    <x v="1"/>
    <x v="500"/>
  </r>
  <r>
    <x v="6"/>
    <x v="6"/>
    <n v="179"/>
    <n v="72"/>
    <x v="1"/>
    <x v="696"/>
    <n v="25"/>
    <n v="1"/>
    <n v="76.940879870365805"/>
    <n v="83.476253939902804"/>
    <n v="210.21332764099401"/>
    <n v="80.866556717449001"/>
    <x v="714"/>
    <n v="76.278060097969302"/>
    <x v="714"/>
    <n v="63.355775067363702"/>
    <n v="74.060729031173693"/>
    <x v="1"/>
    <n v="1"/>
    <x v="0"/>
    <n v="0"/>
    <x v="0"/>
    <x v="35"/>
  </r>
  <r>
    <x v="6"/>
    <x v="6"/>
    <n v="180"/>
    <n v="84"/>
    <x v="0"/>
    <x v="697"/>
    <n v="18"/>
    <n v="3"/>
    <n v="78.433292357644007"/>
    <n v="69.879022931634594"/>
    <n v="229.64425632326299"/>
    <n v="80.076072945749203"/>
    <x v="715"/>
    <n v="78.700724181415595"/>
    <x v="715"/>
    <n v="60.465538747237602"/>
    <n v="70.406877588642402"/>
    <x v="1"/>
    <n v="1"/>
    <x v="0"/>
    <n v="1"/>
    <x v="1"/>
    <x v="501"/>
  </r>
  <r>
    <x v="0"/>
    <x v="0"/>
    <n v="174"/>
    <n v="80"/>
    <x v="1"/>
    <x v="698"/>
    <n v="39"/>
    <n v="0"/>
    <n v="83.330291545240897"/>
    <n v="83.056191352300701"/>
    <n v="262.20003629194201"/>
    <n v="89.600684657837306"/>
    <x v="716"/>
    <n v="88.367220369210401"/>
    <x v="716"/>
    <n v="59.579021180919199"/>
    <n v="78.846354320335493"/>
    <x v="1"/>
    <n v="1"/>
    <x v="0"/>
    <n v="0"/>
    <x v="0"/>
    <x v="301"/>
  </r>
  <r>
    <x v="4"/>
    <x v="4"/>
    <n v="176"/>
    <n v="81"/>
    <x v="3"/>
    <x v="699"/>
    <n v="12"/>
    <n v="0"/>
    <n v="79.948593192287404"/>
    <n v="66.968878728433495"/>
    <n v="255.11950721661199"/>
    <n v="89.192200617353706"/>
    <x v="717"/>
    <n v="100"/>
    <x v="717"/>
    <n v="64.167357756595806"/>
    <n v="70.595287678228303"/>
    <x v="1"/>
    <n v="1"/>
    <x v="0"/>
    <n v="0"/>
    <x v="0"/>
    <x v="502"/>
  </r>
  <r>
    <x v="6"/>
    <x v="6"/>
    <n v="176"/>
    <n v="74"/>
    <x v="1"/>
    <x v="700"/>
    <n v="13"/>
    <n v="1"/>
    <n v="73.826453994508597"/>
    <n v="89.053866583856305"/>
    <n v="222.07766991035601"/>
    <n v="86.799795962050396"/>
    <x v="718"/>
    <n v="81.983988284460096"/>
    <x v="718"/>
    <n v="74.648954861737593"/>
    <n v="95.487028870845904"/>
    <x v="0"/>
    <n v="1"/>
    <x v="0"/>
    <n v="0"/>
    <x v="0"/>
    <x v="327"/>
  </r>
  <r>
    <x v="5"/>
    <x v="5"/>
    <n v="173"/>
    <n v="76"/>
    <x v="3"/>
    <x v="701"/>
    <n v="16"/>
    <n v="3"/>
    <n v="79.465962341864397"/>
    <n v="62.389740465513803"/>
    <n v="255.44185899499001"/>
    <n v="78.855589917378296"/>
    <x v="719"/>
    <n v="77.183463816710201"/>
    <x v="719"/>
    <n v="79.794304046319695"/>
    <n v="70.021734853074094"/>
    <x v="1"/>
    <n v="0"/>
    <x v="1"/>
    <n v="1"/>
    <x v="1"/>
    <x v="26"/>
  </r>
  <r>
    <x v="0"/>
    <x v="0"/>
    <n v="178"/>
    <n v="91"/>
    <x v="1"/>
    <x v="702"/>
    <n v="18"/>
    <n v="1"/>
    <n v="76.7708779768856"/>
    <n v="76.727763926646006"/>
    <n v="281.176510238861"/>
    <n v="70.553864367800799"/>
    <x v="720"/>
    <n v="66.361269409271202"/>
    <x v="720"/>
    <n v="59.124174285671899"/>
    <n v="73.229663772423393"/>
    <x v="1"/>
    <n v="1"/>
    <x v="0"/>
    <n v="1"/>
    <x v="1"/>
    <x v="175"/>
  </r>
  <r>
    <x v="6"/>
    <x v="6"/>
    <n v="175"/>
    <n v="76"/>
    <x v="2"/>
    <x v="703"/>
    <n v="21"/>
    <n v="2"/>
    <n v="73.883347580317306"/>
    <n v="82.286335216444897"/>
    <n v="274.08250240780501"/>
    <n v="91.191321168196794"/>
    <x v="721"/>
    <n v="77.003084916761495"/>
    <x v="721"/>
    <n v="69.766574401624496"/>
    <n v="85.888066409746799"/>
    <x v="0"/>
    <n v="0"/>
    <x v="1"/>
    <n v="1"/>
    <x v="1"/>
    <x v="369"/>
  </r>
  <r>
    <x v="6"/>
    <x v="6"/>
    <n v="178"/>
    <n v="70"/>
    <x v="1"/>
    <x v="704"/>
    <n v="8"/>
    <n v="1"/>
    <n v="79.053287219950704"/>
    <n v="77.317644342330894"/>
    <n v="216.28159361837299"/>
    <n v="87.235486838724398"/>
    <x v="722"/>
    <n v="70.435173419113198"/>
    <x v="722"/>
    <n v="54.008232103259502"/>
    <n v="68.866169287942398"/>
    <x v="1"/>
    <n v="1"/>
    <x v="0"/>
    <n v="0"/>
    <x v="0"/>
    <x v="503"/>
  </r>
  <r>
    <x v="2"/>
    <x v="2"/>
    <n v="157"/>
    <n v="83"/>
    <x v="3"/>
    <x v="705"/>
    <n v="24"/>
    <n v="2"/>
    <n v="79.536791659689101"/>
    <n v="77.716239217256501"/>
    <n v="208.74744224956001"/>
    <n v="92.769463880123595"/>
    <x v="723"/>
    <n v="71.995656949985502"/>
    <x v="723"/>
    <n v="44.002699141501999"/>
    <n v="66.846215853472501"/>
    <x v="1"/>
    <n v="0"/>
    <x v="1"/>
    <n v="0"/>
    <x v="0"/>
    <x v="504"/>
  </r>
  <r>
    <x v="1"/>
    <x v="1"/>
    <n v="179"/>
    <n v="69"/>
    <x v="0"/>
    <x v="706"/>
    <n v="12"/>
    <n v="0"/>
    <n v="72.072754831078996"/>
    <n v="86.184704748770699"/>
    <n v="287.65237447312302"/>
    <n v="78.5457117632033"/>
    <x v="724"/>
    <n v="79.650543079687395"/>
    <x v="724"/>
    <n v="40.484129271089103"/>
    <n v="89.484204562531801"/>
    <x v="0"/>
    <n v="0"/>
    <x v="1"/>
    <n v="0"/>
    <x v="0"/>
    <x v="272"/>
  </r>
  <r>
    <x v="4"/>
    <x v="4"/>
    <n v="179"/>
    <n v="70"/>
    <x v="2"/>
    <x v="707"/>
    <n v="37"/>
    <n v="1"/>
    <n v="78.408668957692001"/>
    <n v="82.589236874074302"/>
    <n v="227.46123764910701"/>
    <n v="84.511966608517497"/>
    <x v="725"/>
    <n v="82.111504804364102"/>
    <x v="725"/>
    <n v="44.492048419823298"/>
    <n v="88.395026041760204"/>
    <x v="0"/>
    <n v="0"/>
    <x v="1"/>
    <n v="0"/>
    <x v="0"/>
    <x v="505"/>
  </r>
  <r>
    <x v="4"/>
    <x v="4"/>
    <n v="173"/>
    <n v="65"/>
    <x v="2"/>
    <x v="708"/>
    <n v="8"/>
    <n v="2"/>
    <n v="57.626079558168499"/>
    <n v="86.3233417324128"/>
    <n v="204.13172390371699"/>
    <n v="85.520793818093907"/>
    <x v="726"/>
    <n v="85.717722472773403"/>
    <x v="726"/>
    <n v="50.4748366275725"/>
    <n v="73.617801459337301"/>
    <x v="1"/>
    <n v="1"/>
    <x v="0"/>
    <n v="1"/>
    <x v="1"/>
    <x v="108"/>
  </r>
  <r>
    <x v="1"/>
    <x v="1"/>
    <n v="175"/>
    <n v="68"/>
    <x v="1"/>
    <x v="140"/>
    <n v="31"/>
    <n v="1"/>
    <n v="65.466020670741003"/>
    <n v="97.121839097051406"/>
    <n v="258.414948939552"/>
    <n v="88.686361782426999"/>
    <x v="727"/>
    <n v="78.672232931024098"/>
    <x v="727"/>
    <n v="58.7184050853581"/>
    <n v="90.046833424584705"/>
    <x v="0"/>
    <n v="1"/>
    <x v="0"/>
    <n v="0"/>
    <x v="0"/>
    <x v="399"/>
  </r>
  <r>
    <x v="5"/>
    <x v="5"/>
    <n v="187"/>
    <n v="66"/>
    <x v="1"/>
    <x v="709"/>
    <n v="12"/>
    <n v="2"/>
    <n v="71.319911080197798"/>
    <n v="67.6834986578192"/>
    <n v="271.16878430827398"/>
    <n v="83.613041839962506"/>
    <x v="728"/>
    <n v="74.383523459572899"/>
    <x v="728"/>
    <n v="46.807617415436603"/>
    <n v="62.313822105930299"/>
    <x v="1"/>
    <n v="0"/>
    <x v="1"/>
    <n v="1"/>
    <x v="1"/>
    <x v="216"/>
  </r>
  <r>
    <x v="0"/>
    <x v="0"/>
    <n v="175"/>
    <n v="69"/>
    <x v="0"/>
    <x v="710"/>
    <n v="12"/>
    <n v="1"/>
    <n v="81.968813045414606"/>
    <n v="90.985701731183298"/>
    <n v="273.84422451760798"/>
    <n v="79.8450299068096"/>
    <x v="729"/>
    <n v="85.530397497506996"/>
    <x v="729"/>
    <n v="45.311182925206097"/>
    <n v="64.760862881030306"/>
    <x v="1"/>
    <n v="0"/>
    <x v="1"/>
    <n v="1"/>
    <x v="1"/>
    <x v="245"/>
  </r>
  <r>
    <x v="1"/>
    <x v="1"/>
    <n v="168"/>
    <n v="73"/>
    <x v="3"/>
    <x v="711"/>
    <n v="31"/>
    <n v="0"/>
    <n v="74.099782921794102"/>
    <n v="81.316143607445596"/>
    <n v="235.94549125311099"/>
    <n v="87.505628508868497"/>
    <x v="730"/>
    <n v="76.196547260408906"/>
    <x v="730"/>
    <n v="57.311916744997902"/>
    <n v="75.407294441007096"/>
    <x v="1"/>
    <n v="1"/>
    <x v="0"/>
    <n v="0"/>
    <x v="0"/>
    <x v="506"/>
  </r>
  <r>
    <x v="0"/>
    <x v="0"/>
    <n v="174"/>
    <n v="80"/>
    <x v="3"/>
    <x v="712"/>
    <n v="15"/>
    <n v="0"/>
    <n v="78.795070184631896"/>
    <n v="90.499957058838305"/>
    <n v="265.31097647213602"/>
    <n v="91.127649937802104"/>
    <x v="731"/>
    <n v="76.464065976392106"/>
    <x v="731"/>
    <n v="38.647740198302699"/>
    <n v="83.619574991005607"/>
    <x v="0"/>
    <n v="1"/>
    <x v="0"/>
    <n v="0"/>
    <x v="0"/>
    <x v="301"/>
  </r>
  <r>
    <x v="4"/>
    <x v="4"/>
    <n v="176"/>
    <n v="81"/>
    <x v="1"/>
    <x v="713"/>
    <n v="35"/>
    <n v="3"/>
    <n v="72.123429012557807"/>
    <n v="83.732342976903595"/>
    <n v="271.59981347727802"/>
    <n v="87.086555915584796"/>
    <x v="732"/>
    <n v="82.4300466490091"/>
    <x v="732"/>
    <n v="43.904167733586803"/>
    <n v="78.195577466473594"/>
    <x v="1"/>
    <n v="0"/>
    <x v="1"/>
    <n v="1"/>
    <x v="1"/>
    <x v="502"/>
  </r>
  <r>
    <x v="6"/>
    <x v="6"/>
    <n v="177"/>
    <n v="75"/>
    <x v="3"/>
    <x v="714"/>
    <n v="20"/>
    <n v="0"/>
    <n v="74.706468184673199"/>
    <n v="73.605105560345095"/>
    <n v="258.183974959632"/>
    <n v="78.102445202941098"/>
    <x v="733"/>
    <n v="71.505406695035802"/>
    <x v="733"/>
    <n v="48.914579656527202"/>
    <n v="63.322778213013301"/>
    <x v="1"/>
    <n v="0"/>
    <x v="1"/>
    <n v="1"/>
    <x v="1"/>
    <x v="332"/>
  </r>
  <r>
    <x v="2"/>
    <x v="2"/>
    <n v="172"/>
    <n v="85"/>
    <x v="0"/>
    <x v="715"/>
    <n v="22"/>
    <n v="3"/>
    <n v="63.409773108522003"/>
    <n v="77.505608165209097"/>
    <n v="288.64824611764999"/>
    <n v="82.070332897803397"/>
    <x v="734"/>
    <n v="81.071108504434093"/>
    <x v="734"/>
    <n v="55.844711805937301"/>
    <n v="71.478429902688902"/>
    <x v="1"/>
    <n v="0"/>
    <x v="1"/>
    <n v="1"/>
    <x v="1"/>
    <x v="125"/>
  </r>
  <r>
    <x v="3"/>
    <x v="3"/>
    <n v="188"/>
    <n v="64"/>
    <x v="3"/>
    <x v="716"/>
    <n v="32"/>
    <n v="0"/>
    <n v="82.665171976698105"/>
    <n v="88.891747721068796"/>
    <n v="228.25840393934999"/>
    <n v="89.311068927323603"/>
    <x v="735"/>
    <n v="85.135674639674505"/>
    <x v="735"/>
    <n v="43.228696180342197"/>
    <n v="58.472637760596299"/>
    <x v="2"/>
    <n v="1"/>
    <x v="0"/>
    <n v="0"/>
    <x v="0"/>
    <x v="507"/>
  </r>
  <r>
    <x v="6"/>
    <x v="6"/>
    <n v="179"/>
    <n v="83"/>
    <x v="1"/>
    <x v="717"/>
    <n v="37"/>
    <n v="0"/>
    <n v="77.163285451316696"/>
    <n v="74.384217214947199"/>
    <n v="248.098333223021"/>
    <n v="92.287370353177707"/>
    <x v="736"/>
    <n v="90.291367712474795"/>
    <x v="736"/>
    <n v="33.386943246395901"/>
    <n v="86.274927349330994"/>
    <x v="0"/>
    <n v="1"/>
    <x v="0"/>
    <n v="0"/>
    <x v="0"/>
    <x v="508"/>
  </r>
  <r>
    <x v="3"/>
    <x v="3"/>
    <n v="185"/>
    <n v="56"/>
    <x v="1"/>
    <x v="718"/>
    <n v="8"/>
    <n v="1"/>
    <n v="79.347081115375801"/>
    <n v="91.162699029883697"/>
    <n v="252.283105812668"/>
    <n v="89.1328189488775"/>
    <x v="737"/>
    <n v="92.626379528920594"/>
    <x v="737"/>
    <n v="50.8998375838353"/>
    <n v="84.792159606991802"/>
    <x v="0"/>
    <n v="1"/>
    <x v="0"/>
    <n v="0"/>
    <x v="0"/>
    <x v="509"/>
  </r>
  <r>
    <x v="3"/>
    <x v="3"/>
    <n v="178"/>
    <n v="68"/>
    <x v="0"/>
    <x v="719"/>
    <n v="13"/>
    <n v="1"/>
    <n v="77.216987252559804"/>
    <n v="75.080430163458601"/>
    <n v="264.86505897450502"/>
    <n v="67.066146000436902"/>
    <x v="738"/>
    <n v="70.435107766476705"/>
    <x v="738"/>
    <n v="73.859664723861499"/>
    <n v="63.747337432993596"/>
    <x v="1"/>
    <n v="0"/>
    <x v="1"/>
    <n v="1"/>
    <x v="1"/>
    <x v="66"/>
  </r>
  <r>
    <x v="1"/>
    <x v="1"/>
    <n v="190"/>
    <n v="66"/>
    <x v="3"/>
    <x v="720"/>
    <n v="6"/>
    <n v="2"/>
    <n v="67.460510324584902"/>
    <n v="64.120409662165798"/>
    <n v="297.350728155019"/>
    <n v="78.782945563343006"/>
    <x v="739"/>
    <n v="55.7843224824733"/>
    <x v="739"/>
    <n v="49.470208715469099"/>
    <n v="82.918951400585399"/>
    <x v="0"/>
    <n v="1"/>
    <x v="0"/>
    <n v="1"/>
    <x v="1"/>
    <x v="510"/>
  </r>
  <r>
    <x v="5"/>
    <x v="5"/>
    <n v="170"/>
    <n v="71"/>
    <x v="2"/>
    <x v="721"/>
    <n v="16"/>
    <n v="0"/>
    <n v="70.936938822376007"/>
    <n v="72.135235045834307"/>
    <n v="237.81902973654999"/>
    <n v="78.5145765356434"/>
    <x v="740"/>
    <n v="68.703190366545797"/>
    <x v="740"/>
    <n v="51.507979124062103"/>
    <n v="69.057443088014296"/>
    <x v="1"/>
    <n v="0"/>
    <x v="1"/>
    <n v="1"/>
    <x v="1"/>
    <x v="511"/>
  </r>
  <r>
    <x v="1"/>
    <x v="1"/>
    <n v="187"/>
    <n v="79"/>
    <x v="0"/>
    <x v="722"/>
    <n v="9"/>
    <n v="0"/>
    <n v="79.574935501478194"/>
    <n v="88.802284670515604"/>
    <n v="233.05891977819201"/>
    <n v="83.262237081684901"/>
    <x v="741"/>
    <n v="79.563746009725804"/>
    <x v="741"/>
    <n v="46.985757166023703"/>
    <n v="67.937841351838401"/>
    <x v="1"/>
    <n v="1"/>
    <x v="0"/>
    <n v="0"/>
    <x v="0"/>
    <x v="164"/>
  </r>
  <r>
    <x v="2"/>
    <x v="2"/>
    <n v="175"/>
    <n v="101"/>
    <x v="1"/>
    <x v="723"/>
    <n v="37"/>
    <n v="3"/>
    <n v="70.831329525974297"/>
    <n v="80.969873882943205"/>
    <n v="219.97604985035099"/>
    <n v="79.046105247776694"/>
    <x v="742"/>
    <n v="81.453156815654694"/>
    <x v="742"/>
    <n v="64.643382581009902"/>
    <n v="77.743957749686402"/>
    <x v="1"/>
    <n v="0"/>
    <x v="1"/>
    <n v="1"/>
    <x v="1"/>
    <x v="512"/>
  </r>
  <r>
    <x v="5"/>
    <x v="5"/>
    <n v="174"/>
    <n v="88"/>
    <x v="1"/>
    <x v="724"/>
    <n v="28"/>
    <n v="2"/>
    <n v="69.560688904828297"/>
    <n v="70.974006506089907"/>
    <n v="267.62669343573998"/>
    <n v="76.733983778643307"/>
    <x v="743"/>
    <n v="75.750551369124594"/>
    <x v="743"/>
    <n v="56.797815885914801"/>
    <n v="70.1236956273397"/>
    <x v="1"/>
    <n v="0"/>
    <x v="1"/>
    <n v="1"/>
    <x v="1"/>
    <x v="479"/>
  </r>
  <r>
    <x v="1"/>
    <x v="1"/>
    <n v="178"/>
    <n v="68"/>
    <x v="1"/>
    <x v="725"/>
    <n v="32"/>
    <n v="2"/>
    <n v="71.582673408328006"/>
    <n v="68.053388336692905"/>
    <n v="267.790764496674"/>
    <n v="82.615568543850699"/>
    <x v="744"/>
    <n v="67.444305624641004"/>
    <x v="744"/>
    <n v="66.0848567727312"/>
    <n v="71.248427783499395"/>
    <x v="1"/>
    <n v="0"/>
    <x v="1"/>
    <n v="1"/>
    <x v="1"/>
    <x v="66"/>
  </r>
  <r>
    <x v="2"/>
    <x v="2"/>
    <n v="154"/>
    <n v="66"/>
    <x v="1"/>
    <x v="726"/>
    <n v="9"/>
    <n v="1"/>
    <n v="70.538846675705301"/>
    <n v="72.236197421432706"/>
    <n v="289.56264391498303"/>
    <n v="89.057236715484905"/>
    <x v="745"/>
    <n v="76.656544873490006"/>
    <x v="745"/>
    <n v="57.469218525214004"/>
    <n v="50"/>
    <x v="2"/>
    <n v="1"/>
    <x v="0"/>
    <n v="1"/>
    <x v="1"/>
    <x v="513"/>
  </r>
  <r>
    <x v="1"/>
    <x v="1"/>
    <n v="174"/>
    <n v="83"/>
    <x v="3"/>
    <x v="727"/>
    <n v="18"/>
    <n v="2"/>
    <n v="80.175680308328495"/>
    <n v="80.934997622342394"/>
    <n v="233.066514187199"/>
    <n v="92.384718089476493"/>
    <x v="746"/>
    <n v="79.089615911057805"/>
    <x v="746"/>
    <n v="46.449962516840301"/>
    <n v="87.081884597510793"/>
    <x v="0"/>
    <n v="0"/>
    <x v="1"/>
    <n v="0"/>
    <x v="0"/>
    <x v="24"/>
  </r>
  <r>
    <x v="3"/>
    <x v="3"/>
    <n v="190"/>
    <n v="62"/>
    <x v="2"/>
    <x v="728"/>
    <n v="33"/>
    <n v="2"/>
    <n v="66.750058256610401"/>
    <n v="75.305217699729894"/>
    <n v="251.83050594479701"/>
    <n v="81.747555857024906"/>
    <x v="747"/>
    <n v="75.402993413917898"/>
    <x v="747"/>
    <n v="69.703309320312499"/>
    <n v="77.916398964387497"/>
    <x v="1"/>
    <n v="1"/>
    <x v="0"/>
    <n v="1"/>
    <x v="1"/>
    <x v="514"/>
  </r>
  <r>
    <x v="1"/>
    <x v="1"/>
    <n v="179"/>
    <n v="77"/>
    <x v="3"/>
    <x v="729"/>
    <n v="18"/>
    <n v="1"/>
    <n v="61.545745427295103"/>
    <n v="67.485307906765101"/>
    <n v="259.71971990482598"/>
    <n v="82.935070554303806"/>
    <x v="748"/>
    <n v="54.6246864501435"/>
    <x v="748"/>
    <n v="63.510169210571298"/>
    <n v="67.088441817182698"/>
    <x v="1"/>
    <n v="0"/>
    <x v="1"/>
    <n v="1"/>
    <x v="1"/>
    <x v="121"/>
  </r>
  <r>
    <x v="6"/>
    <x v="6"/>
    <n v="178"/>
    <n v="73"/>
    <x v="0"/>
    <x v="730"/>
    <n v="26"/>
    <n v="1"/>
    <n v="68.651504499915802"/>
    <n v="82.757132093674997"/>
    <n v="263.14803025083899"/>
    <n v="91.549514857495595"/>
    <x v="749"/>
    <n v="80.557618800441105"/>
    <x v="749"/>
    <n v="50.820663284984199"/>
    <n v="73.7835174666006"/>
    <x v="1"/>
    <n v="0"/>
    <x v="1"/>
    <n v="1"/>
    <x v="1"/>
    <x v="136"/>
  </r>
  <r>
    <x v="0"/>
    <x v="0"/>
    <n v="186"/>
    <n v="79"/>
    <x v="2"/>
    <x v="731"/>
    <n v="6"/>
    <n v="1"/>
    <n v="90.239634144755598"/>
    <n v="85.950753261285598"/>
    <n v="262.445693683157"/>
    <n v="80.940897726032205"/>
    <x v="750"/>
    <n v="80.578577484150799"/>
    <x v="750"/>
    <n v="42.515575734977098"/>
    <n v="81.312739913699104"/>
    <x v="0"/>
    <n v="1"/>
    <x v="0"/>
    <n v="0"/>
    <x v="0"/>
    <x v="227"/>
  </r>
  <r>
    <x v="6"/>
    <x v="6"/>
    <n v="173"/>
    <n v="51"/>
    <x v="3"/>
    <x v="732"/>
    <n v="20"/>
    <n v="2"/>
    <n v="78.621380768142402"/>
    <n v="90.944172639388896"/>
    <n v="233.481183983335"/>
    <n v="77.250503944249502"/>
    <x v="751"/>
    <n v="82.020226334689596"/>
    <x v="751"/>
    <n v="48.884605950269297"/>
    <n v="72.647106363258501"/>
    <x v="1"/>
    <n v="1"/>
    <x v="0"/>
    <n v="0"/>
    <x v="0"/>
    <x v="344"/>
  </r>
  <r>
    <x v="3"/>
    <x v="3"/>
    <n v="175"/>
    <n v="82"/>
    <x v="1"/>
    <x v="733"/>
    <n v="33"/>
    <n v="3"/>
    <n v="71.672713401597207"/>
    <n v="90.914392441597798"/>
    <n v="253.64959941497099"/>
    <n v="90.191970067447699"/>
    <x v="752"/>
    <n v="82.004205046685797"/>
    <x v="752"/>
    <n v="40.244109885629697"/>
    <n v="91.265697945697099"/>
    <x v="0"/>
    <n v="0"/>
    <x v="1"/>
    <n v="0"/>
    <x v="0"/>
    <x v="473"/>
  </r>
  <r>
    <x v="6"/>
    <x v="6"/>
    <n v="167"/>
    <n v="61"/>
    <x v="2"/>
    <x v="734"/>
    <n v="27"/>
    <n v="1"/>
    <n v="77.040186476189206"/>
    <n v="81.098098609840306"/>
    <n v="242.66537347715499"/>
    <n v="80.348572730097501"/>
    <x v="753"/>
    <n v="74.179207513547894"/>
    <x v="753"/>
    <n v="51.824352876342203"/>
    <n v="89.207400215866102"/>
    <x v="0"/>
    <n v="1"/>
    <x v="0"/>
    <n v="0"/>
    <x v="0"/>
    <x v="515"/>
  </r>
  <r>
    <x v="4"/>
    <x v="4"/>
    <n v="175"/>
    <n v="83"/>
    <x v="2"/>
    <x v="735"/>
    <n v="17"/>
    <n v="0"/>
    <n v="85.348355160880899"/>
    <n v="84.394316329951195"/>
    <n v="234.27272427771999"/>
    <n v="78.645472789249396"/>
    <x v="754"/>
    <n v="80.853612075925398"/>
    <x v="754"/>
    <n v="35.061051781958"/>
    <n v="68.743606961798307"/>
    <x v="1"/>
    <n v="1"/>
    <x v="0"/>
    <n v="0"/>
    <x v="0"/>
    <x v="317"/>
  </r>
  <r>
    <x v="3"/>
    <x v="3"/>
    <n v="175"/>
    <n v="75"/>
    <x v="2"/>
    <x v="736"/>
    <n v="15"/>
    <n v="4"/>
    <n v="74.055819386136093"/>
    <n v="74.428052982781196"/>
    <n v="280.356151475736"/>
    <n v="72.253518745489401"/>
    <x v="755"/>
    <n v="70.069842631318394"/>
    <x v="755"/>
    <n v="43.954918988735699"/>
    <n v="60.721504888661599"/>
    <x v="1"/>
    <n v="0"/>
    <x v="1"/>
    <n v="1"/>
    <x v="1"/>
    <x v="135"/>
  </r>
  <r>
    <x v="3"/>
    <x v="3"/>
    <n v="179"/>
    <n v="65"/>
    <x v="3"/>
    <x v="737"/>
    <n v="27"/>
    <n v="1"/>
    <n v="80.731906147845606"/>
    <n v="77.605879800867001"/>
    <n v="244.02481882520601"/>
    <n v="87.775342976578699"/>
    <x v="756"/>
    <n v="79.342429081572703"/>
    <x v="756"/>
    <n v="43.490068135192601"/>
    <n v="87.543418876480601"/>
    <x v="0"/>
    <n v="1"/>
    <x v="0"/>
    <n v="0"/>
    <x v="0"/>
    <x v="516"/>
  </r>
  <r>
    <x v="1"/>
    <x v="1"/>
    <n v="186"/>
    <n v="84"/>
    <x v="1"/>
    <x v="738"/>
    <n v="29"/>
    <n v="1"/>
    <n v="73.589270923428501"/>
    <n v="86.739784722495898"/>
    <n v="207.88438373384301"/>
    <n v="83.358910425644098"/>
    <x v="757"/>
    <n v="85.227558939580405"/>
    <x v="757"/>
    <n v="58.699944146699401"/>
    <n v="89.783715130586501"/>
    <x v="0"/>
    <n v="0"/>
    <x v="1"/>
    <n v="0"/>
    <x v="0"/>
    <x v="517"/>
  </r>
  <r>
    <x v="6"/>
    <x v="6"/>
    <n v="168"/>
    <n v="82"/>
    <x v="3"/>
    <x v="739"/>
    <n v="25"/>
    <n v="0"/>
    <n v="74.143962868336999"/>
    <n v="90.750922334534295"/>
    <n v="250.46749055844799"/>
    <n v="100"/>
    <x v="758"/>
    <n v="73.745414687931202"/>
    <x v="758"/>
    <n v="31.5651851245327"/>
    <n v="61.965936809476503"/>
    <x v="1"/>
    <n v="1"/>
    <x v="0"/>
    <n v="0"/>
    <x v="0"/>
    <x v="339"/>
  </r>
  <r>
    <x v="1"/>
    <x v="1"/>
    <n v="183"/>
    <n v="59"/>
    <x v="1"/>
    <x v="740"/>
    <n v="10"/>
    <n v="1"/>
    <n v="70.439205499177305"/>
    <n v="74.597022676885302"/>
    <n v="248.775549271046"/>
    <n v="89.057502628319199"/>
    <x v="759"/>
    <n v="75.990663091654696"/>
    <x v="759"/>
    <n v="68.643864142984398"/>
    <n v="62.991139784673301"/>
    <x v="1"/>
    <n v="1"/>
    <x v="0"/>
    <n v="1"/>
    <x v="1"/>
    <x v="518"/>
  </r>
  <r>
    <x v="2"/>
    <x v="2"/>
    <n v="172"/>
    <n v="66"/>
    <x v="2"/>
    <x v="741"/>
    <n v="7"/>
    <n v="1"/>
    <n v="73.373251458950605"/>
    <n v="84.751997654315602"/>
    <n v="201.558971931088"/>
    <n v="83.115705771571101"/>
    <x v="760"/>
    <n v="79.884785120634305"/>
    <x v="760"/>
    <n v="48.321563172107297"/>
    <n v="73.218243919967605"/>
    <x v="1"/>
    <n v="0"/>
    <x v="1"/>
    <n v="0"/>
    <x v="0"/>
    <x v="519"/>
  </r>
  <r>
    <x v="3"/>
    <x v="3"/>
    <n v="169"/>
    <n v="74"/>
    <x v="2"/>
    <x v="742"/>
    <n v="26"/>
    <n v="1"/>
    <n v="81.124161988001404"/>
    <n v="91.094866331647793"/>
    <n v="280.90001822162799"/>
    <n v="84.846881600697898"/>
    <x v="761"/>
    <n v="87.806284234514706"/>
    <x v="761"/>
    <n v="61.378996749050302"/>
    <n v="80.500978831206396"/>
    <x v="0"/>
    <n v="1"/>
    <x v="0"/>
    <n v="0"/>
    <x v="0"/>
    <x v="285"/>
  </r>
  <r>
    <x v="1"/>
    <x v="1"/>
    <n v="191"/>
    <n v="67"/>
    <x v="0"/>
    <x v="743"/>
    <n v="19"/>
    <n v="3"/>
    <n v="70.041234262856193"/>
    <n v="70.218387503309899"/>
    <n v="221.80027251639399"/>
    <n v="92.910070785355799"/>
    <x v="762"/>
    <n v="83.246717997436306"/>
    <x v="762"/>
    <n v="27.235168214889399"/>
    <n v="88.759059900021896"/>
    <x v="0"/>
    <n v="1"/>
    <x v="0"/>
    <n v="0"/>
    <x v="0"/>
    <x v="520"/>
  </r>
  <r>
    <x v="6"/>
    <x v="6"/>
    <n v="173"/>
    <n v="73"/>
    <x v="0"/>
    <x v="744"/>
    <n v="15"/>
    <n v="3"/>
    <n v="81.505825943631507"/>
    <n v="81.080059792703906"/>
    <n v="223.24341375697"/>
    <n v="92.0080736674511"/>
    <x v="763"/>
    <n v="95.530525791124902"/>
    <x v="763"/>
    <n v="50.049581821672597"/>
    <n v="87.3466000115138"/>
    <x v="0"/>
    <n v="1"/>
    <x v="0"/>
    <n v="0"/>
    <x v="0"/>
    <x v="521"/>
  </r>
  <r>
    <x v="1"/>
    <x v="1"/>
    <n v="173"/>
    <n v="69"/>
    <x v="0"/>
    <x v="745"/>
    <n v="12"/>
    <n v="4"/>
    <n v="75.411690728267303"/>
    <n v="71.888125679852806"/>
    <n v="247.96248313727099"/>
    <n v="78.075747385589295"/>
    <x v="764"/>
    <n v="58.9839766092161"/>
    <x v="764"/>
    <n v="62.794024389634799"/>
    <n v="60.7991000834174"/>
    <x v="1"/>
    <n v="1"/>
    <x v="0"/>
    <n v="1"/>
    <x v="1"/>
    <x v="39"/>
  </r>
  <r>
    <x v="1"/>
    <x v="1"/>
    <n v="176"/>
    <n v="72"/>
    <x v="0"/>
    <x v="746"/>
    <n v="8"/>
    <n v="2"/>
    <n v="84.816056403280399"/>
    <n v="83.591292479455305"/>
    <n v="243.027754836018"/>
    <n v="92.238094651282196"/>
    <x v="765"/>
    <n v="78.1443032703407"/>
    <x v="765"/>
    <n v="54.6938480925918"/>
    <n v="87.490698427061901"/>
    <x v="0"/>
    <n v="1"/>
    <x v="0"/>
    <n v="0"/>
    <x v="0"/>
    <x v="522"/>
  </r>
  <r>
    <x v="0"/>
    <x v="0"/>
    <n v="182"/>
    <n v="82"/>
    <x v="1"/>
    <x v="747"/>
    <n v="34"/>
    <n v="1"/>
    <n v="80.433298027777596"/>
    <n v="78.995723753267995"/>
    <n v="230.665710099037"/>
    <n v="82.453933261808103"/>
    <x v="766"/>
    <n v="85.1363531330163"/>
    <x v="766"/>
    <n v="48.274806530520898"/>
    <n v="76.054324172036999"/>
    <x v="1"/>
    <n v="0"/>
    <x v="1"/>
    <n v="0"/>
    <x v="0"/>
    <x v="309"/>
  </r>
  <r>
    <x v="2"/>
    <x v="2"/>
    <n v="180"/>
    <n v="78"/>
    <x v="1"/>
    <x v="748"/>
    <n v="20"/>
    <n v="0"/>
    <n v="78.628108350252901"/>
    <n v="78.912023524245399"/>
    <n v="232.15896112394799"/>
    <n v="90.921213531452807"/>
    <x v="767"/>
    <n v="73.533224449825099"/>
    <x v="767"/>
    <n v="40.211989030127697"/>
    <n v="79.420355932191001"/>
    <x v="1"/>
    <n v="1"/>
    <x v="0"/>
    <n v="0"/>
    <x v="0"/>
    <x v="398"/>
  </r>
  <r>
    <x v="4"/>
    <x v="4"/>
    <n v="170"/>
    <n v="83"/>
    <x v="0"/>
    <x v="749"/>
    <n v="23"/>
    <n v="1"/>
    <n v="72.749111882907798"/>
    <n v="68.540551553755805"/>
    <n v="246.33275797668199"/>
    <n v="94.157515195850493"/>
    <x v="768"/>
    <n v="72.048844147210701"/>
    <x v="768"/>
    <n v="70.328129552545604"/>
    <n v="72.655059095470904"/>
    <x v="1"/>
    <n v="1"/>
    <x v="0"/>
    <n v="1"/>
    <x v="1"/>
    <x v="273"/>
  </r>
  <r>
    <x v="5"/>
    <x v="5"/>
    <n v="175"/>
    <n v="73"/>
    <x v="1"/>
    <x v="750"/>
    <n v="19"/>
    <n v="1"/>
    <n v="77.726221783725904"/>
    <n v="79.603033323665798"/>
    <n v="254.068128166512"/>
    <n v="91.528744486992693"/>
    <x v="769"/>
    <n v="71.008061855886496"/>
    <x v="769"/>
    <n v="59.347781298188998"/>
    <n v="69.854250899114106"/>
    <x v="1"/>
    <n v="0"/>
    <x v="1"/>
    <n v="1"/>
    <x v="1"/>
    <x v="523"/>
  </r>
  <r>
    <x v="3"/>
    <x v="3"/>
    <n v="169"/>
    <n v="99"/>
    <x v="1"/>
    <x v="751"/>
    <n v="18"/>
    <n v="2"/>
    <n v="72.802746094872205"/>
    <n v="73.865319607868301"/>
    <n v="249.67585191481299"/>
    <n v="89.366024544500604"/>
    <x v="770"/>
    <n v="74.638246924670895"/>
    <x v="770"/>
    <n v="65.127194308408306"/>
    <n v="68.2529015167312"/>
    <x v="1"/>
    <n v="1"/>
    <x v="0"/>
    <n v="1"/>
    <x v="1"/>
    <x v="524"/>
  </r>
  <r>
    <x v="5"/>
    <x v="5"/>
    <n v="182"/>
    <n v="74"/>
    <x v="2"/>
    <x v="752"/>
    <n v="18"/>
    <n v="3"/>
    <n v="84.914275072660402"/>
    <n v="82.859940369766704"/>
    <n v="246.70933186155301"/>
    <n v="83.821477587738002"/>
    <x v="771"/>
    <n v="94.416813356078293"/>
    <x v="771"/>
    <n v="56.727779708281197"/>
    <n v="89.285825086345895"/>
    <x v="0"/>
    <n v="1"/>
    <x v="0"/>
    <n v="0"/>
    <x v="0"/>
    <x v="305"/>
  </r>
  <r>
    <x v="3"/>
    <x v="3"/>
    <n v="187"/>
    <n v="81"/>
    <x v="1"/>
    <x v="753"/>
    <n v="37"/>
    <n v="3"/>
    <n v="63.856286322966199"/>
    <n v="79.765355345624201"/>
    <n v="281.23147183478397"/>
    <n v="75.576834152850395"/>
    <x v="772"/>
    <n v="84.319079528750194"/>
    <x v="772"/>
    <n v="66.368476487860406"/>
    <n v="69.434029226700801"/>
    <x v="1"/>
    <n v="1"/>
    <x v="0"/>
    <n v="1"/>
    <x v="1"/>
    <x v="525"/>
  </r>
  <r>
    <x v="2"/>
    <x v="2"/>
    <n v="175"/>
    <n v="71"/>
    <x v="0"/>
    <x v="754"/>
    <n v="10"/>
    <n v="1"/>
    <n v="69.427784128626001"/>
    <n v="78.361201137187393"/>
    <n v="252.63382712188599"/>
    <n v="67.697117767262995"/>
    <x v="773"/>
    <n v="79.270058767884805"/>
    <x v="773"/>
    <n v="65.451997809533196"/>
    <n v="62.309487839598603"/>
    <x v="1"/>
    <n v="0"/>
    <x v="1"/>
    <n v="1"/>
    <x v="1"/>
    <x v="106"/>
  </r>
  <r>
    <x v="0"/>
    <x v="0"/>
    <n v="173"/>
    <n v="88"/>
    <x v="2"/>
    <x v="755"/>
    <n v="8"/>
    <n v="2"/>
    <n v="67.783058126089401"/>
    <n v="75.845906668895793"/>
    <n v="266.23189185856302"/>
    <n v="87.921120113302905"/>
    <x v="774"/>
    <n v="65.604829388482599"/>
    <x v="774"/>
    <n v="62.529866416760001"/>
    <n v="76.630436787354199"/>
    <x v="1"/>
    <n v="0"/>
    <x v="1"/>
    <n v="1"/>
    <x v="1"/>
    <x v="278"/>
  </r>
  <r>
    <x v="4"/>
    <x v="4"/>
    <n v="180"/>
    <n v="78"/>
    <x v="1"/>
    <x v="756"/>
    <n v="23"/>
    <n v="4"/>
    <n v="72.251462008003202"/>
    <n v="87.744727035168694"/>
    <n v="287.98339039079599"/>
    <n v="85.756964096912895"/>
    <x v="775"/>
    <n v="86.510303930678504"/>
    <x v="775"/>
    <n v="56.114118112037403"/>
    <n v="78.673996399953396"/>
    <x v="1"/>
    <n v="0"/>
    <x v="1"/>
    <n v="1"/>
    <x v="1"/>
    <x v="398"/>
  </r>
  <r>
    <x v="4"/>
    <x v="4"/>
    <n v="163"/>
    <n v="85"/>
    <x v="0"/>
    <x v="757"/>
    <n v="32"/>
    <n v="1"/>
    <n v="77.752415068214404"/>
    <n v="99.495342150240404"/>
    <n v="245.58878181427301"/>
    <n v="91.562850549244203"/>
    <x v="776"/>
    <n v="84.617233479590595"/>
    <x v="776"/>
    <n v="61.923874777319398"/>
    <n v="75.387622777010904"/>
    <x v="1"/>
    <n v="1"/>
    <x v="0"/>
    <n v="0"/>
    <x v="0"/>
    <x v="526"/>
  </r>
  <r>
    <x v="2"/>
    <x v="2"/>
    <n v="178"/>
    <n v="65"/>
    <x v="0"/>
    <x v="758"/>
    <n v="6"/>
    <n v="2"/>
    <n v="68.693693029572998"/>
    <n v="84.175547650281203"/>
    <n v="247.49182303114401"/>
    <n v="73.512410816177706"/>
    <x v="777"/>
    <n v="88.992252742906203"/>
    <x v="777"/>
    <n v="53.202616519046202"/>
    <n v="55.016390892520803"/>
    <x v="2"/>
    <n v="1"/>
    <x v="0"/>
    <n v="0"/>
    <x v="0"/>
    <x v="249"/>
  </r>
  <r>
    <x v="1"/>
    <x v="1"/>
    <n v="177"/>
    <n v="71"/>
    <x v="3"/>
    <x v="759"/>
    <n v="13"/>
    <n v="1"/>
    <n v="72.041827621625401"/>
    <n v="85.534787211544895"/>
    <n v="270.30942462024302"/>
    <n v="76.210358913155005"/>
    <x v="778"/>
    <n v="71.907133046723899"/>
    <x v="778"/>
    <n v="59.791065952886903"/>
    <n v="78.423660320302702"/>
    <x v="1"/>
    <n v="0"/>
    <x v="1"/>
    <n v="1"/>
    <x v="1"/>
    <x v="244"/>
  </r>
  <r>
    <x v="4"/>
    <x v="4"/>
    <n v="174"/>
    <n v="82"/>
    <x v="2"/>
    <x v="760"/>
    <n v="38"/>
    <n v="1"/>
    <n v="77.5942509036377"/>
    <n v="83.599970752658393"/>
    <n v="197.94027121524201"/>
    <n v="89.842884236774196"/>
    <x v="779"/>
    <n v="88.613366494243394"/>
    <x v="779"/>
    <n v="65.016815144537304"/>
    <n v="73.161847658438205"/>
    <x v="1"/>
    <n v="0"/>
    <x v="1"/>
    <n v="0"/>
    <x v="0"/>
    <x v="527"/>
  </r>
  <r>
    <x v="1"/>
    <x v="1"/>
    <n v="178"/>
    <n v="67"/>
    <x v="2"/>
    <x v="761"/>
    <n v="23"/>
    <n v="5"/>
    <n v="69.405814709985606"/>
    <n v="83.023339710580004"/>
    <n v="283.026431677929"/>
    <n v="89.270535774298693"/>
    <x v="780"/>
    <n v="78.349715124104804"/>
    <x v="780"/>
    <n v="81.573838060450001"/>
    <n v="69.055731199107797"/>
    <x v="1"/>
    <n v="0"/>
    <x v="1"/>
    <n v="1"/>
    <x v="1"/>
    <x v="528"/>
  </r>
  <r>
    <x v="4"/>
    <x v="4"/>
    <n v="180"/>
    <n v="75"/>
    <x v="1"/>
    <x v="762"/>
    <n v="36"/>
    <n v="1"/>
    <n v="77.920558625656099"/>
    <n v="78.537807150338807"/>
    <n v="245.72651712289999"/>
    <n v="82.015063586606999"/>
    <x v="781"/>
    <n v="74.870790365602403"/>
    <x v="781"/>
    <n v="67.092722873518696"/>
    <n v="93.420354119439594"/>
    <x v="0"/>
    <n v="1"/>
    <x v="0"/>
    <n v="0"/>
    <x v="0"/>
    <x v="385"/>
  </r>
  <r>
    <x v="3"/>
    <x v="3"/>
    <n v="179"/>
    <n v="59"/>
    <x v="2"/>
    <x v="763"/>
    <n v="39"/>
    <n v="2"/>
    <n v="75.305861281769495"/>
    <n v="68.651673295143098"/>
    <n v="288.11060093244703"/>
    <n v="89.499499386944095"/>
    <x v="782"/>
    <n v="74.091955782860197"/>
    <x v="782"/>
    <n v="44.2722542030941"/>
    <n v="81.001713647814498"/>
    <x v="0"/>
    <n v="1"/>
    <x v="0"/>
    <n v="1"/>
    <x v="1"/>
    <x v="400"/>
  </r>
  <r>
    <x v="2"/>
    <x v="2"/>
    <n v="184"/>
    <n v="71"/>
    <x v="1"/>
    <x v="764"/>
    <n v="15"/>
    <n v="0"/>
    <n v="69.713249717774701"/>
    <n v="88.989563420772996"/>
    <n v="245.35903095737399"/>
    <n v="86.595850822434301"/>
    <x v="783"/>
    <n v="100"/>
    <x v="783"/>
    <n v="45.1806853295002"/>
    <n v="78.413679472178103"/>
    <x v="1"/>
    <n v="1"/>
    <x v="0"/>
    <n v="0"/>
    <x v="0"/>
    <x v="51"/>
  </r>
  <r>
    <x v="3"/>
    <x v="3"/>
    <n v="173"/>
    <n v="74"/>
    <x v="3"/>
    <x v="765"/>
    <n v="9"/>
    <n v="3"/>
    <n v="72.522427798954098"/>
    <n v="75.459781470853898"/>
    <n v="297.66275679211901"/>
    <n v="88.219517104610404"/>
    <x v="784"/>
    <n v="76.127907452939397"/>
    <x v="784"/>
    <n v="57.013662499231998"/>
    <n v="80.609225143515403"/>
    <x v="0"/>
    <n v="0"/>
    <x v="1"/>
    <n v="1"/>
    <x v="1"/>
    <x v="458"/>
  </r>
  <r>
    <x v="6"/>
    <x v="6"/>
    <n v="178"/>
    <n v="69"/>
    <x v="2"/>
    <x v="766"/>
    <n v="22"/>
    <n v="0"/>
    <n v="74.231095770479698"/>
    <n v="68.224178434821198"/>
    <n v="251.172107804956"/>
    <n v="71.010192583284805"/>
    <x v="785"/>
    <n v="76.624216259737494"/>
    <x v="785"/>
    <n v="63.917902028910902"/>
    <n v="62.128085844599099"/>
    <x v="1"/>
    <n v="1"/>
    <x v="0"/>
    <n v="1"/>
    <x v="1"/>
    <x v="357"/>
  </r>
  <r>
    <x v="5"/>
    <x v="5"/>
    <n v="185"/>
    <n v="72"/>
    <x v="2"/>
    <x v="767"/>
    <n v="27"/>
    <n v="4"/>
    <n v="74.605146910504601"/>
    <n v="81.325589544012004"/>
    <n v="280.047020058626"/>
    <n v="61.930897821220903"/>
    <x v="786"/>
    <n v="72.726160137098304"/>
    <x v="786"/>
    <n v="66.259469119356098"/>
    <n v="74.876891885625497"/>
    <x v="1"/>
    <n v="0"/>
    <x v="1"/>
    <n v="1"/>
    <x v="1"/>
    <x v="529"/>
  </r>
  <r>
    <x v="2"/>
    <x v="2"/>
    <n v="181"/>
    <n v="88"/>
    <x v="2"/>
    <x v="768"/>
    <n v="14"/>
    <n v="1"/>
    <n v="78.152967038191505"/>
    <n v="87.386102057740402"/>
    <n v="286.06089396173297"/>
    <n v="90.225836695498899"/>
    <x v="787"/>
    <n v="84.200174550377596"/>
    <x v="787"/>
    <n v="34.031240609737303"/>
    <n v="62.667537247609197"/>
    <x v="1"/>
    <n v="1"/>
    <x v="0"/>
    <n v="0"/>
    <x v="0"/>
    <x v="530"/>
  </r>
  <r>
    <x v="5"/>
    <x v="5"/>
    <n v="174"/>
    <n v="80"/>
    <x v="0"/>
    <x v="769"/>
    <n v="10"/>
    <n v="1"/>
    <n v="70.206594697956405"/>
    <n v="69.363689895807298"/>
    <n v="276.13823010803799"/>
    <n v="74.842512058473503"/>
    <x v="788"/>
    <n v="68.935330654938895"/>
    <x v="788"/>
    <n v="42.766541966944096"/>
    <n v="68.041834944954999"/>
    <x v="1"/>
    <n v="0"/>
    <x v="1"/>
    <n v="1"/>
    <x v="1"/>
    <x v="301"/>
  </r>
  <r>
    <x v="5"/>
    <x v="5"/>
    <n v="172"/>
    <n v="91"/>
    <x v="1"/>
    <x v="770"/>
    <n v="39"/>
    <n v="4"/>
    <n v="70.587522618266803"/>
    <n v="64.434833051556694"/>
    <n v="257.972455619291"/>
    <n v="73.362189418101195"/>
    <x v="789"/>
    <n v="73.042431440037305"/>
    <x v="789"/>
    <n v="56.651192479403903"/>
    <n v="78.604738123711499"/>
    <x v="1"/>
    <n v="1"/>
    <x v="0"/>
    <n v="1"/>
    <x v="1"/>
    <x v="531"/>
  </r>
  <r>
    <x v="0"/>
    <x v="0"/>
    <n v="165"/>
    <n v="91"/>
    <x v="1"/>
    <x v="771"/>
    <n v="33"/>
    <n v="0"/>
    <n v="78.789353778148495"/>
    <n v="83.184336830604806"/>
    <n v="243.74049641807301"/>
    <n v="90.058561666088906"/>
    <x v="790"/>
    <n v="84.347563273944999"/>
    <x v="790"/>
    <n v="32.854776917021397"/>
    <n v="66.566416619017104"/>
    <x v="1"/>
    <n v="1"/>
    <x v="0"/>
    <n v="0"/>
    <x v="0"/>
    <x v="532"/>
  </r>
  <r>
    <x v="0"/>
    <x v="0"/>
    <n v="176"/>
    <n v="64"/>
    <x v="0"/>
    <x v="772"/>
    <n v="12"/>
    <n v="8"/>
    <n v="72.835611996311897"/>
    <n v="68.084009704498001"/>
    <n v="262.94082462939099"/>
    <n v="77.426225819534196"/>
    <x v="791"/>
    <n v="78.462913990579096"/>
    <x v="791"/>
    <n v="56.8439476583237"/>
    <n v="78.416412432770201"/>
    <x v="1"/>
    <n v="0"/>
    <x v="1"/>
    <n v="1"/>
    <x v="1"/>
    <x v="27"/>
  </r>
  <r>
    <x v="0"/>
    <x v="0"/>
    <n v="177"/>
    <n v="47"/>
    <x v="0"/>
    <x v="773"/>
    <n v="5"/>
    <n v="2"/>
    <n v="78.407460652594693"/>
    <n v="70.448078158627297"/>
    <n v="245.27916047895201"/>
    <n v="92.705115693524107"/>
    <x v="792"/>
    <n v="85.762187574943695"/>
    <x v="792"/>
    <n v="60.006854606277301"/>
    <n v="78.966523765737094"/>
    <x v="1"/>
    <n v="1"/>
    <x v="0"/>
    <n v="0"/>
    <x v="0"/>
    <x v="533"/>
  </r>
  <r>
    <x v="2"/>
    <x v="2"/>
    <n v="191"/>
    <n v="63"/>
    <x v="0"/>
    <x v="774"/>
    <n v="10"/>
    <n v="4"/>
    <n v="70.587857370838805"/>
    <n v="78.240400456540101"/>
    <n v="280.47756318793398"/>
    <n v="78.815193173003394"/>
    <x v="793"/>
    <n v="74.714351269079899"/>
    <x v="793"/>
    <n v="79.654042301510003"/>
    <n v="74.142989199789696"/>
    <x v="1"/>
    <n v="1"/>
    <x v="0"/>
    <n v="1"/>
    <x v="1"/>
    <x v="534"/>
  </r>
  <r>
    <x v="6"/>
    <x v="6"/>
    <n v="182"/>
    <n v="61"/>
    <x v="0"/>
    <x v="775"/>
    <n v="18"/>
    <n v="1"/>
    <n v="78.049273061570403"/>
    <n v="82.046304591596595"/>
    <n v="223.880218141087"/>
    <n v="96.912326738276505"/>
    <x v="794"/>
    <n v="84.482399436814902"/>
    <x v="794"/>
    <n v="49.984454112722503"/>
    <n v="76.425750009017705"/>
    <x v="1"/>
    <n v="0"/>
    <x v="1"/>
    <n v="0"/>
    <x v="0"/>
    <x v="109"/>
  </r>
  <r>
    <x v="0"/>
    <x v="0"/>
    <n v="182"/>
    <n v="63"/>
    <x v="3"/>
    <x v="776"/>
    <n v="33"/>
    <n v="1"/>
    <n v="72.678399960506496"/>
    <n v="84.620355128760394"/>
    <n v="240.117111023446"/>
    <n v="74.372626752521796"/>
    <x v="795"/>
    <n v="78.812645031206699"/>
    <x v="795"/>
    <n v="70.472111634928197"/>
    <n v="78.7958648407064"/>
    <x v="1"/>
    <n v="0"/>
    <x v="1"/>
    <n v="1"/>
    <x v="1"/>
    <x v="416"/>
  </r>
  <r>
    <x v="5"/>
    <x v="5"/>
    <n v="181"/>
    <n v="66"/>
    <x v="2"/>
    <x v="777"/>
    <n v="11"/>
    <n v="2"/>
    <n v="67.290643790851604"/>
    <n v="70.726744670238602"/>
    <n v="260.34111772698202"/>
    <n v="85.392131957061693"/>
    <x v="796"/>
    <n v="81.302512863089802"/>
    <x v="796"/>
    <n v="67.209292725627193"/>
    <n v="79.008597313741504"/>
    <x v="1"/>
    <n v="1"/>
    <x v="0"/>
    <n v="1"/>
    <x v="1"/>
    <x v="535"/>
  </r>
  <r>
    <x v="6"/>
    <x v="6"/>
    <n v="182"/>
    <n v="75"/>
    <x v="3"/>
    <x v="778"/>
    <n v="17"/>
    <n v="3"/>
    <n v="81.164089366062001"/>
    <n v="83.486770799946001"/>
    <n v="264.19265734534702"/>
    <n v="84.031045676699193"/>
    <x v="797"/>
    <n v="69.857953659515303"/>
    <x v="797"/>
    <n v="78.213352854535898"/>
    <n v="74.379626151482398"/>
    <x v="1"/>
    <n v="0"/>
    <x v="1"/>
    <n v="1"/>
    <x v="1"/>
    <x v="499"/>
  </r>
  <r>
    <x v="2"/>
    <x v="2"/>
    <n v="188"/>
    <n v="86"/>
    <x v="3"/>
    <x v="779"/>
    <n v="35"/>
    <n v="1"/>
    <n v="71.184900779815806"/>
    <n v="85.585049821448706"/>
    <n v="204.446478387052"/>
    <n v="84.417342254948394"/>
    <x v="798"/>
    <n v="73.459174236729794"/>
    <x v="798"/>
    <n v="50.906356189600402"/>
    <n v="70.320367234116802"/>
    <x v="1"/>
    <n v="1"/>
    <x v="0"/>
    <n v="0"/>
    <x v="0"/>
    <x v="536"/>
  </r>
  <r>
    <x v="0"/>
    <x v="0"/>
    <n v="186"/>
    <n v="73"/>
    <x v="0"/>
    <x v="780"/>
    <n v="15"/>
    <n v="1"/>
    <n v="59.709612781299199"/>
    <n v="72.966691898212304"/>
    <n v="255.770337416442"/>
    <n v="84.186100375893204"/>
    <x v="799"/>
    <n v="67.491524812003206"/>
    <x v="799"/>
    <n v="65.504117104456"/>
    <n v="68.115948846932696"/>
    <x v="1"/>
    <n v="0"/>
    <x v="1"/>
    <n v="1"/>
    <x v="1"/>
    <x v="5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0D3347-F0D1-4EAB-8A14-D461C8F4C7DA}"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11" firstHeaderRow="0" firstDataRow="1" firstDataCol="1"/>
  <pivotFields count="23">
    <pivotField showAll="0">
      <items count="8">
        <item x="1"/>
        <item x="4"/>
        <item x="2"/>
        <item x="5"/>
        <item x="0"/>
        <item x="3"/>
        <item x="6"/>
        <item t="default"/>
      </items>
    </pivotField>
    <pivotField axis="axisRow" showAll="0">
      <items count="8">
        <item x="1"/>
        <item x="4"/>
        <item x="2"/>
        <item x="5"/>
        <item x="0"/>
        <item x="3"/>
        <item x="6"/>
        <item t="default"/>
      </items>
    </pivotField>
    <pivotField showAll="0"/>
    <pivotField showAll="0"/>
    <pivotField showAll="0">
      <items count="5">
        <item x="2"/>
        <item x="1"/>
        <item x="3"/>
        <item x="0"/>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s>
  <rowFields count="1">
    <field x="1"/>
  </rowFields>
  <rowItems count="8">
    <i>
      <x/>
    </i>
    <i>
      <x v="1"/>
    </i>
    <i>
      <x v="2"/>
    </i>
    <i>
      <x v="3"/>
    </i>
    <i>
      <x v="4"/>
    </i>
    <i>
      <x v="5"/>
    </i>
    <i>
      <x v="6"/>
    </i>
    <i t="grand">
      <x/>
    </i>
  </rowItems>
  <colFields count="1">
    <field x="-2"/>
  </colFields>
  <colItems count="2">
    <i>
      <x/>
    </i>
    <i i="1">
      <x v="1"/>
    </i>
  </colItems>
  <dataFields count="2">
    <dataField name="Average of Knee_Strength_Score" fld="8" subtotal="average" baseField="0" baseItem="0" numFmtId="2"/>
    <dataField name="Average of Hamstring_Flexibility" fld="9" subtotal="average" baseField="0" baseItem="0" numFmtId="2"/>
  </dataFields>
  <formats count="2">
    <format dxfId="3">
      <pivotArea outline="0" fieldPosition="0">
        <references count="1">
          <reference field="4294967294" count="1">
            <x v="0"/>
          </reference>
        </references>
      </pivotArea>
    </format>
    <format dxfId="2">
      <pivotArea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 chart="16" format="11">
      <pivotArea type="data" outline="0" fieldPosition="0">
        <references count="2">
          <reference field="4294967294" count="1" selected="0">
            <x v="1"/>
          </reference>
          <reference field="1" count="1" selected="0">
            <x v="2"/>
          </reference>
        </references>
      </pivotArea>
    </chartFormat>
    <chartFormat chart="0" format="7">
      <pivotArea type="data" outline="0" fieldPosition="0">
        <references count="2">
          <reference field="4294967294" count="1" selected="0">
            <x v="1"/>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E06EF3-A591-4149-8CA2-727769EFBD2B}"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23">
    <pivotField showAll="0">
      <items count="8">
        <item x="1"/>
        <item x="4"/>
        <item x="2"/>
        <item x="5"/>
        <item x="0"/>
        <item x="3"/>
        <item x="6"/>
        <item t="default"/>
      </items>
    </pivotField>
    <pivotField showAll="0"/>
    <pivotField showAll="0"/>
    <pivotField showAll="0"/>
    <pivotField showAll="0">
      <items count="5">
        <item x="2"/>
        <item x="1"/>
        <item x="3"/>
        <item x="0"/>
        <item t="default"/>
      </items>
    </pivotField>
    <pivotField numFmtId="2" showAll="0"/>
    <pivotField numFmtId="2" showAll="0"/>
    <pivotField showAll="0"/>
    <pivotField numFmtId="2" showAll="0"/>
    <pivotField numFmtId="2" showAll="0"/>
    <pivotField showAll="0"/>
    <pivotField showAll="0"/>
    <pivotField showAll="0"/>
    <pivotField showAll="0"/>
    <pivotField showAll="0"/>
    <pivotField showAll="0"/>
    <pivotField showAll="0"/>
    <pivotField showAll="0"/>
    <pivotField dataField="1" showAll="0"/>
    <pivotField axis="axisRow" showAll="0">
      <items count="3">
        <item x="0"/>
        <item x="1"/>
        <item t="default"/>
      </items>
    </pivotField>
    <pivotField showAll="0"/>
    <pivotField showAll="0"/>
    <pivotField showAll="0"/>
  </pivotFields>
  <rowFields count="1">
    <field x="19"/>
  </rowFields>
  <rowItems count="3">
    <i>
      <x/>
    </i>
    <i>
      <x v="1"/>
    </i>
    <i t="grand">
      <x/>
    </i>
  </rowItems>
  <colItems count="1">
    <i/>
  </colItems>
  <dataFields count="1">
    <dataField name="Count of Warmup_Routine_Adherence" fld="18"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0"/>
          </reference>
        </references>
      </pivotArea>
    </chartFormat>
    <chartFormat chart="0" format="2">
      <pivotArea type="data" outline="0" fieldPosition="0">
        <references count="2">
          <reference field="4294967294" count="1" selected="0">
            <x v="0"/>
          </reference>
          <reference field="19"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9" count="1" selected="0">
            <x v="0"/>
          </reference>
        </references>
      </pivotArea>
    </chartFormat>
    <chartFormat chart="4" format="8">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35B1FB-8E2C-4D8E-89AE-257A00AE18B0}"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23">
    <pivotField showAll="0">
      <items count="8">
        <item x="1"/>
        <item x="4"/>
        <item x="2"/>
        <item x="5"/>
        <item x="0"/>
        <item x="3"/>
        <item x="6"/>
        <item t="default"/>
      </items>
    </pivotField>
    <pivotField showAll="0"/>
    <pivotField showAll="0"/>
    <pivotField showAll="0"/>
    <pivotField showAll="0">
      <items count="5">
        <item x="2"/>
        <item x="1"/>
        <item x="3"/>
        <item x="0"/>
        <item t="default"/>
      </items>
    </pivotField>
    <pivotField numFmtId="2" showAll="0"/>
    <pivotField numFmtId="2" showAll="0"/>
    <pivotField showAll="0"/>
    <pivotField numFmtId="2" showAll="0"/>
    <pivotField numFmtId="2"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dataField="1" showAll="0"/>
    <pivotField axis="axisRow" showAll="0">
      <items count="3">
        <item x="1"/>
        <item x="0"/>
        <item t="default"/>
      </items>
    </pivotField>
    <pivotField showAll="0"/>
  </pivotFields>
  <rowFields count="1">
    <field x="21"/>
  </rowFields>
  <rowItems count="3">
    <i>
      <x/>
    </i>
    <i>
      <x v="1"/>
    </i>
    <i t="grand">
      <x/>
    </i>
  </rowItems>
  <colItems count="1">
    <i/>
  </colItems>
  <dataFields count="1">
    <dataField name="Count of Injury_Next_Season" fld="20" subtotal="count" baseField="0" baseItem="0"/>
  </dataFields>
  <chartFormats count="6">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1" count="1" selected="0">
            <x v="0"/>
          </reference>
        </references>
      </pivotArea>
    </chartFormat>
    <chartFormat chart="3" format="6">
      <pivotArea type="data" outline="0" fieldPosition="0">
        <references count="2">
          <reference field="4294967294" count="1" selected="0">
            <x v="0"/>
          </reference>
          <reference field="21"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1" count="1" selected="0">
            <x v="0"/>
          </reference>
        </references>
      </pivotArea>
    </chartFormat>
    <chartFormat chart="5" format="12">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AA0D78-C9F7-4608-A286-6B1A6AA09F77}"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1" firstHeaderRow="1" firstDataRow="1" firstDataCol="1"/>
  <pivotFields count="23">
    <pivotField showAll="0">
      <items count="8">
        <item x="1"/>
        <item x="4"/>
        <item x="2"/>
        <item x="5"/>
        <item x="0"/>
        <item x="3"/>
        <item x="6"/>
        <item t="default"/>
      </items>
    </pivotField>
    <pivotField axis="axisRow" showAll="0">
      <items count="8">
        <item x="1"/>
        <item x="4"/>
        <item x="2"/>
        <item x="5"/>
        <item x="0"/>
        <item x="3"/>
        <item x="6"/>
        <item t="default"/>
      </items>
    </pivotField>
    <pivotField showAll="0"/>
    <pivotField showAll="0"/>
    <pivotField showAll="0">
      <items count="5">
        <item x="2"/>
        <item x="1"/>
        <item x="3"/>
        <item x="0"/>
        <item t="default"/>
      </items>
    </pivotField>
    <pivotField numFmtId="2" showAll="0"/>
    <pivotField numFmtId="2" showAll="0"/>
    <pivotField showAll="0"/>
    <pivotField numFmtId="2" showAll="0"/>
    <pivotField numFmtId="2" showAll="0"/>
    <pivotField dataField="1"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s>
  <rowFields count="1">
    <field x="1"/>
  </rowFields>
  <rowItems count="8">
    <i>
      <x/>
    </i>
    <i>
      <x v="1"/>
    </i>
    <i>
      <x v="2"/>
    </i>
    <i>
      <x v="3"/>
    </i>
    <i>
      <x v="4"/>
    </i>
    <i>
      <x v="5"/>
    </i>
    <i>
      <x v="6"/>
    </i>
    <i t="grand">
      <x/>
    </i>
  </rowItems>
  <colItems count="1">
    <i/>
  </colItems>
  <dataFields count="1">
    <dataField name="Average of Reaction_Time_ms" fld="10" subtotal="average" baseField="0" baseItem="0" numFmtId="164"/>
  </dataFields>
  <chartFormats count="16">
    <chartFormat chart="4" format="8" series="1">
      <pivotArea type="data" outline="0" fieldPosition="0">
        <references count="1">
          <reference field="4294967294" count="1" selected="0">
            <x v="0"/>
          </reference>
        </references>
      </pivotArea>
    </chartFormat>
    <chartFormat chart="9" format="24"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1" count="1" selected="0">
            <x v="1"/>
          </reference>
        </references>
      </pivotArea>
    </chartFormat>
    <chartFormat chart="4" format="17">
      <pivotArea type="data" outline="0" fieldPosition="0">
        <references count="2">
          <reference field="4294967294" count="1" selected="0">
            <x v="0"/>
          </reference>
          <reference field="1" count="1" selected="0">
            <x v="2"/>
          </reference>
        </references>
      </pivotArea>
    </chartFormat>
    <chartFormat chart="4" format="18">
      <pivotArea type="data" outline="0" fieldPosition="0">
        <references count="2">
          <reference field="4294967294" count="1" selected="0">
            <x v="0"/>
          </reference>
          <reference field="1" count="1" selected="0">
            <x v="3"/>
          </reference>
        </references>
      </pivotArea>
    </chartFormat>
    <chartFormat chart="4" format="19">
      <pivotArea type="data" outline="0" fieldPosition="0">
        <references count="2">
          <reference field="4294967294" count="1" selected="0">
            <x v="0"/>
          </reference>
          <reference field="1" count="1" selected="0">
            <x v="4"/>
          </reference>
        </references>
      </pivotArea>
    </chartFormat>
    <chartFormat chart="4" format="20">
      <pivotArea type="data" outline="0" fieldPosition="0">
        <references count="2">
          <reference field="4294967294" count="1" selected="0">
            <x v="0"/>
          </reference>
          <reference field="1" count="1" selected="0">
            <x v="5"/>
          </reference>
        </references>
      </pivotArea>
    </chartFormat>
    <chartFormat chart="4" format="21">
      <pivotArea type="data" outline="0" fieldPosition="0">
        <references count="2">
          <reference field="4294967294" count="1" selected="0">
            <x v="0"/>
          </reference>
          <reference field="1" count="1" selected="0">
            <x v="6"/>
          </reference>
        </references>
      </pivotArea>
    </chartFormat>
    <chartFormat chart="4" format="22">
      <pivotArea type="data" outline="0" fieldPosition="0">
        <references count="2">
          <reference field="4294967294" count="1" selected="0">
            <x v="0"/>
          </reference>
          <reference field="1" count="1" selected="0">
            <x v="0"/>
          </reference>
        </references>
      </pivotArea>
    </chartFormat>
    <chartFormat chart="9" format="32">
      <pivotArea type="data" outline="0" fieldPosition="0">
        <references count="2">
          <reference field="4294967294" count="1" selected="0">
            <x v="0"/>
          </reference>
          <reference field="1" count="1" selected="0">
            <x v="0"/>
          </reference>
        </references>
      </pivotArea>
    </chartFormat>
    <chartFormat chart="9" format="33">
      <pivotArea type="data" outline="0" fieldPosition="0">
        <references count="2">
          <reference field="4294967294" count="1" selected="0">
            <x v="0"/>
          </reference>
          <reference field="1" count="1" selected="0">
            <x v="1"/>
          </reference>
        </references>
      </pivotArea>
    </chartFormat>
    <chartFormat chart="9" format="34">
      <pivotArea type="data" outline="0" fieldPosition="0">
        <references count="2">
          <reference field="4294967294" count="1" selected="0">
            <x v="0"/>
          </reference>
          <reference field="1" count="1" selected="0">
            <x v="2"/>
          </reference>
        </references>
      </pivotArea>
    </chartFormat>
    <chartFormat chart="9" format="35">
      <pivotArea type="data" outline="0" fieldPosition="0">
        <references count="2">
          <reference field="4294967294" count="1" selected="0">
            <x v="0"/>
          </reference>
          <reference field="1" count="1" selected="0">
            <x v="3"/>
          </reference>
        </references>
      </pivotArea>
    </chartFormat>
    <chartFormat chart="9" format="36">
      <pivotArea type="data" outline="0" fieldPosition="0">
        <references count="2">
          <reference field="4294967294" count="1" selected="0">
            <x v="0"/>
          </reference>
          <reference field="1" count="1" selected="0">
            <x v="4"/>
          </reference>
        </references>
      </pivotArea>
    </chartFormat>
    <chartFormat chart="9" format="37">
      <pivotArea type="data" outline="0" fieldPosition="0">
        <references count="2">
          <reference field="4294967294" count="1" selected="0">
            <x v="0"/>
          </reference>
          <reference field="1" count="1" selected="0">
            <x v="5"/>
          </reference>
        </references>
      </pivotArea>
    </chartFormat>
    <chartFormat chart="9" format="38">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B794AE-3710-4CDA-B955-4605D8F08462}"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11" firstHeaderRow="0" firstDataRow="1" firstDataCol="1"/>
  <pivotFields count="23">
    <pivotField showAll="0" sortType="descending">
      <items count="8">
        <item x="1"/>
        <item x="4"/>
        <item x="2"/>
        <item x="5"/>
        <item x="0"/>
        <item x="3"/>
        <item x="6"/>
        <item t="default"/>
      </items>
      <autoSortScope>
        <pivotArea dataOnly="0" outline="0" fieldPosition="0">
          <references count="1">
            <reference field="4294967294" count="1" selected="0">
              <x v="0"/>
            </reference>
          </references>
        </pivotArea>
      </autoSortScope>
    </pivotField>
    <pivotField axis="axisRow" showAll="0">
      <items count="8">
        <item x="1"/>
        <item x="4"/>
        <item x="2"/>
        <item x="5"/>
        <item x="0"/>
        <item x="3"/>
        <item x="6"/>
        <item t="default"/>
      </items>
    </pivotField>
    <pivotField showAll="0"/>
    <pivotField showAll="0"/>
    <pivotField showAll="0">
      <items count="5">
        <item x="2"/>
        <item x="1"/>
        <item x="3"/>
        <item x="0"/>
        <item t="default"/>
      </items>
    </pivotField>
    <pivotField numFmtId="2" showAll="0"/>
    <pivotField numFmtId="2" showAll="0"/>
    <pivotField showAll="0"/>
    <pivotField numFmtId="2" showAll="0"/>
    <pivotField numFmtId="2" showAll="0"/>
    <pivotField showAll="0"/>
    <pivotField showAll="0"/>
    <pivotField showAll="0"/>
    <pivotField dataField="1" showAll="0"/>
    <pivotField showAll="0"/>
    <pivotField showAll="0"/>
    <pivotField dataField="1" showAll="0"/>
    <pivotField showAll="0"/>
    <pivotField showAll="0"/>
    <pivotField showAll="0">
      <items count="3">
        <item x="0"/>
        <item x="1"/>
        <item t="default"/>
      </items>
    </pivotField>
    <pivotField showAll="0"/>
    <pivotField showAll="0"/>
    <pivotField showAll="0"/>
  </pivotFields>
  <rowFields count="1">
    <field x="1"/>
  </rowFields>
  <rowItems count="8">
    <i>
      <x/>
    </i>
    <i>
      <x v="1"/>
    </i>
    <i>
      <x v="2"/>
    </i>
    <i>
      <x v="3"/>
    </i>
    <i>
      <x v="4"/>
    </i>
    <i>
      <x v="5"/>
    </i>
    <i>
      <x v="6"/>
    </i>
    <i t="grand">
      <x/>
    </i>
  </rowItems>
  <colFields count="1">
    <field x="-2"/>
  </colFields>
  <colItems count="2">
    <i>
      <x/>
    </i>
    <i i="1">
      <x v="1"/>
    </i>
  </colItems>
  <dataFields count="2">
    <dataField name="Average of Agility_Score" fld="13" subtotal="average" baseField="0" baseItem="0" numFmtId="2"/>
    <dataField name="Average of Nutrition_Quality_Score" fld="16" subtotal="average" baseField="0" baseItem="0" numFmtId="2"/>
  </dataFields>
  <chartFormats count="4">
    <chartFormat chart="8" format="24" series="1">
      <pivotArea type="data" outline="0" fieldPosition="0">
        <references count="1">
          <reference field="4294967294" count="1" selected="0">
            <x v="0"/>
          </reference>
        </references>
      </pivotArea>
    </chartFormat>
    <chartFormat chart="8" format="26" series="1">
      <pivotArea type="data" outline="0" fieldPosition="0">
        <references count="1">
          <reference field="4294967294" count="1" selected="0">
            <x v="1"/>
          </reference>
        </references>
      </pivotArea>
    </chartFormat>
    <chartFormat chart="13" format="29" series="1">
      <pivotArea type="data" outline="0" fieldPosition="0">
        <references count="1">
          <reference field="4294967294" count="1" selected="0">
            <x v="0"/>
          </reference>
        </references>
      </pivotArea>
    </chartFormat>
    <chartFormat chart="13" format="3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D1529B-0218-4D6A-B891-DF01E9A623B8}"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7" firstHeaderRow="1" firstDataRow="1" firstDataCol="1"/>
  <pivotFields count="23">
    <pivotField showAll="0">
      <items count="8">
        <item x="1"/>
        <item x="4"/>
        <item x="2"/>
        <item x="5"/>
        <item x="0"/>
        <item x="3"/>
        <item x="6"/>
        <item t="default"/>
      </items>
    </pivotField>
    <pivotField showAll="0"/>
    <pivotField showAll="0"/>
    <pivotField showAll="0"/>
    <pivotField showAll="0">
      <items count="5">
        <item x="2"/>
        <item x="1"/>
        <item x="3"/>
        <item x="0"/>
        <item t="default"/>
      </items>
    </pivotField>
    <pivotField numFmtId="2" showAll="0"/>
    <pivotField numFmtId="2" showAll="0"/>
    <pivotField showAll="0"/>
    <pivotField numFmtId="2" showAll="0"/>
    <pivotField numFmtId="2" showAll="0"/>
    <pivotField showAll="0"/>
    <pivotField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dataField="1" showAll="0"/>
    <pivotField showAll="0"/>
    <pivotField showAll="0"/>
  </pivotFields>
  <rowFields count="1">
    <field x="17"/>
  </rowFields>
  <rowItems count="4">
    <i>
      <x v="2"/>
    </i>
    <i>
      <x/>
    </i>
    <i>
      <x v="1"/>
    </i>
    <i t="grand">
      <x/>
    </i>
  </rowItems>
  <colItems count="1">
    <i/>
  </colItems>
  <dataFields count="1">
    <dataField name="Average of Injury_Next_Season" fld="20" subtotal="average" baseField="0" baseItem="0" numFmtId="2"/>
  </dataFields>
  <chartFormats count="8">
    <chartFormat chart="20" format="43" series="1">
      <pivotArea type="data" outline="0" fieldPosition="0">
        <references count="1">
          <reference field="4294967294" count="1" selected="0">
            <x v="0"/>
          </reference>
        </references>
      </pivotArea>
    </chartFormat>
    <chartFormat chart="12" format="37" series="1">
      <pivotArea type="data" outline="0" fieldPosition="0">
        <references count="1">
          <reference field="4294967294" count="1" selected="0">
            <x v="0"/>
          </reference>
        </references>
      </pivotArea>
    </chartFormat>
    <chartFormat chart="12" format="38">
      <pivotArea type="data" outline="0" fieldPosition="0">
        <references count="2">
          <reference field="4294967294" count="1" selected="0">
            <x v="0"/>
          </reference>
          <reference field="17" count="1" selected="0">
            <x v="2"/>
          </reference>
        </references>
      </pivotArea>
    </chartFormat>
    <chartFormat chart="12" format="39">
      <pivotArea type="data" outline="0" fieldPosition="0">
        <references count="2">
          <reference field="4294967294" count="1" selected="0">
            <x v="0"/>
          </reference>
          <reference field="17" count="1" selected="0">
            <x v="0"/>
          </reference>
        </references>
      </pivotArea>
    </chartFormat>
    <chartFormat chart="12" format="40">
      <pivotArea type="data" outline="0" fieldPosition="0">
        <references count="2">
          <reference field="4294967294" count="1" selected="0">
            <x v="0"/>
          </reference>
          <reference field="17" count="1" selected="0">
            <x v="1"/>
          </reference>
        </references>
      </pivotArea>
    </chartFormat>
    <chartFormat chart="20" format="44">
      <pivotArea type="data" outline="0" fieldPosition="0">
        <references count="2">
          <reference field="4294967294" count="1" selected="0">
            <x v="0"/>
          </reference>
          <reference field="17" count="1" selected="0">
            <x v="0"/>
          </reference>
        </references>
      </pivotArea>
    </chartFormat>
    <chartFormat chart="20" format="45">
      <pivotArea type="data" outline="0" fieldPosition="0">
        <references count="2">
          <reference field="4294967294" count="1" selected="0">
            <x v="0"/>
          </reference>
          <reference field="17" count="1" selected="0">
            <x v="1"/>
          </reference>
        </references>
      </pivotArea>
    </chartFormat>
    <chartFormat chart="20" format="46">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BAA7D5-E2BF-4DBE-B691-084B55AD4400}"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9" firstHeaderRow="1" firstDataRow="1" firstDataCol="1"/>
  <pivotFields count="23">
    <pivotField showAll="0">
      <items count="8">
        <item x="1"/>
        <item x="4"/>
        <item x="2"/>
        <item x="5"/>
        <item x="0"/>
        <item x="3"/>
        <item x="6"/>
        <item t="default"/>
      </items>
    </pivotField>
    <pivotField showAll="0"/>
    <pivotField showAll="0"/>
    <pivotField showAll="0"/>
    <pivotField showAll="0">
      <items count="5">
        <item x="2"/>
        <item x="1"/>
        <item x="3"/>
        <item x="0"/>
        <item t="default"/>
      </items>
    </pivotField>
    <pivotField axis="axisRow" numFmtId="2" showAll="0" measureFilter="1" sortType="descending">
      <items count="17">
        <item x="0"/>
        <item x="1"/>
        <item x="2"/>
        <item x="3"/>
        <item x="4"/>
        <item x="5"/>
        <item x="6"/>
        <item x="7"/>
        <item x="8"/>
        <item x="9"/>
        <item x="10"/>
        <item x="11"/>
        <item x="12"/>
        <item x="13"/>
        <item x="14"/>
        <item x="15"/>
        <item t="default"/>
      </items>
      <autoSortScope>
        <pivotArea dataOnly="0" outline="0" fieldPosition="0">
          <references count="1">
            <reference field="4294967294" count="1" selected="0">
              <x v="0"/>
            </reference>
          </references>
        </pivotArea>
      </autoSortScope>
    </pivotField>
    <pivotField dataField="1" numFmtId="2" showAll="0"/>
    <pivotField showAll="0"/>
    <pivotField numFmtId="2" showAll="0"/>
    <pivotField numFmtId="2"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s>
  <rowFields count="1">
    <field x="5"/>
  </rowFields>
  <rowItems count="6">
    <i>
      <x v="6"/>
    </i>
    <i>
      <x v="5"/>
    </i>
    <i>
      <x v="7"/>
    </i>
    <i>
      <x v="4"/>
    </i>
    <i>
      <x v="3"/>
    </i>
    <i t="grand">
      <x/>
    </i>
  </rowItems>
  <colItems count="1">
    <i/>
  </colItems>
  <dataFields count="1">
    <dataField name="Count of Matches_Played_Past_Season" fld="6" subtotal="count" baseField="0" baseItem="0"/>
  </dataFields>
  <chartFormats count="12">
    <chartFormat chart="19" format="35" series="1">
      <pivotArea type="data" outline="0" fieldPosition="0">
        <references count="1">
          <reference field="4294967294" count="1" selected="0">
            <x v="0"/>
          </reference>
        </references>
      </pivotArea>
    </chartFormat>
    <chartFormat chart="19" format="36">
      <pivotArea type="data" outline="0" fieldPosition="0">
        <references count="2">
          <reference field="4294967294" count="1" selected="0">
            <x v="0"/>
          </reference>
          <reference field="5" count="1" selected="0">
            <x v="6"/>
          </reference>
        </references>
      </pivotArea>
    </chartFormat>
    <chartFormat chart="19" format="37">
      <pivotArea type="data" outline="0" fieldPosition="0">
        <references count="2">
          <reference field="4294967294" count="1" selected="0">
            <x v="0"/>
          </reference>
          <reference field="5" count="1" selected="0">
            <x v="5"/>
          </reference>
        </references>
      </pivotArea>
    </chartFormat>
    <chartFormat chart="19" format="38">
      <pivotArea type="data" outline="0" fieldPosition="0">
        <references count="2">
          <reference field="4294967294" count="1" selected="0">
            <x v="0"/>
          </reference>
          <reference field="5" count="1" selected="0">
            <x v="7"/>
          </reference>
        </references>
      </pivotArea>
    </chartFormat>
    <chartFormat chart="19" format="39">
      <pivotArea type="data" outline="0" fieldPosition="0">
        <references count="2">
          <reference field="4294967294" count="1" selected="0">
            <x v="0"/>
          </reference>
          <reference field="5" count="1" selected="0">
            <x v="4"/>
          </reference>
        </references>
      </pivotArea>
    </chartFormat>
    <chartFormat chart="19" format="40">
      <pivotArea type="data" outline="0" fieldPosition="0">
        <references count="2">
          <reference field="4294967294" count="1" selected="0">
            <x v="0"/>
          </reference>
          <reference field="5" count="1" selected="0">
            <x v="3"/>
          </reference>
        </references>
      </pivotArea>
    </chartFormat>
    <chartFormat chart="25" format="47" series="1">
      <pivotArea type="data" outline="0" fieldPosition="0">
        <references count="1">
          <reference field="4294967294" count="1" selected="0">
            <x v="0"/>
          </reference>
        </references>
      </pivotArea>
    </chartFormat>
    <chartFormat chart="25" format="48">
      <pivotArea type="data" outline="0" fieldPosition="0">
        <references count="2">
          <reference field="4294967294" count="1" selected="0">
            <x v="0"/>
          </reference>
          <reference field="5" count="1" selected="0">
            <x v="6"/>
          </reference>
        </references>
      </pivotArea>
    </chartFormat>
    <chartFormat chart="25" format="49">
      <pivotArea type="data" outline="0" fieldPosition="0">
        <references count="2">
          <reference field="4294967294" count="1" selected="0">
            <x v="0"/>
          </reference>
          <reference field="5" count="1" selected="0">
            <x v="5"/>
          </reference>
        </references>
      </pivotArea>
    </chartFormat>
    <chartFormat chart="25" format="50">
      <pivotArea type="data" outline="0" fieldPosition="0">
        <references count="2">
          <reference field="4294967294" count="1" selected="0">
            <x v="0"/>
          </reference>
          <reference field="5" count="1" selected="0">
            <x v="7"/>
          </reference>
        </references>
      </pivotArea>
    </chartFormat>
    <chartFormat chart="25" format="51">
      <pivotArea type="data" outline="0" fieldPosition="0">
        <references count="2">
          <reference field="4294967294" count="1" selected="0">
            <x v="0"/>
          </reference>
          <reference field="5" count="1" selected="0">
            <x v="4"/>
          </reference>
        </references>
      </pivotArea>
    </chartFormat>
    <chartFormat chart="25" format="52">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A435C3-7504-4AC2-8F8E-0CDF1E281AD8}"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8" firstHeaderRow="1" firstDataRow="1" firstDataCol="1"/>
  <pivotFields count="23">
    <pivotField dataField="1" showAll="0">
      <items count="8">
        <item x="1"/>
        <item x="4"/>
        <item x="2"/>
        <item x="5"/>
        <item x="0"/>
        <item x="3"/>
        <item x="6"/>
        <item t="default"/>
      </items>
    </pivotField>
    <pivotField showAll="0"/>
    <pivotField showAll="0"/>
    <pivotField showAll="0"/>
    <pivotField axis="axisRow" showAll="0">
      <items count="5">
        <item x="2"/>
        <item x="1"/>
        <item x="3"/>
        <item x="0"/>
        <item t="default"/>
      </items>
    </pivotField>
    <pivotField numFmtId="2" showAll="0"/>
    <pivotField numFmtId="2" showAll="0"/>
    <pivotField showAll="0"/>
    <pivotField numFmtId="2" showAll="0"/>
    <pivotField numFmtId="2"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s>
  <rowFields count="1">
    <field x="4"/>
  </rowFields>
  <rowItems count="5">
    <i>
      <x/>
    </i>
    <i>
      <x v="1"/>
    </i>
    <i>
      <x v="2"/>
    </i>
    <i>
      <x v="3"/>
    </i>
    <i t="grand">
      <x/>
    </i>
  </rowItems>
  <colItems count="1">
    <i/>
  </colItems>
  <dataFields count="1">
    <dataField name="Count of Age" fld="0" subtotal="count" baseField="0" baseItem="0"/>
  </dataFields>
  <chartFormats count="10">
    <chartFormat chart="19" format="35" series="1">
      <pivotArea type="data" outline="0" fieldPosition="0">
        <references count="1">
          <reference field="4294967294" count="1" selected="0">
            <x v="0"/>
          </reference>
        </references>
      </pivotArea>
    </chartFormat>
    <chartFormat chart="19" format="36">
      <pivotArea type="data" outline="0" fieldPosition="0">
        <references count="2">
          <reference field="4294967294" count="1" selected="0">
            <x v="0"/>
          </reference>
          <reference field="4" count="1" selected="0">
            <x v="3"/>
          </reference>
        </references>
      </pivotArea>
    </chartFormat>
    <chartFormat chart="19" format="37">
      <pivotArea type="data" outline="0" fieldPosition="0">
        <references count="2">
          <reference field="4294967294" count="1" selected="0">
            <x v="0"/>
          </reference>
          <reference field="4" count="1" selected="0">
            <x v="1"/>
          </reference>
        </references>
      </pivotArea>
    </chartFormat>
    <chartFormat chart="19" format="38">
      <pivotArea type="data" outline="0" fieldPosition="0">
        <references count="2">
          <reference field="4294967294" count="1" selected="0">
            <x v="0"/>
          </reference>
          <reference field="4" count="1" selected="0">
            <x v="0"/>
          </reference>
        </references>
      </pivotArea>
    </chartFormat>
    <chartFormat chart="19" format="39">
      <pivotArea type="data" outline="0" fieldPosition="0">
        <references count="2">
          <reference field="4294967294" count="1" selected="0">
            <x v="0"/>
          </reference>
          <reference field="4" count="1" selected="0">
            <x v="2"/>
          </reference>
        </references>
      </pivotArea>
    </chartFormat>
    <chartFormat chart="24" format="45" series="1">
      <pivotArea type="data" outline="0" fieldPosition="0">
        <references count="1">
          <reference field="4294967294" count="1" selected="0">
            <x v="0"/>
          </reference>
        </references>
      </pivotArea>
    </chartFormat>
    <chartFormat chart="24" format="46">
      <pivotArea type="data" outline="0" fieldPosition="0">
        <references count="2">
          <reference field="4294967294" count="1" selected="0">
            <x v="0"/>
          </reference>
          <reference field="4" count="1" selected="0">
            <x v="0"/>
          </reference>
        </references>
      </pivotArea>
    </chartFormat>
    <chartFormat chart="24" format="47">
      <pivotArea type="data" outline="0" fieldPosition="0">
        <references count="2">
          <reference field="4294967294" count="1" selected="0">
            <x v="0"/>
          </reference>
          <reference field="4" count="1" selected="0">
            <x v="1"/>
          </reference>
        </references>
      </pivotArea>
    </chartFormat>
    <chartFormat chart="24" format="48">
      <pivotArea type="data" outline="0" fieldPosition="0">
        <references count="2">
          <reference field="4294967294" count="1" selected="0">
            <x v="0"/>
          </reference>
          <reference field="4" count="1" selected="0">
            <x v="2"/>
          </reference>
        </references>
      </pivotArea>
    </chartFormat>
    <chartFormat chart="24" format="49">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E16303-BED9-4DE3-AD56-761C5717BD93}"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23">
    <pivotField showAll="0">
      <items count="8">
        <item x="1"/>
        <item x="4"/>
        <item x="2"/>
        <item x="5"/>
        <item x="0"/>
        <item x="3"/>
        <item x="6"/>
        <item t="default"/>
      </items>
    </pivotField>
    <pivotField showAll="0"/>
    <pivotField showAll="0"/>
    <pivotField showAll="0"/>
    <pivotField showAll="0">
      <items count="5">
        <item x="2"/>
        <item x="1"/>
        <item x="3"/>
        <item x="0"/>
        <item t="default"/>
      </items>
    </pivotField>
    <pivotField numFmtId="2" showAll="0"/>
    <pivotField numFmtId="2" showAll="0"/>
    <pivotField showAll="0"/>
    <pivotField numFmtId="2" showAll="0"/>
    <pivotField numFmtId="2" showAll="0"/>
    <pivotField showAll="0"/>
    <pivotField showAll="0"/>
    <pivotField showAll="0"/>
    <pivotField showAll="0"/>
    <pivotField axis="axisRow" showAll="0">
      <items count="8">
        <item x="0"/>
        <item x="1"/>
        <item x="2"/>
        <item x="3"/>
        <item x="4"/>
        <item x="5"/>
        <item x="6"/>
        <item t="default"/>
      </items>
    </pivotField>
    <pivotField dataField="1" showAll="0"/>
    <pivotField showAll="0"/>
    <pivotField showAll="0"/>
    <pivotField showAll="0"/>
    <pivotField showAll="0">
      <items count="3">
        <item x="0"/>
        <item x="1"/>
        <item t="default"/>
      </items>
    </pivotField>
    <pivotField showAll="0"/>
    <pivotField showAll="0"/>
    <pivotField showAll="0"/>
  </pivotFields>
  <rowFields count="1">
    <field x="14"/>
  </rowFields>
  <rowItems count="6">
    <i>
      <x v="1"/>
    </i>
    <i>
      <x v="2"/>
    </i>
    <i>
      <x v="3"/>
    </i>
    <i>
      <x v="4"/>
    </i>
    <i>
      <x v="5"/>
    </i>
    <i t="grand">
      <x/>
    </i>
  </rowItems>
  <colItems count="1">
    <i/>
  </colItems>
  <dataFields count="1">
    <dataField name="Average of Stress_Level_Score" fld="15" subtotal="average" baseField="0" baseItem="0" numFmtId="1"/>
  </dataFields>
  <formats count="2">
    <format dxfId="1">
      <pivotArea dataOnly="0" labelOnly="1" fieldPosition="0">
        <references count="1">
          <reference field="14" count="0"/>
        </references>
      </pivotArea>
    </format>
    <format dxfId="0">
      <pivotArea outline="0" fieldPosition="0">
        <references count="1">
          <reference field="4294967294" count="1">
            <x v="0"/>
          </reference>
        </references>
      </pivotArea>
    </format>
  </formats>
  <chartFormats count="12">
    <chartFormat chart="8" format="24" series="1">
      <pivotArea type="data" outline="0" fieldPosition="0">
        <references count="1">
          <reference field="4294967294" count="1" selected="0">
            <x v="0"/>
          </reference>
        </references>
      </pivotArea>
    </chartFormat>
    <chartFormat chart="8" format="30">
      <pivotArea type="data" outline="0" fieldPosition="0">
        <references count="2">
          <reference field="4294967294" count="1" selected="0">
            <x v="0"/>
          </reference>
          <reference field="14" count="1" selected="0">
            <x v="1"/>
          </reference>
        </references>
      </pivotArea>
    </chartFormat>
    <chartFormat chart="8" format="31">
      <pivotArea type="data" outline="0" fieldPosition="0">
        <references count="2">
          <reference field="4294967294" count="1" selected="0">
            <x v="0"/>
          </reference>
          <reference field="14" count="1" selected="0">
            <x v="2"/>
          </reference>
        </references>
      </pivotArea>
    </chartFormat>
    <chartFormat chart="8" format="32">
      <pivotArea type="data" outline="0" fieldPosition="0">
        <references count="2">
          <reference field="4294967294" count="1" selected="0">
            <x v="0"/>
          </reference>
          <reference field="14" count="1" selected="0">
            <x v="3"/>
          </reference>
        </references>
      </pivotArea>
    </chartFormat>
    <chartFormat chart="8" format="33">
      <pivotArea type="data" outline="0" fieldPosition="0">
        <references count="2">
          <reference field="4294967294" count="1" selected="0">
            <x v="0"/>
          </reference>
          <reference field="14" count="1" selected="0">
            <x v="4"/>
          </reference>
        </references>
      </pivotArea>
    </chartFormat>
    <chartFormat chart="8" format="34">
      <pivotArea type="data" outline="0" fieldPosition="0">
        <references count="2">
          <reference field="4294967294" count="1" selected="0">
            <x v="0"/>
          </reference>
          <reference field="14" count="1" selected="0">
            <x v="5"/>
          </reference>
        </references>
      </pivotArea>
    </chartFormat>
    <chartFormat chart="10" format="41" series="1">
      <pivotArea type="data" outline="0" fieldPosition="0">
        <references count="1">
          <reference field="4294967294" count="1" selected="0">
            <x v="0"/>
          </reference>
        </references>
      </pivotArea>
    </chartFormat>
    <chartFormat chart="10" format="42">
      <pivotArea type="data" outline="0" fieldPosition="0">
        <references count="2">
          <reference field="4294967294" count="1" selected="0">
            <x v="0"/>
          </reference>
          <reference field="14" count="1" selected="0">
            <x v="1"/>
          </reference>
        </references>
      </pivotArea>
    </chartFormat>
    <chartFormat chart="10" format="43">
      <pivotArea type="data" outline="0" fieldPosition="0">
        <references count="2">
          <reference field="4294967294" count="1" selected="0">
            <x v="0"/>
          </reference>
          <reference field="14" count="1" selected="0">
            <x v="2"/>
          </reference>
        </references>
      </pivotArea>
    </chartFormat>
    <chartFormat chart="10" format="44">
      <pivotArea type="data" outline="0" fieldPosition="0">
        <references count="2">
          <reference field="4294967294" count="1" selected="0">
            <x v="0"/>
          </reference>
          <reference field="14" count="1" selected="0">
            <x v="3"/>
          </reference>
        </references>
      </pivotArea>
    </chartFormat>
    <chartFormat chart="10" format="45">
      <pivotArea type="data" outline="0" fieldPosition="0">
        <references count="2">
          <reference field="4294967294" count="1" selected="0">
            <x v="0"/>
          </reference>
          <reference field="14" count="1" selected="0">
            <x v="4"/>
          </reference>
        </references>
      </pivotArea>
    </chartFormat>
    <chartFormat chart="10" format="46">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61296BC1-F1CB-4A5B-8EC5-E27E29EE3E58}" sourceName="Age">
  <pivotTables>
    <pivotTable tabId="8" name="PivotTable1"/>
    <pivotTable tabId="10" name="PivotTable1"/>
    <pivotTable tabId="4" name="PivotTable1"/>
    <pivotTable tabId="7" name="PivotTable1"/>
    <pivotTable tabId="14" name="PivotTable1"/>
    <pivotTable tabId="12" name="PivotTable1"/>
    <pivotTable tabId="13" name="PivotTable1"/>
    <pivotTable tabId="6" name="PivotTable1"/>
    <pivotTable tabId="9" name="PivotTable1"/>
  </pivotTables>
  <data>
    <tabular pivotCacheId="240693886">
      <items count="7">
        <i x="1" s="1"/>
        <i x="4" s="1"/>
        <i x="2" s="1"/>
        <i x="5" s="1"/>
        <i x="0" s="1"/>
        <i x="3"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82519C4D-0F29-483C-B480-F083BB1935B5}" sourceName="Position">
  <pivotTables>
    <pivotTable tabId="8" name="PivotTable1"/>
    <pivotTable tabId="10" name="PivotTable1"/>
    <pivotTable tabId="4" name="PivotTable1"/>
    <pivotTable tabId="7" name="PivotTable1"/>
    <pivotTable tabId="14" name="PivotTable1"/>
    <pivotTable tabId="12" name="PivotTable1"/>
    <pivotTable tabId="13" name="PivotTable1"/>
    <pivotTable tabId="6" name="PivotTable1"/>
    <pivotTable tabId="9" name="PivotTable1"/>
  </pivotTables>
  <data>
    <tabular pivotCacheId="240693886">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ine_Status" xr10:uid="{05420B04-447B-4707-8FB6-69AC34605CEA}" sourceName="Routine_Status">
  <pivotTables>
    <pivotTable tabId="8" name="PivotTable1"/>
    <pivotTable tabId="10" name="PivotTable1"/>
    <pivotTable tabId="4" name="PivotTable1"/>
    <pivotTable tabId="7" name="PivotTable1"/>
    <pivotTable tabId="14" name="PivotTable1"/>
    <pivotTable tabId="12" name="PivotTable1"/>
    <pivotTable tabId="13" name="PivotTable1"/>
    <pivotTable tabId="6" name="PivotTable1"/>
    <pivotTable tabId="9" name="PivotTable1"/>
  </pivotTables>
  <data>
    <tabular pivotCacheId="24069388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3A0C09BD-0C96-4F31-B26F-979BB2697886}" cache="Slicer_Age" caption="Age" showCaption="0" style="Chinese project" rowHeight="257175"/>
  <slicer name="Position" xr10:uid="{C58B681B-F96F-45D9-9207-F1B02CAD943C}" cache="Slicer_Position" caption="Position" columnCount="4" showCaption="0" style="Chinese project" rowHeight="257175"/>
  <slicer name="Routine_Status" xr10:uid="{24644D79-088A-44BD-BD94-479FAA64CAAC}" cache="Slicer_Routine_Status" caption="Routine_Status" columnCount="2" showCaption="0" style="Chinese projec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ACD4D5-A4BA-4840-9DB2-B6DB596BA204}" name="Table1" displayName="Table1" ref="A1:W801" totalsRowShown="0">
  <autoFilter ref="A1:W801" xr:uid="{FDACD4D5-A4BA-4840-9DB2-B6DB596BA204}"/>
  <tableColumns count="23">
    <tableColumn id="1" xr3:uid="{96041116-E7F6-445D-8EB1-9535BBE3F799}" name="Age" dataDxfId="20"/>
    <tableColumn id="23" xr3:uid="{4F6A4BB7-5B98-4E35-B464-D524BEAAA8B6}" name="Age (years)" dataDxfId="19">
      <calculatedColumnFormula>CONCATENATE(Table1[[#This Row],[Age]]," ", "years")</calculatedColumnFormula>
    </tableColumn>
    <tableColumn id="2" xr3:uid="{D045C1AB-EAB5-481C-94B2-8A590BE082AD}" name="Height_cm"/>
    <tableColumn id="3" xr3:uid="{9D6A194E-E4F6-498C-82E4-AED7E38B7A88}" name="Weight_kg"/>
    <tableColumn id="4" xr3:uid="{67CD194F-FF20-4181-B916-C536A4CB608C}" name="Position"/>
    <tableColumn id="5" xr3:uid="{9AFA9EEA-81D9-495B-89C7-03450A6F951C}" name="Training_Hours_Per_Week" dataDxfId="18"/>
    <tableColumn id="6" xr3:uid="{DBE60767-604D-4F12-B5B0-D10439FA7185}" name="Matches_Played_Past_Season" dataDxfId="17"/>
    <tableColumn id="7" xr3:uid="{BBACF8DF-45E6-4298-B77A-3A91EF59E3CE}" name="Previous_Injury_Count"/>
    <tableColumn id="8" xr3:uid="{95168BA3-5C1B-4276-BC15-44F17E8756BF}" name="Knee_Strength_Score" dataDxfId="16"/>
    <tableColumn id="9" xr3:uid="{B683D7AD-245A-4EEC-9A8B-D9A798552AEE}" name="Hamstring_Flexibility" dataDxfId="15"/>
    <tableColumn id="10" xr3:uid="{AF49CDAB-25FA-4720-9A90-DE08CB861BEB}" name="Reaction_Time_ms" dataDxfId="14"/>
    <tableColumn id="11" xr3:uid="{4BFF5C18-888D-4272-8B4E-93B90E4C9053}" name="Balance_Test_Score" dataDxfId="13"/>
    <tableColumn id="12" xr3:uid="{7E7C511C-D3A4-4E93-9075-8D88A11D950B}" name="Sprint_Speed_10m_s" dataDxfId="12"/>
    <tableColumn id="13" xr3:uid="{822CB758-8302-43B4-9963-E65DB085A901}" name="Agility_Score" dataDxfId="11"/>
    <tableColumn id="14" xr3:uid="{5BD0117C-7CB1-4A3E-88F0-4F6D02F1927D}" name="Sleep_Hours_Per_Night" dataDxfId="10"/>
    <tableColumn id="15" xr3:uid="{A41367CF-5D35-4138-9C29-ABBD765FAA52}" name="Stress_Level_Score" dataDxfId="9"/>
    <tableColumn id="16" xr3:uid="{57125CA2-387B-49DB-A15F-FC75E87354E6}" name="Nutrition_Quality_Score" dataDxfId="8"/>
    <tableColumn id="22" xr3:uid="{87199129-523E-40F4-AE0B-8D348104F6C2}" name="Nutrition grade" dataDxfId="7">
      <calculatedColumnFormula>IF(Table1[[#This Row],[Nutrition_Quality_Score]]&lt;60, "Poor Nutrition",IF(AND(Table1[[#This Row],[Nutrition_Quality_Score]]&gt;=60,Table1[[#This Row],[Nutrition_Quality_Score]]&lt;=80),"Average Nutrition", "Good Nutrition"))</calculatedColumnFormula>
    </tableColumn>
    <tableColumn id="17" xr3:uid="{1C343969-8EF5-4E70-989B-CF1691BD328C}" name="Warmup_Routine_Adherence"/>
    <tableColumn id="21" xr3:uid="{1C33E49E-1E83-4C8A-BBEB-259BBF57B700}" name="Routine_Status" dataDxfId="6">
      <calculatedColumnFormula>IF(Table1[[#This Row],[Warmup_Routine_Adherence]]=1, "Adherent","Non-Adherent")</calculatedColumnFormula>
    </tableColumn>
    <tableColumn id="18" xr3:uid="{C59293EF-0CBE-4CBF-929E-6B26753F2929}" name="Injury_Next_Season"/>
    <tableColumn id="20" xr3:uid="{4FECCEFA-B327-4449-9506-AC0357863EBC}" name="Injury_Status" dataDxfId="5">
      <calculatedColumnFormula>IF(Table1[[#This Row],[Injury_Next_Season]]=1, "Injury","No Injury")</calculatedColumnFormula>
    </tableColumn>
    <tableColumn id="19" xr3:uid="{69FA8513-E8BE-41F0-B6E3-7F6C56221E0B}" name="BMI"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8D48-9080-4D28-BE1A-AC3EB6559DA5}">
  <dimension ref="A1:S801"/>
  <sheetViews>
    <sheetView zoomScale="80" zoomScaleNormal="80" workbookViewId="0">
      <selection activeCell="X32" sqref="X32"/>
    </sheetView>
  </sheetViews>
  <sheetFormatPr defaultRowHeight="15" x14ac:dyDescent="0.25"/>
  <cols>
    <col min="1" max="1" width="4.42578125" customWidth="1"/>
    <col min="2" max="2" width="10.7109375" customWidth="1"/>
    <col min="3" max="4" width="10" customWidth="1"/>
    <col min="5" max="5" width="13" customWidth="1"/>
    <col min="8" max="8" width="18.85546875" customWidth="1"/>
    <col min="9" max="9" width="19.28515625" customWidth="1"/>
    <col min="10" max="10" width="19"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22</v>
      </c>
      <c r="B2">
        <v>173</v>
      </c>
      <c r="C2">
        <v>64</v>
      </c>
      <c r="D2" t="s">
        <v>19</v>
      </c>
      <c r="E2">
        <v>11.575308026077099</v>
      </c>
      <c r="F2">
        <v>36</v>
      </c>
      <c r="G2">
        <v>1</v>
      </c>
      <c r="H2">
        <v>77.460279010038505</v>
      </c>
      <c r="I2">
        <v>79.115738177839503</v>
      </c>
      <c r="J2">
        <v>284.48785262294302</v>
      </c>
      <c r="K2">
        <v>91.212476285626707</v>
      </c>
      <c r="L2">
        <v>5.8746298990950896</v>
      </c>
      <c r="M2">
        <v>77.599705086405194</v>
      </c>
      <c r="N2">
        <v>8.2382930308722795</v>
      </c>
      <c r="O2">
        <v>46.616415208512102</v>
      </c>
      <c r="P2">
        <v>81.472206064713504</v>
      </c>
      <c r="Q2">
        <v>1</v>
      </c>
      <c r="R2">
        <v>0</v>
      </c>
      <c r="S2">
        <v>21.383941996057299</v>
      </c>
    </row>
    <row r="3" spans="1:19" x14ac:dyDescent="0.25">
      <c r="A3">
        <v>18</v>
      </c>
      <c r="B3">
        <v>170</v>
      </c>
      <c r="C3">
        <v>67</v>
      </c>
      <c r="D3" t="s">
        <v>19</v>
      </c>
      <c r="E3">
        <v>12.2758694501901</v>
      </c>
      <c r="F3">
        <v>37</v>
      </c>
      <c r="G3">
        <v>2</v>
      </c>
      <c r="H3">
        <v>72.634442260600906</v>
      </c>
      <c r="I3">
        <v>82.541687947786599</v>
      </c>
      <c r="J3">
        <v>250.57924940551601</v>
      </c>
      <c r="K3">
        <v>87.294078241387595</v>
      </c>
      <c r="L3">
        <v>5.7962693526143498</v>
      </c>
      <c r="M3">
        <v>94.418986937468503</v>
      </c>
      <c r="N3">
        <v>8.9837371932666201</v>
      </c>
      <c r="O3">
        <v>49.368036742293498</v>
      </c>
      <c r="P3">
        <v>81.056676890143507</v>
      </c>
      <c r="Q3">
        <v>1</v>
      </c>
      <c r="R3">
        <v>0</v>
      </c>
      <c r="S3">
        <v>23.183391003460201</v>
      </c>
    </row>
    <row r="4" spans="1:19" x14ac:dyDescent="0.25">
      <c r="A4">
        <v>22</v>
      </c>
      <c r="B4">
        <v>186</v>
      </c>
      <c r="C4">
        <v>75</v>
      </c>
      <c r="D4" t="s">
        <v>20</v>
      </c>
      <c r="E4">
        <v>12.2548956592083</v>
      </c>
      <c r="F4">
        <v>12</v>
      </c>
      <c r="G4">
        <v>2</v>
      </c>
      <c r="H4">
        <v>77.064489784147796</v>
      </c>
      <c r="I4">
        <v>75.943630535565703</v>
      </c>
      <c r="J4">
        <v>269.11991825792597</v>
      </c>
      <c r="K4">
        <v>83.440688470033294</v>
      </c>
      <c r="L4">
        <v>5.7312087561938201</v>
      </c>
      <c r="M4">
        <v>70.1791762962945</v>
      </c>
      <c r="N4">
        <v>7.2291926538447404</v>
      </c>
      <c r="O4">
        <v>43.132808041337199</v>
      </c>
      <c r="P4">
        <v>64.877456880321105</v>
      </c>
      <c r="Q4">
        <v>0</v>
      </c>
      <c r="R4">
        <v>1</v>
      </c>
      <c r="S4">
        <v>21.678806798473801</v>
      </c>
    </row>
    <row r="5" spans="1:19" x14ac:dyDescent="0.25">
      <c r="A5">
        <v>20</v>
      </c>
      <c r="B5">
        <v>172</v>
      </c>
      <c r="C5">
        <v>62</v>
      </c>
      <c r="D5" t="s">
        <v>21</v>
      </c>
      <c r="E5">
        <v>9.0066775661474097</v>
      </c>
      <c r="F5">
        <v>11</v>
      </c>
      <c r="G5">
        <v>1</v>
      </c>
      <c r="H5">
        <v>82.810231613515498</v>
      </c>
      <c r="I5">
        <v>73.878324442628099</v>
      </c>
      <c r="J5">
        <v>226.376411845321</v>
      </c>
      <c r="K5">
        <v>87.591893607081502</v>
      </c>
      <c r="L5">
        <v>6.2202122399298796</v>
      </c>
      <c r="M5">
        <v>83.473824124544706</v>
      </c>
      <c r="N5">
        <v>7.6810288088560803</v>
      </c>
      <c r="O5">
        <v>51.528529395795601</v>
      </c>
      <c r="P5">
        <v>89.824743939365902</v>
      </c>
      <c r="Q5">
        <v>1</v>
      </c>
      <c r="R5">
        <v>0</v>
      </c>
      <c r="S5">
        <v>20.957274202271499</v>
      </c>
    </row>
    <row r="6" spans="1:19" x14ac:dyDescent="0.25">
      <c r="A6">
        <v>18</v>
      </c>
      <c r="B6">
        <v>172</v>
      </c>
      <c r="C6">
        <v>94</v>
      </c>
      <c r="D6" t="s">
        <v>19</v>
      </c>
      <c r="E6">
        <v>12.6836675788936</v>
      </c>
      <c r="F6">
        <v>10</v>
      </c>
      <c r="G6">
        <v>2</v>
      </c>
      <c r="H6">
        <v>76.772859134508593</v>
      </c>
      <c r="I6">
        <v>76.653042625272093</v>
      </c>
      <c r="J6">
        <v>229.02104237848599</v>
      </c>
      <c r="K6">
        <v>83.125161410286594</v>
      </c>
      <c r="L6">
        <v>5.3859583180046604</v>
      </c>
      <c r="M6">
        <v>87.0372558304188</v>
      </c>
      <c r="N6">
        <v>6.7280905014596604</v>
      </c>
      <c r="O6">
        <v>52.379718098727501</v>
      </c>
      <c r="P6">
        <v>71.569196845230607</v>
      </c>
      <c r="Q6">
        <v>0</v>
      </c>
      <c r="R6">
        <v>1</v>
      </c>
      <c r="S6">
        <v>31.773931855056698</v>
      </c>
    </row>
    <row r="7" spans="1:19" x14ac:dyDescent="0.25">
      <c r="A7">
        <v>23</v>
      </c>
      <c r="B7">
        <v>189</v>
      </c>
      <c r="C7">
        <v>89</v>
      </c>
      <c r="D7" t="s">
        <v>22</v>
      </c>
      <c r="E7">
        <v>10.2629866401473</v>
      </c>
      <c r="F7">
        <v>31</v>
      </c>
      <c r="G7">
        <v>2</v>
      </c>
      <c r="H7">
        <v>78.450720132638907</v>
      </c>
      <c r="I7">
        <v>80.927983773225506</v>
      </c>
      <c r="J7">
        <v>265.80162314087198</v>
      </c>
      <c r="K7">
        <v>81.106338859813206</v>
      </c>
      <c r="L7">
        <v>6.3548695403679698</v>
      </c>
      <c r="M7">
        <v>86.418954281388807</v>
      </c>
      <c r="N7">
        <v>8.5380273653716294</v>
      </c>
      <c r="O7">
        <v>39.929697065494999</v>
      </c>
      <c r="P7">
        <v>74.982475762831697</v>
      </c>
      <c r="Q7">
        <v>1</v>
      </c>
      <c r="R7">
        <v>0</v>
      </c>
      <c r="S7">
        <v>24.915315920606901</v>
      </c>
    </row>
    <row r="8" spans="1:19" x14ac:dyDescent="0.25">
      <c r="A8">
        <v>22</v>
      </c>
      <c r="B8">
        <v>189</v>
      </c>
      <c r="C8">
        <v>71</v>
      </c>
      <c r="D8" t="s">
        <v>19</v>
      </c>
      <c r="E8">
        <v>8.0692875952232406</v>
      </c>
      <c r="F8">
        <v>5</v>
      </c>
      <c r="G8">
        <v>4</v>
      </c>
      <c r="H8">
        <v>63.045009439922197</v>
      </c>
      <c r="I8">
        <v>75.032029899406297</v>
      </c>
      <c r="J8">
        <v>269.099907386665</v>
      </c>
      <c r="K8">
        <v>76.787368826264</v>
      </c>
      <c r="L8">
        <v>6.4582974581131998</v>
      </c>
      <c r="M8">
        <v>65.179994521770396</v>
      </c>
      <c r="N8">
        <v>7.3393272021677296</v>
      </c>
      <c r="O8">
        <v>75.039112208657798</v>
      </c>
      <c r="P8">
        <v>65.790191596277893</v>
      </c>
      <c r="Q8">
        <v>0</v>
      </c>
      <c r="R8">
        <v>1</v>
      </c>
      <c r="S8">
        <v>19.876263262506601</v>
      </c>
    </row>
    <row r="9" spans="1:19" x14ac:dyDescent="0.25">
      <c r="A9">
        <v>23</v>
      </c>
      <c r="B9">
        <v>184</v>
      </c>
      <c r="C9">
        <v>75</v>
      </c>
      <c r="D9" t="s">
        <v>22</v>
      </c>
      <c r="E9">
        <v>6.4079385284955199</v>
      </c>
      <c r="F9">
        <v>26</v>
      </c>
      <c r="G9">
        <v>0</v>
      </c>
      <c r="H9">
        <v>77.566677371043099</v>
      </c>
      <c r="I9">
        <v>76.9472131502813</v>
      </c>
      <c r="J9">
        <v>226.96643119773</v>
      </c>
      <c r="K9">
        <v>93.317382345596698</v>
      </c>
      <c r="L9">
        <v>6.1614602501356899</v>
      </c>
      <c r="M9">
        <v>79.260416808803996</v>
      </c>
      <c r="N9">
        <v>8.0728946383717108</v>
      </c>
      <c r="O9">
        <v>25.783370953475</v>
      </c>
      <c r="P9">
        <v>89.782578445675995</v>
      </c>
      <c r="Q9">
        <v>0</v>
      </c>
      <c r="R9">
        <v>0</v>
      </c>
      <c r="S9">
        <v>22.152646502835498</v>
      </c>
    </row>
    <row r="10" spans="1:19" x14ac:dyDescent="0.25">
      <c r="A10">
        <v>22</v>
      </c>
      <c r="B10">
        <v>174</v>
      </c>
      <c r="C10">
        <v>71</v>
      </c>
      <c r="D10" t="s">
        <v>19</v>
      </c>
      <c r="E10">
        <v>10.5549305034439</v>
      </c>
      <c r="F10">
        <v>23</v>
      </c>
      <c r="G10">
        <v>0</v>
      </c>
      <c r="H10">
        <v>78.877904576825401</v>
      </c>
      <c r="I10">
        <v>89.584501314210698</v>
      </c>
      <c r="J10">
        <v>240.74505444451901</v>
      </c>
      <c r="K10">
        <v>80.898574611393798</v>
      </c>
      <c r="L10">
        <v>6.1992810745419398</v>
      </c>
      <c r="M10">
        <v>77.152290278632194</v>
      </c>
      <c r="N10">
        <v>7.6611897190133096</v>
      </c>
      <c r="O10">
        <v>52.581600212718598</v>
      </c>
      <c r="P10">
        <v>78.587201059790004</v>
      </c>
      <c r="Q10">
        <v>1</v>
      </c>
      <c r="R10">
        <v>0</v>
      </c>
      <c r="S10">
        <v>23.450918219051299</v>
      </c>
    </row>
    <row r="11" spans="1:19" x14ac:dyDescent="0.25">
      <c r="A11">
        <v>23</v>
      </c>
      <c r="B11">
        <v>185</v>
      </c>
      <c r="C11">
        <v>76</v>
      </c>
      <c r="D11" t="s">
        <v>19</v>
      </c>
      <c r="E11">
        <v>11.899731741816399</v>
      </c>
      <c r="F11">
        <v>22</v>
      </c>
      <c r="G11">
        <v>0</v>
      </c>
      <c r="H11">
        <v>83.194761398675496</v>
      </c>
      <c r="I11">
        <v>82.244363993279194</v>
      </c>
      <c r="J11">
        <v>259.62816144592898</v>
      </c>
      <c r="K11">
        <v>89.077577028617299</v>
      </c>
      <c r="L11">
        <v>6.2066942932407398</v>
      </c>
      <c r="M11">
        <v>90.396479616578105</v>
      </c>
      <c r="N11">
        <v>6.0355046991021197</v>
      </c>
      <c r="O11">
        <v>55.049721939951098</v>
      </c>
      <c r="P11">
        <v>83.947948935827</v>
      </c>
      <c r="Q11">
        <v>1</v>
      </c>
      <c r="R11">
        <v>0</v>
      </c>
      <c r="S11">
        <v>22.205989773557299</v>
      </c>
    </row>
    <row r="12" spans="1:19" x14ac:dyDescent="0.25">
      <c r="A12">
        <v>18</v>
      </c>
      <c r="B12">
        <v>178</v>
      </c>
      <c r="C12">
        <v>62</v>
      </c>
      <c r="D12" t="s">
        <v>20</v>
      </c>
      <c r="E12">
        <v>7.8848486177619801</v>
      </c>
      <c r="F12">
        <v>29</v>
      </c>
      <c r="G12">
        <v>4</v>
      </c>
      <c r="H12">
        <v>78.714829833067498</v>
      </c>
      <c r="I12">
        <v>74.726305717489694</v>
      </c>
      <c r="J12">
        <v>264.04754574334902</v>
      </c>
      <c r="K12">
        <v>74.261621932457501</v>
      </c>
      <c r="L12">
        <v>6.0746199043811302</v>
      </c>
      <c r="M12">
        <v>80.813246791005696</v>
      </c>
      <c r="N12">
        <v>8.2874599702316996</v>
      </c>
      <c r="O12">
        <v>77.7288531752626</v>
      </c>
      <c r="P12">
        <v>63.488951492664</v>
      </c>
      <c r="Q12">
        <v>1</v>
      </c>
      <c r="R12">
        <v>1</v>
      </c>
      <c r="S12">
        <v>19.5682363337962</v>
      </c>
    </row>
    <row r="13" spans="1:19" x14ac:dyDescent="0.25">
      <c r="A13">
        <v>19</v>
      </c>
      <c r="B13">
        <v>188</v>
      </c>
      <c r="C13">
        <v>81</v>
      </c>
      <c r="D13" t="s">
        <v>21</v>
      </c>
      <c r="E13">
        <v>11.1325682105404</v>
      </c>
      <c r="F13">
        <v>16</v>
      </c>
      <c r="G13">
        <v>1</v>
      </c>
      <c r="H13">
        <v>67.936757957387599</v>
      </c>
      <c r="I13">
        <v>76.301272701324706</v>
      </c>
      <c r="J13">
        <v>269.81123204269397</v>
      </c>
      <c r="K13">
        <v>74.462333502943395</v>
      </c>
      <c r="L13">
        <v>5.66107810604443</v>
      </c>
      <c r="M13">
        <v>74.857101372821504</v>
      </c>
      <c r="N13">
        <v>6.5181126772361999</v>
      </c>
      <c r="O13">
        <v>60.335046063987797</v>
      </c>
      <c r="P13">
        <v>59.963239176885999</v>
      </c>
      <c r="Q13">
        <v>0</v>
      </c>
      <c r="R13">
        <v>1</v>
      </c>
      <c r="S13">
        <v>22.9176097781801</v>
      </c>
    </row>
    <row r="14" spans="1:19" x14ac:dyDescent="0.25">
      <c r="A14">
        <v>18</v>
      </c>
      <c r="B14">
        <v>183</v>
      </c>
      <c r="C14">
        <v>72</v>
      </c>
      <c r="D14" t="s">
        <v>19</v>
      </c>
      <c r="E14">
        <v>13.3440935915292</v>
      </c>
      <c r="F14">
        <v>12</v>
      </c>
      <c r="G14">
        <v>2</v>
      </c>
      <c r="H14">
        <v>79.477854721930797</v>
      </c>
      <c r="I14">
        <v>80.691881249397497</v>
      </c>
      <c r="J14">
        <v>259.18983004770899</v>
      </c>
      <c r="K14">
        <v>88.796646318203301</v>
      </c>
      <c r="L14">
        <v>6.1330460552522501</v>
      </c>
      <c r="M14">
        <v>79.846485684462095</v>
      </c>
      <c r="N14">
        <v>7.5273615773165403</v>
      </c>
      <c r="O14">
        <v>43.653777253489501</v>
      </c>
      <c r="P14">
        <v>75.520237797554699</v>
      </c>
      <c r="Q14">
        <v>1</v>
      </c>
      <c r="R14">
        <v>0</v>
      </c>
      <c r="S14">
        <v>21.4995968825584</v>
      </c>
    </row>
    <row r="15" spans="1:19" x14ac:dyDescent="0.25">
      <c r="A15">
        <v>19</v>
      </c>
      <c r="B15">
        <v>198</v>
      </c>
      <c r="C15">
        <v>75</v>
      </c>
      <c r="D15" t="s">
        <v>21</v>
      </c>
      <c r="E15">
        <v>10.026712326869299</v>
      </c>
      <c r="F15">
        <v>28</v>
      </c>
      <c r="G15">
        <v>2</v>
      </c>
      <c r="H15">
        <v>72.172302792465402</v>
      </c>
      <c r="I15">
        <v>75.804658382958195</v>
      </c>
      <c r="J15">
        <v>282.08164947929902</v>
      </c>
      <c r="K15">
        <v>82.108524612757705</v>
      </c>
      <c r="L15">
        <v>5.94792261240356</v>
      </c>
      <c r="M15">
        <v>71.881053777147201</v>
      </c>
      <c r="N15">
        <v>6.4525573561155003</v>
      </c>
      <c r="O15">
        <v>46.226068114309598</v>
      </c>
      <c r="P15">
        <v>88.220704490575898</v>
      </c>
      <c r="Q15">
        <v>1</v>
      </c>
      <c r="R15">
        <v>1</v>
      </c>
      <c r="S15">
        <v>19.130700948882701</v>
      </c>
    </row>
    <row r="16" spans="1:19" x14ac:dyDescent="0.25">
      <c r="A16">
        <v>21</v>
      </c>
      <c r="B16">
        <v>181</v>
      </c>
      <c r="C16">
        <v>82</v>
      </c>
      <c r="D16" t="s">
        <v>21</v>
      </c>
      <c r="E16">
        <v>10.697365347398399</v>
      </c>
      <c r="F16">
        <v>20</v>
      </c>
      <c r="G16">
        <v>1</v>
      </c>
      <c r="H16">
        <v>74.311419706413702</v>
      </c>
      <c r="I16">
        <v>69.513526800522598</v>
      </c>
      <c r="J16">
        <v>276.56355262998397</v>
      </c>
      <c r="K16">
        <v>79.782254087689594</v>
      </c>
      <c r="L16">
        <v>6.1891327214525296</v>
      </c>
      <c r="M16">
        <v>83.618914346525202</v>
      </c>
      <c r="N16">
        <v>7.8843630253613304</v>
      </c>
      <c r="O16">
        <v>47.493992172018601</v>
      </c>
      <c r="P16">
        <v>77.838180319715903</v>
      </c>
      <c r="Q16">
        <v>1</v>
      </c>
      <c r="R16">
        <v>1</v>
      </c>
      <c r="S16">
        <v>25.0297609963065</v>
      </c>
    </row>
    <row r="17" spans="1:19" x14ac:dyDescent="0.25">
      <c r="A17">
        <v>18</v>
      </c>
      <c r="B17">
        <v>174</v>
      </c>
      <c r="C17">
        <v>69</v>
      </c>
      <c r="D17" t="s">
        <v>19</v>
      </c>
      <c r="E17">
        <v>13.422844454599201</v>
      </c>
      <c r="F17">
        <v>36</v>
      </c>
      <c r="G17">
        <v>2</v>
      </c>
      <c r="H17">
        <v>66.709014376683896</v>
      </c>
      <c r="I17">
        <v>78.570402322529702</v>
      </c>
      <c r="J17">
        <v>265.14407812261197</v>
      </c>
      <c r="K17">
        <v>65.586739410876604</v>
      </c>
      <c r="L17">
        <v>6.1656192909221303</v>
      </c>
      <c r="M17">
        <v>76.818886564764597</v>
      </c>
      <c r="N17">
        <v>5.8821565578950903</v>
      </c>
      <c r="O17">
        <v>33.381322549868699</v>
      </c>
      <c r="P17">
        <v>66.087768872505293</v>
      </c>
      <c r="Q17">
        <v>0</v>
      </c>
      <c r="R17">
        <v>1</v>
      </c>
      <c r="S17">
        <v>22.7903289734443</v>
      </c>
    </row>
    <row r="18" spans="1:19" x14ac:dyDescent="0.25">
      <c r="A18">
        <v>18</v>
      </c>
      <c r="B18">
        <v>168</v>
      </c>
      <c r="C18">
        <v>75</v>
      </c>
      <c r="D18" t="s">
        <v>22</v>
      </c>
      <c r="E18">
        <v>12.1563896075817</v>
      </c>
      <c r="F18">
        <v>30</v>
      </c>
      <c r="G18">
        <v>1</v>
      </c>
      <c r="H18">
        <v>69.299743451910999</v>
      </c>
      <c r="I18">
        <v>86.759011865487807</v>
      </c>
      <c r="J18">
        <v>221.74141206392801</v>
      </c>
      <c r="K18">
        <v>83.909147857068604</v>
      </c>
      <c r="L18">
        <v>5.9809347443083496</v>
      </c>
      <c r="M18">
        <v>78.751624619992</v>
      </c>
      <c r="N18">
        <v>7.7342757222630896</v>
      </c>
      <c r="O18">
        <v>55.377512001951999</v>
      </c>
      <c r="P18">
        <v>69.060857744026407</v>
      </c>
      <c r="Q18">
        <v>0</v>
      </c>
      <c r="R18">
        <v>1</v>
      </c>
      <c r="S18">
        <v>26.5731292517006</v>
      </c>
    </row>
    <row r="19" spans="1:19" x14ac:dyDescent="0.25">
      <c r="A19">
        <v>20</v>
      </c>
      <c r="B19">
        <v>162</v>
      </c>
      <c r="C19">
        <v>60</v>
      </c>
      <c r="D19" t="s">
        <v>21</v>
      </c>
      <c r="E19">
        <v>12.7891978375457</v>
      </c>
      <c r="F19">
        <v>25</v>
      </c>
      <c r="G19">
        <v>1</v>
      </c>
      <c r="H19">
        <v>66.734752287743802</v>
      </c>
      <c r="I19">
        <v>78.781087404451</v>
      </c>
      <c r="J19">
        <v>269.14447530494903</v>
      </c>
      <c r="K19">
        <v>78.0837697373575</v>
      </c>
      <c r="L19">
        <v>6.2453068334988897</v>
      </c>
      <c r="M19">
        <v>83.659734848798806</v>
      </c>
      <c r="N19">
        <v>7.3000530039241198</v>
      </c>
      <c r="O19">
        <v>54.651794339188598</v>
      </c>
      <c r="P19">
        <v>65.700243020111103</v>
      </c>
      <c r="Q19">
        <v>1</v>
      </c>
      <c r="R19">
        <v>1</v>
      </c>
      <c r="S19">
        <v>22.8623685413808</v>
      </c>
    </row>
    <row r="20" spans="1:19" x14ac:dyDescent="0.25">
      <c r="A20">
        <v>20</v>
      </c>
      <c r="B20">
        <v>169</v>
      </c>
      <c r="C20">
        <v>60</v>
      </c>
      <c r="D20" t="s">
        <v>22</v>
      </c>
      <c r="E20">
        <v>9.8975746974266201</v>
      </c>
      <c r="F20">
        <v>23</v>
      </c>
      <c r="G20">
        <v>1</v>
      </c>
      <c r="H20">
        <v>76.266892154150199</v>
      </c>
      <c r="I20">
        <v>75.758770809712203</v>
      </c>
      <c r="J20">
        <v>265.321084682341</v>
      </c>
      <c r="K20">
        <v>84.687990779620705</v>
      </c>
      <c r="L20">
        <v>6.0482510143576498</v>
      </c>
      <c r="M20">
        <v>69.153116505155694</v>
      </c>
      <c r="N20">
        <v>8.4931848258496103</v>
      </c>
      <c r="O20">
        <v>62.317566935737901</v>
      </c>
      <c r="P20">
        <v>79.764971620110799</v>
      </c>
      <c r="Q20">
        <v>1</v>
      </c>
      <c r="R20">
        <v>0</v>
      </c>
      <c r="S20">
        <v>21.0076677987465</v>
      </c>
    </row>
    <row r="21" spans="1:19" x14ac:dyDescent="0.25">
      <c r="A21">
        <v>22</v>
      </c>
      <c r="B21">
        <v>164</v>
      </c>
      <c r="C21">
        <v>60</v>
      </c>
      <c r="D21" t="s">
        <v>19</v>
      </c>
      <c r="E21">
        <v>9.6687805322973297</v>
      </c>
      <c r="F21">
        <v>26</v>
      </c>
      <c r="G21">
        <v>0</v>
      </c>
      <c r="H21">
        <v>81.084701792280995</v>
      </c>
      <c r="I21">
        <v>72.186632251939201</v>
      </c>
      <c r="J21">
        <v>229.75034696887599</v>
      </c>
      <c r="K21">
        <v>84.697161034980596</v>
      </c>
      <c r="L21">
        <v>6.3447852852764797</v>
      </c>
      <c r="M21">
        <v>76.845292293704802</v>
      </c>
      <c r="N21">
        <v>7.3132196436142802</v>
      </c>
      <c r="O21">
        <v>49.673912716412502</v>
      </c>
      <c r="P21">
        <v>85.9173634865042</v>
      </c>
      <c r="Q21">
        <v>1</v>
      </c>
      <c r="R21">
        <v>0</v>
      </c>
      <c r="S21">
        <v>22.308149910767401</v>
      </c>
    </row>
    <row r="22" spans="1:19" x14ac:dyDescent="0.25">
      <c r="A22">
        <v>19</v>
      </c>
      <c r="B22">
        <v>186</v>
      </c>
      <c r="C22">
        <v>62</v>
      </c>
      <c r="D22" t="s">
        <v>21</v>
      </c>
      <c r="E22">
        <v>7.8136374564983004</v>
      </c>
      <c r="F22">
        <v>24</v>
      </c>
      <c r="G22">
        <v>0</v>
      </c>
      <c r="H22">
        <v>82.133043217026199</v>
      </c>
      <c r="I22">
        <v>78.211800293976594</v>
      </c>
      <c r="J22">
        <v>238.37377589284</v>
      </c>
      <c r="K22">
        <v>90.438687333244403</v>
      </c>
      <c r="L22">
        <v>6.4914675634140897</v>
      </c>
      <c r="M22">
        <v>71.521769487222102</v>
      </c>
      <c r="N22">
        <v>6.8340416368061501</v>
      </c>
      <c r="O22">
        <v>45.024989448225497</v>
      </c>
      <c r="P22">
        <v>68.823026764293701</v>
      </c>
      <c r="Q22">
        <v>1</v>
      </c>
      <c r="R22">
        <v>0</v>
      </c>
      <c r="S22">
        <v>17.921146953405</v>
      </c>
    </row>
    <row r="23" spans="1:19" x14ac:dyDescent="0.25">
      <c r="A23">
        <v>21</v>
      </c>
      <c r="B23">
        <v>175</v>
      </c>
      <c r="C23">
        <v>81</v>
      </c>
      <c r="D23" t="s">
        <v>20</v>
      </c>
      <c r="E23">
        <v>13.555198159011701</v>
      </c>
      <c r="F23">
        <v>37</v>
      </c>
      <c r="G23">
        <v>0</v>
      </c>
      <c r="H23">
        <v>82.540321101409106</v>
      </c>
      <c r="I23">
        <v>77.862831749925903</v>
      </c>
      <c r="J23">
        <v>240.17736345274</v>
      </c>
      <c r="K23">
        <v>97.203753232489504</v>
      </c>
      <c r="L23">
        <v>5.6588732975849396</v>
      </c>
      <c r="M23">
        <v>86.667615455211305</v>
      </c>
      <c r="N23">
        <v>7.8271694658452002</v>
      </c>
      <c r="O23">
        <v>49.959157727204001</v>
      </c>
      <c r="P23">
        <v>81.816653327103197</v>
      </c>
      <c r="Q23">
        <v>1</v>
      </c>
      <c r="R23">
        <v>0</v>
      </c>
      <c r="S23">
        <v>26.4489795918367</v>
      </c>
    </row>
    <row r="24" spans="1:19" x14ac:dyDescent="0.25">
      <c r="A24">
        <v>24</v>
      </c>
      <c r="B24">
        <v>177</v>
      </c>
      <c r="C24">
        <v>69</v>
      </c>
      <c r="D24" t="s">
        <v>22</v>
      </c>
      <c r="E24">
        <v>9.3233103000624507</v>
      </c>
      <c r="F24">
        <v>33</v>
      </c>
      <c r="G24">
        <v>1</v>
      </c>
      <c r="H24">
        <v>72.331228143733895</v>
      </c>
      <c r="I24">
        <v>81.659261004370904</v>
      </c>
      <c r="J24">
        <v>230.35330033062201</v>
      </c>
      <c r="K24">
        <v>94.854732253517398</v>
      </c>
      <c r="L24">
        <v>5.7378551645846896</v>
      </c>
      <c r="M24">
        <v>91.561437055286504</v>
      </c>
      <c r="N24">
        <v>6.7438649743949499</v>
      </c>
      <c r="O24">
        <v>30.135888538050899</v>
      </c>
      <c r="P24">
        <v>72.363929610992599</v>
      </c>
      <c r="Q24">
        <v>1</v>
      </c>
      <c r="R24">
        <v>0</v>
      </c>
      <c r="S24">
        <v>22.024322512687899</v>
      </c>
    </row>
    <row r="25" spans="1:19" x14ac:dyDescent="0.25">
      <c r="A25">
        <v>22</v>
      </c>
      <c r="B25">
        <v>178</v>
      </c>
      <c r="C25">
        <v>78</v>
      </c>
      <c r="D25" t="s">
        <v>22</v>
      </c>
      <c r="E25">
        <v>11.059557862742601</v>
      </c>
      <c r="F25">
        <v>7</v>
      </c>
      <c r="G25">
        <v>0</v>
      </c>
      <c r="H25">
        <v>69.828983996562997</v>
      </c>
      <c r="I25">
        <v>98.635667698633696</v>
      </c>
      <c r="J25">
        <v>245.066502352052</v>
      </c>
      <c r="K25">
        <v>87.398312408668502</v>
      </c>
      <c r="L25">
        <v>5.93286548553613</v>
      </c>
      <c r="M25">
        <v>77.621710692201901</v>
      </c>
      <c r="N25">
        <v>8.5144962638268602</v>
      </c>
      <c r="O25">
        <v>43.803944205189403</v>
      </c>
      <c r="P25">
        <v>87.355766951725499</v>
      </c>
      <c r="Q25">
        <v>1</v>
      </c>
      <c r="R25">
        <v>0</v>
      </c>
      <c r="S25">
        <v>24.6181037747759</v>
      </c>
    </row>
    <row r="26" spans="1:19" x14ac:dyDescent="0.25">
      <c r="A26">
        <v>21</v>
      </c>
      <c r="B26">
        <v>174</v>
      </c>
      <c r="C26">
        <v>83</v>
      </c>
      <c r="D26" t="s">
        <v>19</v>
      </c>
      <c r="E26">
        <v>8.8826381829314798</v>
      </c>
      <c r="F26">
        <v>39</v>
      </c>
      <c r="G26">
        <v>2</v>
      </c>
      <c r="H26">
        <v>69.691517396741006</v>
      </c>
      <c r="I26">
        <v>71.1927820049075</v>
      </c>
      <c r="J26">
        <v>260.01536984144298</v>
      </c>
      <c r="K26">
        <v>74.171560096923997</v>
      </c>
      <c r="L26">
        <v>5.4643669577763401</v>
      </c>
      <c r="M26">
        <v>82.964566608895595</v>
      </c>
      <c r="N26">
        <v>7.2187053138681803</v>
      </c>
      <c r="O26">
        <v>54.176530571621001</v>
      </c>
      <c r="P26">
        <v>66.3221361799215</v>
      </c>
      <c r="Q26">
        <v>1</v>
      </c>
      <c r="R26">
        <v>1</v>
      </c>
      <c r="S26">
        <v>27.414453692693801</v>
      </c>
    </row>
    <row r="27" spans="1:19" x14ac:dyDescent="0.25">
      <c r="A27">
        <v>18</v>
      </c>
      <c r="B27">
        <v>171</v>
      </c>
      <c r="C27">
        <v>72</v>
      </c>
      <c r="D27" t="s">
        <v>21</v>
      </c>
      <c r="E27">
        <v>8.55519590846467</v>
      </c>
      <c r="F27">
        <v>7</v>
      </c>
      <c r="G27">
        <v>0</v>
      </c>
      <c r="H27">
        <v>71.505838774907005</v>
      </c>
      <c r="I27">
        <v>87.057381111321305</v>
      </c>
      <c r="J27">
        <v>249.75665550524499</v>
      </c>
      <c r="K27">
        <v>81.146616287874906</v>
      </c>
      <c r="L27">
        <v>6.2506617854390996</v>
      </c>
      <c r="M27">
        <v>84.742881219966904</v>
      </c>
      <c r="N27">
        <v>6.3340860228412899</v>
      </c>
      <c r="O27">
        <v>71.251767007153006</v>
      </c>
      <c r="P27">
        <v>61.405131451432197</v>
      </c>
      <c r="Q27">
        <v>0</v>
      </c>
      <c r="R27">
        <v>1</v>
      </c>
      <c r="S27">
        <v>24.6229609110495</v>
      </c>
    </row>
    <row r="28" spans="1:19" x14ac:dyDescent="0.25">
      <c r="A28">
        <v>24</v>
      </c>
      <c r="B28">
        <v>173</v>
      </c>
      <c r="C28">
        <v>76</v>
      </c>
      <c r="D28" t="s">
        <v>22</v>
      </c>
      <c r="E28">
        <v>11.1876498993081</v>
      </c>
      <c r="F28">
        <v>5</v>
      </c>
      <c r="G28">
        <v>0</v>
      </c>
      <c r="H28">
        <v>69.590651889288296</v>
      </c>
      <c r="I28">
        <v>77.518238822706707</v>
      </c>
      <c r="J28">
        <v>281.48950211011697</v>
      </c>
      <c r="K28">
        <v>77.005723182265797</v>
      </c>
      <c r="L28">
        <v>5.9017793349182002</v>
      </c>
      <c r="M28">
        <v>73.522567931518395</v>
      </c>
      <c r="N28">
        <v>7.7695520256491601</v>
      </c>
      <c r="O28">
        <v>47.429827590678499</v>
      </c>
      <c r="P28">
        <v>65.636346293320301</v>
      </c>
      <c r="Q28">
        <v>1</v>
      </c>
      <c r="R28">
        <v>1</v>
      </c>
      <c r="S28">
        <v>25.393431120317999</v>
      </c>
    </row>
    <row r="29" spans="1:19" x14ac:dyDescent="0.25">
      <c r="A29">
        <v>21</v>
      </c>
      <c r="B29">
        <v>176</v>
      </c>
      <c r="C29">
        <v>64</v>
      </c>
      <c r="D29" t="s">
        <v>22</v>
      </c>
      <c r="E29">
        <v>9.4622885122407308</v>
      </c>
      <c r="F29">
        <v>6</v>
      </c>
      <c r="G29">
        <v>0</v>
      </c>
      <c r="H29">
        <v>76.437855394728402</v>
      </c>
      <c r="I29">
        <v>89.113009817011402</v>
      </c>
      <c r="J29">
        <v>241.33325419471899</v>
      </c>
      <c r="K29">
        <v>100</v>
      </c>
      <c r="L29">
        <v>6.1815273720687101</v>
      </c>
      <c r="M29">
        <v>83.855419977153502</v>
      </c>
      <c r="N29">
        <v>7.91583877330085</v>
      </c>
      <c r="O29">
        <v>49.0456145210945</v>
      </c>
      <c r="P29">
        <v>73.080282591380893</v>
      </c>
      <c r="Q29">
        <v>1</v>
      </c>
      <c r="R29">
        <v>0</v>
      </c>
      <c r="S29">
        <v>20.661157024793301</v>
      </c>
    </row>
    <row r="30" spans="1:19" x14ac:dyDescent="0.25">
      <c r="A30">
        <v>23</v>
      </c>
      <c r="B30">
        <v>179</v>
      </c>
      <c r="C30">
        <v>74</v>
      </c>
      <c r="D30" t="s">
        <v>20</v>
      </c>
      <c r="E30">
        <v>11.372849480395301</v>
      </c>
      <c r="F30">
        <v>34</v>
      </c>
      <c r="G30">
        <v>1</v>
      </c>
      <c r="H30">
        <v>75.088231742219094</v>
      </c>
      <c r="I30">
        <v>84.905377530375105</v>
      </c>
      <c r="J30">
        <v>238.594319866631</v>
      </c>
      <c r="K30">
        <v>83.5304845428074</v>
      </c>
      <c r="L30">
        <v>5.9487501531533704</v>
      </c>
      <c r="M30">
        <v>90.704647380277194</v>
      </c>
      <c r="N30">
        <v>8.5193821166404504</v>
      </c>
      <c r="O30">
        <v>47.175971965800898</v>
      </c>
      <c r="P30">
        <v>88.321811889427593</v>
      </c>
      <c r="Q30">
        <v>1</v>
      </c>
      <c r="R30">
        <v>0</v>
      </c>
      <c r="S30">
        <v>23.095409007209501</v>
      </c>
    </row>
    <row r="31" spans="1:19" x14ac:dyDescent="0.25">
      <c r="A31">
        <v>20</v>
      </c>
      <c r="B31">
        <v>174</v>
      </c>
      <c r="C31">
        <v>85</v>
      </c>
      <c r="D31" t="s">
        <v>22</v>
      </c>
      <c r="E31">
        <v>12.5139424446868</v>
      </c>
      <c r="F31">
        <v>19</v>
      </c>
      <c r="G31">
        <v>1</v>
      </c>
      <c r="H31">
        <v>71.981835495719906</v>
      </c>
      <c r="I31">
        <v>76.226399283303195</v>
      </c>
      <c r="J31">
        <v>261.95809514333399</v>
      </c>
      <c r="K31">
        <v>80.001905772930598</v>
      </c>
      <c r="L31">
        <v>6.3318957728199896</v>
      </c>
      <c r="M31">
        <v>75.751353167140707</v>
      </c>
      <c r="N31">
        <v>8.1506089953085699</v>
      </c>
      <c r="O31">
        <v>63.326109495925301</v>
      </c>
      <c r="P31">
        <v>86.594697324213001</v>
      </c>
      <c r="Q31">
        <v>1</v>
      </c>
      <c r="R31">
        <v>0</v>
      </c>
      <c r="S31">
        <v>28.0750429383009</v>
      </c>
    </row>
    <row r="32" spans="1:19" x14ac:dyDescent="0.25">
      <c r="A32">
        <v>23</v>
      </c>
      <c r="B32">
        <v>179</v>
      </c>
      <c r="C32">
        <v>73</v>
      </c>
      <c r="D32" t="s">
        <v>22</v>
      </c>
      <c r="E32">
        <v>5.3589661143582097</v>
      </c>
      <c r="F32">
        <v>11</v>
      </c>
      <c r="G32">
        <v>3</v>
      </c>
      <c r="H32">
        <v>69.076375962093095</v>
      </c>
      <c r="I32">
        <v>79.924124240447597</v>
      </c>
      <c r="J32">
        <v>259.64886881623102</v>
      </c>
      <c r="K32">
        <v>86.381199740640895</v>
      </c>
      <c r="L32">
        <v>5.73690154577739</v>
      </c>
      <c r="M32">
        <v>70.452502796048194</v>
      </c>
      <c r="N32">
        <v>7.2955744551618302</v>
      </c>
      <c r="O32">
        <v>60.439114468105302</v>
      </c>
      <c r="P32">
        <v>59.054694204552803</v>
      </c>
      <c r="Q32">
        <v>0</v>
      </c>
      <c r="R32">
        <v>1</v>
      </c>
      <c r="S32">
        <v>22.783308885490399</v>
      </c>
    </row>
    <row r="33" spans="1:19" x14ac:dyDescent="0.25">
      <c r="A33">
        <v>23</v>
      </c>
      <c r="B33">
        <v>174</v>
      </c>
      <c r="C33">
        <v>64</v>
      </c>
      <c r="D33" t="s">
        <v>22</v>
      </c>
      <c r="E33">
        <v>11.227361161501999</v>
      </c>
      <c r="F33">
        <v>13</v>
      </c>
      <c r="G33">
        <v>1</v>
      </c>
      <c r="H33">
        <v>61.912909125206902</v>
      </c>
      <c r="I33">
        <v>69.777538202787099</v>
      </c>
      <c r="J33">
        <v>241.970730279962</v>
      </c>
      <c r="K33">
        <v>66.286336139903099</v>
      </c>
      <c r="L33">
        <v>5.9419095325964699</v>
      </c>
      <c r="M33">
        <v>66.041147855945596</v>
      </c>
      <c r="N33">
        <v>7.4319683047134397</v>
      </c>
      <c r="O33">
        <v>44.6402658251166</v>
      </c>
      <c r="P33">
        <v>62.267213019348098</v>
      </c>
      <c r="Q33">
        <v>1</v>
      </c>
      <c r="R33">
        <v>1</v>
      </c>
      <c r="S33">
        <v>21.138855859426599</v>
      </c>
    </row>
    <row r="34" spans="1:19" x14ac:dyDescent="0.25">
      <c r="A34">
        <v>19</v>
      </c>
      <c r="B34">
        <v>167</v>
      </c>
      <c r="C34">
        <v>65</v>
      </c>
      <c r="D34" t="s">
        <v>21</v>
      </c>
      <c r="E34">
        <v>9.7492250424050493</v>
      </c>
      <c r="F34">
        <v>21</v>
      </c>
      <c r="G34">
        <v>0</v>
      </c>
      <c r="H34">
        <v>85.130515328813701</v>
      </c>
      <c r="I34">
        <v>91.417055826965395</v>
      </c>
      <c r="J34">
        <v>255.85760038933799</v>
      </c>
      <c r="K34">
        <v>84.458472731875602</v>
      </c>
      <c r="L34">
        <v>5.9121707048188501</v>
      </c>
      <c r="M34">
        <v>95.997029270065397</v>
      </c>
      <c r="N34">
        <v>6.02019275370629</v>
      </c>
      <c r="O34">
        <v>40.381166714266897</v>
      </c>
      <c r="P34">
        <v>70.700858293816196</v>
      </c>
      <c r="Q34">
        <v>1</v>
      </c>
      <c r="R34">
        <v>0</v>
      </c>
      <c r="S34">
        <v>23.306680053067499</v>
      </c>
    </row>
    <row r="35" spans="1:19" x14ac:dyDescent="0.25">
      <c r="A35">
        <v>22</v>
      </c>
      <c r="B35">
        <v>188</v>
      </c>
      <c r="C35">
        <v>72</v>
      </c>
      <c r="D35" t="s">
        <v>21</v>
      </c>
      <c r="E35">
        <v>9.1058532623215598</v>
      </c>
      <c r="F35">
        <v>16</v>
      </c>
      <c r="G35">
        <v>0</v>
      </c>
      <c r="H35">
        <v>80.667805427837493</v>
      </c>
      <c r="I35">
        <v>76.519325213209498</v>
      </c>
      <c r="J35">
        <v>244.02164233540901</v>
      </c>
      <c r="K35">
        <v>78.7509228835724</v>
      </c>
      <c r="L35">
        <v>5.7660328751552097</v>
      </c>
      <c r="M35">
        <v>77.635599708121404</v>
      </c>
      <c r="N35">
        <v>7.55640812974461</v>
      </c>
      <c r="O35">
        <v>56.731193501607002</v>
      </c>
      <c r="P35">
        <v>61.582537630043198</v>
      </c>
      <c r="Q35">
        <v>0</v>
      </c>
      <c r="R35">
        <v>1</v>
      </c>
      <c r="S35">
        <v>20.371208691715701</v>
      </c>
    </row>
    <row r="36" spans="1:19" x14ac:dyDescent="0.25">
      <c r="A36">
        <v>22</v>
      </c>
      <c r="B36">
        <v>176</v>
      </c>
      <c r="C36">
        <v>62</v>
      </c>
      <c r="D36" t="s">
        <v>21</v>
      </c>
      <c r="E36">
        <v>10.4817375970486</v>
      </c>
      <c r="F36">
        <v>6</v>
      </c>
      <c r="G36">
        <v>1</v>
      </c>
      <c r="H36">
        <v>65.647118539392494</v>
      </c>
      <c r="I36">
        <v>73.868452993341407</v>
      </c>
      <c r="J36">
        <v>254.56631261893401</v>
      </c>
      <c r="K36">
        <v>76.254803807188196</v>
      </c>
      <c r="L36">
        <v>6.3390368370748202</v>
      </c>
      <c r="M36">
        <v>75.676628604716001</v>
      </c>
      <c r="N36">
        <v>6.2093289251477</v>
      </c>
      <c r="O36">
        <v>48.724460000146301</v>
      </c>
      <c r="P36">
        <v>81.375698533725199</v>
      </c>
      <c r="Q36">
        <v>0</v>
      </c>
      <c r="R36">
        <v>1</v>
      </c>
      <c r="S36">
        <v>20.0154958677685</v>
      </c>
    </row>
    <row r="37" spans="1:19" x14ac:dyDescent="0.25">
      <c r="A37">
        <v>24</v>
      </c>
      <c r="B37">
        <v>179</v>
      </c>
      <c r="C37">
        <v>72</v>
      </c>
      <c r="D37" t="s">
        <v>21</v>
      </c>
      <c r="E37">
        <v>8.2691357926919107</v>
      </c>
      <c r="F37">
        <v>34</v>
      </c>
      <c r="G37">
        <v>2</v>
      </c>
      <c r="H37">
        <v>71.658466596974307</v>
      </c>
      <c r="I37">
        <v>70.004307685121404</v>
      </c>
      <c r="J37">
        <v>257.21624312107599</v>
      </c>
      <c r="K37">
        <v>86.535486702018602</v>
      </c>
      <c r="L37">
        <v>5.7620348965424597</v>
      </c>
      <c r="M37">
        <v>85.237684200996895</v>
      </c>
      <c r="N37">
        <v>6.4899110756993101</v>
      </c>
      <c r="O37">
        <v>47.804751833658202</v>
      </c>
      <c r="P37">
        <v>60.985577507066097</v>
      </c>
      <c r="Q37">
        <v>0</v>
      </c>
      <c r="R37">
        <v>1</v>
      </c>
      <c r="S37">
        <v>22.471208763771401</v>
      </c>
    </row>
    <row r="38" spans="1:19" x14ac:dyDescent="0.25">
      <c r="A38">
        <v>21</v>
      </c>
      <c r="B38">
        <v>186</v>
      </c>
      <c r="C38">
        <v>51</v>
      </c>
      <c r="D38" t="s">
        <v>19</v>
      </c>
      <c r="E38">
        <v>7.0956657604942901</v>
      </c>
      <c r="F38">
        <v>14</v>
      </c>
      <c r="G38">
        <v>0</v>
      </c>
      <c r="H38">
        <v>77.859488213251097</v>
      </c>
      <c r="I38">
        <v>79.449173811330795</v>
      </c>
      <c r="J38">
        <v>212.784330533597</v>
      </c>
      <c r="K38">
        <v>91.698375490512603</v>
      </c>
      <c r="L38">
        <v>5.8681311099951898</v>
      </c>
      <c r="M38">
        <v>81.438744330172298</v>
      </c>
      <c r="N38">
        <v>6.6784551666146301</v>
      </c>
      <c r="O38">
        <v>44.883812375397603</v>
      </c>
      <c r="P38">
        <v>68.728216103726893</v>
      </c>
      <c r="Q38">
        <v>1</v>
      </c>
      <c r="R38">
        <v>0</v>
      </c>
      <c r="S38">
        <v>14.7415886229621</v>
      </c>
    </row>
    <row r="39" spans="1:19" x14ac:dyDescent="0.25">
      <c r="A39">
        <v>23</v>
      </c>
      <c r="B39">
        <v>170</v>
      </c>
      <c r="C39">
        <v>67</v>
      </c>
      <c r="D39" t="s">
        <v>22</v>
      </c>
      <c r="E39">
        <v>14.3526902864012</v>
      </c>
      <c r="F39">
        <v>28</v>
      </c>
      <c r="G39">
        <v>2</v>
      </c>
      <c r="H39">
        <v>80.790286073949304</v>
      </c>
      <c r="I39">
        <v>79.068012037569602</v>
      </c>
      <c r="J39">
        <v>263.03041229015298</v>
      </c>
      <c r="K39">
        <v>79.987885717133693</v>
      </c>
      <c r="L39">
        <v>6.09402136048742</v>
      </c>
      <c r="M39">
        <v>83.225702486667004</v>
      </c>
      <c r="N39">
        <v>6.8215323299756703</v>
      </c>
      <c r="O39">
        <v>59.736847756695298</v>
      </c>
      <c r="P39">
        <v>69.685577873783799</v>
      </c>
      <c r="Q39">
        <v>0</v>
      </c>
      <c r="R39">
        <v>1</v>
      </c>
      <c r="S39">
        <v>23.183391003460201</v>
      </c>
    </row>
    <row r="40" spans="1:19" x14ac:dyDescent="0.25">
      <c r="A40">
        <v>23</v>
      </c>
      <c r="B40">
        <v>176</v>
      </c>
      <c r="C40">
        <v>75</v>
      </c>
      <c r="D40" t="s">
        <v>19</v>
      </c>
      <c r="E40">
        <v>7.9477376901776404</v>
      </c>
      <c r="F40">
        <v>39</v>
      </c>
      <c r="G40">
        <v>0</v>
      </c>
      <c r="H40">
        <v>84.267586139881104</v>
      </c>
      <c r="I40">
        <v>76.192060229128899</v>
      </c>
      <c r="J40">
        <v>221.46598290409599</v>
      </c>
      <c r="K40">
        <v>89.365256491008594</v>
      </c>
      <c r="L40">
        <v>6.17816631989567</v>
      </c>
      <c r="M40">
        <v>88.1332341084033</v>
      </c>
      <c r="N40">
        <v>7.6287633676825202</v>
      </c>
      <c r="O40">
        <v>48.928106568159798</v>
      </c>
      <c r="P40">
        <v>70.220037208140994</v>
      </c>
      <c r="Q40">
        <v>1</v>
      </c>
      <c r="R40">
        <v>0</v>
      </c>
      <c r="S40">
        <v>24.2122933884297</v>
      </c>
    </row>
    <row r="41" spans="1:19" x14ac:dyDescent="0.25">
      <c r="A41">
        <v>21</v>
      </c>
      <c r="B41">
        <v>170</v>
      </c>
      <c r="C41">
        <v>80</v>
      </c>
      <c r="D41" t="s">
        <v>19</v>
      </c>
      <c r="E41">
        <v>10.2505636979002</v>
      </c>
      <c r="F41">
        <v>7</v>
      </c>
      <c r="G41">
        <v>0</v>
      </c>
      <c r="H41">
        <v>81.226313917096903</v>
      </c>
      <c r="I41">
        <v>79.022511917738299</v>
      </c>
      <c r="J41">
        <v>241.97164674262501</v>
      </c>
      <c r="K41">
        <v>91.003638103108798</v>
      </c>
      <c r="L41">
        <v>5.8593621612753299</v>
      </c>
      <c r="M41">
        <v>84.020305141397401</v>
      </c>
      <c r="N41">
        <v>7.6137311551152296</v>
      </c>
      <c r="O41">
        <v>44.814835335110999</v>
      </c>
      <c r="P41">
        <v>77.370174237290001</v>
      </c>
      <c r="Q41">
        <v>1</v>
      </c>
      <c r="R41">
        <v>0</v>
      </c>
      <c r="S41">
        <v>27.681660899653899</v>
      </c>
    </row>
    <row r="42" spans="1:19" x14ac:dyDescent="0.25">
      <c r="A42">
        <v>20</v>
      </c>
      <c r="B42">
        <v>173</v>
      </c>
      <c r="C42">
        <v>69</v>
      </c>
      <c r="D42" t="s">
        <v>22</v>
      </c>
      <c r="E42">
        <v>13.719237427544201</v>
      </c>
      <c r="F42">
        <v>15</v>
      </c>
      <c r="G42">
        <v>3</v>
      </c>
      <c r="H42">
        <v>76.652816316763406</v>
      </c>
      <c r="I42">
        <v>81.560310147407293</v>
      </c>
      <c r="J42">
        <v>282.78861997889499</v>
      </c>
      <c r="K42">
        <v>81.5818894510398</v>
      </c>
      <c r="L42">
        <v>6.1074895287412199</v>
      </c>
      <c r="M42">
        <v>90.143219663611006</v>
      </c>
      <c r="N42">
        <v>7.92197246708312</v>
      </c>
      <c r="O42">
        <v>75.307463864333101</v>
      </c>
      <c r="P42">
        <v>68.376945303499099</v>
      </c>
      <c r="Q42">
        <v>0</v>
      </c>
      <c r="R42">
        <v>1</v>
      </c>
      <c r="S42">
        <v>23.054562464499298</v>
      </c>
    </row>
    <row r="43" spans="1:19" x14ac:dyDescent="0.25">
      <c r="A43">
        <v>24</v>
      </c>
      <c r="B43">
        <v>175</v>
      </c>
      <c r="C43">
        <v>77</v>
      </c>
      <c r="D43" t="s">
        <v>22</v>
      </c>
      <c r="E43">
        <v>8.4425851040597202</v>
      </c>
      <c r="F43">
        <v>21</v>
      </c>
      <c r="G43">
        <v>1</v>
      </c>
      <c r="H43">
        <v>52.391351328744399</v>
      </c>
      <c r="I43">
        <v>65.614185790222706</v>
      </c>
      <c r="J43">
        <v>251.833730682674</v>
      </c>
      <c r="K43">
        <v>87.0943925813189</v>
      </c>
      <c r="L43">
        <v>5.5856109011937001</v>
      </c>
      <c r="M43">
        <v>69.952087665272003</v>
      </c>
      <c r="N43">
        <v>7.4119711727393103</v>
      </c>
      <c r="O43">
        <v>75.830283627020293</v>
      </c>
      <c r="P43">
        <v>91.782401345361095</v>
      </c>
      <c r="Q43">
        <v>1</v>
      </c>
      <c r="R43">
        <v>1</v>
      </c>
      <c r="S43">
        <v>25.1428571428571</v>
      </c>
    </row>
    <row r="44" spans="1:19" x14ac:dyDescent="0.25">
      <c r="A44">
        <v>23</v>
      </c>
      <c r="B44">
        <v>169</v>
      </c>
      <c r="C44">
        <v>56</v>
      </c>
      <c r="D44" t="s">
        <v>19</v>
      </c>
      <c r="E44">
        <v>12.8649723647237</v>
      </c>
      <c r="F44">
        <v>36</v>
      </c>
      <c r="G44">
        <v>2</v>
      </c>
      <c r="H44">
        <v>64.063474624380802</v>
      </c>
      <c r="I44">
        <v>74.294810286572798</v>
      </c>
      <c r="J44">
        <v>247.055113787979</v>
      </c>
      <c r="K44">
        <v>81.510105036238699</v>
      </c>
      <c r="L44">
        <v>6.3321488657709901</v>
      </c>
      <c r="M44">
        <v>91.934458164260604</v>
      </c>
      <c r="N44">
        <v>6.9268517652622501</v>
      </c>
      <c r="O44">
        <v>61.194076433580101</v>
      </c>
      <c r="P44">
        <v>64.915671273690904</v>
      </c>
      <c r="Q44">
        <v>1</v>
      </c>
      <c r="R44">
        <v>1</v>
      </c>
      <c r="S44">
        <v>19.607156612163401</v>
      </c>
    </row>
    <row r="45" spans="1:19" x14ac:dyDescent="0.25">
      <c r="A45">
        <v>19</v>
      </c>
      <c r="B45">
        <v>189</v>
      </c>
      <c r="C45">
        <v>76</v>
      </c>
      <c r="D45" t="s">
        <v>21</v>
      </c>
      <c r="E45">
        <v>6.1412846180964804</v>
      </c>
      <c r="F45">
        <v>8</v>
      </c>
      <c r="G45">
        <v>1</v>
      </c>
      <c r="H45">
        <v>69.871327769809895</v>
      </c>
      <c r="I45">
        <v>80.404457419375206</v>
      </c>
      <c r="J45">
        <v>229.26700015834101</v>
      </c>
      <c r="K45">
        <v>83.4848721210289</v>
      </c>
      <c r="L45">
        <v>5.0560388043670903</v>
      </c>
      <c r="M45">
        <v>71.271135660573407</v>
      </c>
      <c r="N45">
        <v>6.6638324150004404</v>
      </c>
      <c r="O45">
        <v>58.456594216150997</v>
      </c>
      <c r="P45">
        <v>84.556894415389294</v>
      </c>
      <c r="Q45">
        <v>0</v>
      </c>
      <c r="R45">
        <v>1</v>
      </c>
      <c r="S45">
        <v>21.276000111978899</v>
      </c>
    </row>
    <row r="46" spans="1:19" x14ac:dyDescent="0.25">
      <c r="A46">
        <v>20</v>
      </c>
      <c r="B46">
        <v>176</v>
      </c>
      <c r="C46">
        <v>83</v>
      </c>
      <c r="D46" t="s">
        <v>22</v>
      </c>
      <c r="E46">
        <v>8.4223677686982601</v>
      </c>
      <c r="F46">
        <v>23</v>
      </c>
      <c r="G46">
        <v>2</v>
      </c>
      <c r="H46">
        <v>82.807464843077</v>
      </c>
      <c r="I46">
        <v>84.328817379259903</v>
      </c>
      <c r="J46">
        <v>242.367081349383</v>
      </c>
      <c r="K46">
        <v>98.132326401575597</v>
      </c>
      <c r="L46">
        <v>5.8938546373877303</v>
      </c>
      <c r="M46">
        <v>82.575123406684796</v>
      </c>
      <c r="N46">
        <v>6.7194015027341996</v>
      </c>
      <c r="O46">
        <v>68.390492259332106</v>
      </c>
      <c r="P46">
        <v>90.985265307238393</v>
      </c>
      <c r="Q46">
        <v>1</v>
      </c>
      <c r="R46">
        <v>0</v>
      </c>
      <c r="S46">
        <v>26.794938016528899</v>
      </c>
    </row>
    <row r="47" spans="1:19" x14ac:dyDescent="0.25">
      <c r="A47">
        <v>19</v>
      </c>
      <c r="B47">
        <v>171</v>
      </c>
      <c r="C47">
        <v>69</v>
      </c>
      <c r="D47" t="s">
        <v>20</v>
      </c>
      <c r="E47">
        <v>11.8120264957068</v>
      </c>
      <c r="F47">
        <v>34</v>
      </c>
      <c r="G47">
        <v>0</v>
      </c>
      <c r="H47">
        <v>80.216696564828098</v>
      </c>
      <c r="I47">
        <v>95.570873824139795</v>
      </c>
      <c r="J47">
        <v>254.523699203749</v>
      </c>
      <c r="K47">
        <v>89.415801172792897</v>
      </c>
      <c r="L47">
        <v>6.2338568535519299</v>
      </c>
      <c r="M47">
        <v>70.603764430041295</v>
      </c>
      <c r="N47">
        <v>7.9684922575225503</v>
      </c>
      <c r="O47">
        <v>59.270202385867201</v>
      </c>
      <c r="P47">
        <v>59.066074436740003</v>
      </c>
      <c r="Q47">
        <v>1</v>
      </c>
      <c r="R47">
        <v>0</v>
      </c>
      <c r="S47">
        <v>23.597004206422401</v>
      </c>
    </row>
    <row r="48" spans="1:19" x14ac:dyDescent="0.25">
      <c r="A48">
        <v>20</v>
      </c>
      <c r="B48">
        <v>180</v>
      </c>
      <c r="C48">
        <v>69</v>
      </c>
      <c r="D48" t="s">
        <v>21</v>
      </c>
      <c r="E48">
        <v>8.0379070617670507</v>
      </c>
      <c r="F48">
        <v>23</v>
      </c>
      <c r="G48">
        <v>0</v>
      </c>
      <c r="H48">
        <v>80.547020738933497</v>
      </c>
      <c r="I48">
        <v>86.111363811657299</v>
      </c>
      <c r="J48">
        <v>251.94824345559101</v>
      </c>
      <c r="K48">
        <v>88.5404133247483</v>
      </c>
      <c r="L48">
        <v>6.2091647750546803</v>
      </c>
      <c r="M48">
        <v>98.483967933144996</v>
      </c>
      <c r="N48">
        <v>7.2908297102721003</v>
      </c>
      <c r="O48">
        <v>45.0392413211096</v>
      </c>
      <c r="P48">
        <v>75.762147279738898</v>
      </c>
      <c r="Q48">
        <v>1</v>
      </c>
      <c r="R48">
        <v>0</v>
      </c>
      <c r="S48">
        <v>21.296296296296202</v>
      </c>
    </row>
    <row r="49" spans="1:19" x14ac:dyDescent="0.25">
      <c r="A49">
        <v>19</v>
      </c>
      <c r="B49">
        <v>169</v>
      </c>
      <c r="C49">
        <v>88</v>
      </c>
      <c r="D49" t="s">
        <v>19</v>
      </c>
      <c r="E49">
        <v>14.6168125337558</v>
      </c>
      <c r="F49">
        <v>9</v>
      </c>
      <c r="G49">
        <v>0</v>
      </c>
      <c r="H49">
        <v>72.120322219222302</v>
      </c>
      <c r="I49">
        <v>78.928839658987599</v>
      </c>
      <c r="J49">
        <v>284.51542344830699</v>
      </c>
      <c r="K49">
        <v>91.635238856415</v>
      </c>
      <c r="L49">
        <v>6.0427901321953197</v>
      </c>
      <c r="M49">
        <v>76.017037686745098</v>
      </c>
      <c r="N49">
        <v>8.1699137771949708</v>
      </c>
      <c r="O49">
        <v>61.138582287632403</v>
      </c>
      <c r="P49">
        <v>65.854199394932294</v>
      </c>
      <c r="Q49">
        <v>1</v>
      </c>
      <c r="R49">
        <v>0</v>
      </c>
      <c r="S49">
        <v>30.8112461048282</v>
      </c>
    </row>
    <row r="50" spans="1:19" x14ac:dyDescent="0.25">
      <c r="A50">
        <v>22</v>
      </c>
      <c r="B50">
        <v>186</v>
      </c>
      <c r="C50">
        <v>88</v>
      </c>
      <c r="D50" t="s">
        <v>21</v>
      </c>
      <c r="E50">
        <v>11.6687106329023</v>
      </c>
      <c r="F50">
        <v>26</v>
      </c>
      <c r="G50">
        <v>5</v>
      </c>
      <c r="H50">
        <v>83.984055369752099</v>
      </c>
      <c r="I50">
        <v>79.9380408434061</v>
      </c>
      <c r="J50">
        <v>261.32394028765299</v>
      </c>
      <c r="K50">
        <v>85.753073932861994</v>
      </c>
      <c r="L50">
        <v>6.0878200304409997</v>
      </c>
      <c r="M50">
        <v>83.952197516892497</v>
      </c>
      <c r="N50">
        <v>7.6435651740388</v>
      </c>
      <c r="O50">
        <v>48.507216056461303</v>
      </c>
      <c r="P50">
        <v>65.967493967180303</v>
      </c>
      <c r="Q50">
        <v>1</v>
      </c>
      <c r="R50">
        <v>0</v>
      </c>
      <c r="S50">
        <v>25.436466643542602</v>
      </c>
    </row>
    <row r="51" spans="1:19" x14ac:dyDescent="0.25">
      <c r="A51">
        <v>23</v>
      </c>
      <c r="B51">
        <v>169</v>
      </c>
      <c r="C51">
        <v>58</v>
      </c>
      <c r="D51" t="s">
        <v>22</v>
      </c>
      <c r="E51">
        <v>6.4052625913821402</v>
      </c>
      <c r="F51">
        <v>24</v>
      </c>
      <c r="G51">
        <v>1</v>
      </c>
      <c r="H51">
        <v>87.440295453966598</v>
      </c>
      <c r="I51">
        <v>75.839150554816101</v>
      </c>
      <c r="J51">
        <v>228.267519952047</v>
      </c>
      <c r="K51">
        <v>89.445116334900106</v>
      </c>
      <c r="L51">
        <v>6.5218138578893399</v>
      </c>
      <c r="M51">
        <v>71.924438103165699</v>
      </c>
      <c r="N51">
        <v>6.4283592477764202</v>
      </c>
      <c r="O51">
        <v>44.107660591274403</v>
      </c>
      <c r="P51">
        <v>86.340696547479894</v>
      </c>
      <c r="Q51">
        <v>1</v>
      </c>
      <c r="R51">
        <v>0</v>
      </c>
      <c r="S51">
        <v>20.307412205454899</v>
      </c>
    </row>
    <row r="52" spans="1:19" x14ac:dyDescent="0.25">
      <c r="A52">
        <v>23</v>
      </c>
      <c r="B52">
        <v>171</v>
      </c>
      <c r="C52">
        <v>72</v>
      </c>
      <c r="D52" t="s">
        <v>19</v>
      </c>
      <c r="E52">
        <v>14.2708263205779</v>
      </c>
      <c r="F52">
        <v>24</v>
      </c>
      <c r="G52">
        <v>1</v>
      </c>
      <c r="H52">
        <v>74.868321030082399</v>
      </c>
      <c r="I52">
        <v>80.559333265264897</v>
      </c>
      <c r="J52">
        <v>276.61263800453298</v>
      </c>
      <c r="K52">
        <v>75.506867401590796</v>
      </c>
      <c r="L52">
        <v>5.5667355723735499</v>
      </c>
      <c r="M52">
        <v>80.747962803114703</v>
      </c>
      <c r="N52">
        <v>6.6971651600997903</v>
      </c>
      <c r="O52">
        <v>70.679794909231902</v>
      </c>
      <c r="P52">
        <v>68.027103531480407</v>
      </c>
      <c r="Q52">
        <v>1</v>
      </c>
      <c r="R52">
        <v>1</v>
      </c>
      <c r="S52">
        <v>24.6229609110495</v>
      </c>
    </row>
    <row r="53" spans="1:19" x14ac:dyDescent="0.25">
      <c r="A53">
        <v>18</v>
      </c>
      <c r="B53">
        <v>171</v>
      </c>
      <c r="C53">
        <v>72</v>
      </c>
      <c r="D53" t="s">
        <v>21</v>
      </c>
      <c r="E53">
        <v>6.4723865093515904</v>
      </c>
      <c r="F53">
        <v>31</v>
      </c>
      <c r="G53">
        <v>2</v>
      </c>
      <c r="H53">
        <v>68.039565711073706</v>
      </c>
      <c r="I53">
        <v>73.050778687240694</v>
      </c>
      <c r="J53">
        <v>279.78627680464803</v>
      </c>
      <c r="K53">
        <v>85.926045082712506</v>
      </c>
      <c r="L53">
        <v>6.1702324437907903</v>
      </c>
      <c r="M53">
        <v>86.389638101788407</v>
      </c>
      <c r="N53">
        <v>7.3970786411217002</v>
      </c>
      <c r="O53">
        <v>71.404404387978204</v>
      </c>
      <c r="P53">
        <v>64.213070223540996</v>
      </c>
      <c r="Q53">
        <v>0</v>
      </c>
      <c r="R53">
        <v>1</v>
      </c>
      <c r="S53">
        <v>24.6229609110495</v>
      </c>
    </row>
    <row r="54" spans="1:19" x14ac:dyDescent="0.25">
      <c r="A54">
        <v>18</v>
      </c>
      <c r="B54">
        <v>178</v>
      </c>
      <c r="C54">
        <v>75</v>
      </c>
      <c r="D54" t="s">
        <v>21</v>
      </c>
      <c r="E54">
        <v>6.7964807958272502</v>
      </c>
      <c r="F54">
        <v>33</v>
      </c>
      <c r="G54">
        <v>3</v>
      </c>
      <c r="H54">
        <v>77.339167057923802</v>
      </c>
      <c r="I54">
        <v>83.204336494251095</v>
      </c>
      <c r="J54">
        <v>250.80006225884301</v>
      </c>
      <c r="K54">
        <v>78.742458285362403</v>
      </c>
      <c r="L54">
        <v>6.2805954563132698</v>
      </c>
      <c r="M54">
        <v>75.871406018514307</v>
      </c>
      <c r="N54">
        <v>9.3038490290130706</v>
      </c>
      <c r="O54">
        <v>39.914922063926902</v>
      </c>
      <c r="P54">
        <v>85.227239000751496</v>
      </c>
      <c r="Q54">
        <v>1</v>
      </c>
      <c r="R54">
        <v>0</v>
      </c>
      <c r="S54">
        <v>23.671253629592201</v>
      </c>
    </row>
    <row r="55" spans="1:19" x14ac:dyDescent="0.25">
      <c r="A55">
        <v>19</v>
      </c>
      <c r="B55">
        <v>182</v>
      </c>
      <c r="C55">
        <v>76</v>
      </c>
      <c r="D55" t="s">
        <v>20</v>
      </c>
      <c r="E55">
        <v>10.7895260563233</v>
      </c>
      <c r="F55">
        <v>26</v>
      </c>
      <c r="G55">
        <v>3</v>
      </c>
      <c r="H55">
        <v>71.4397653826463</v>
      </c>
      <c r="I55">
        <v>73.247595300102503</v>
      </c>
      <c r="J55">
        <v>225.246383076065</v>
      </c>
      <c r="K55">
        <v>85.931174869098598</v>
      </c>
      <c r="L55">
        <v>5.8947233769965601</v>
      </c>
      <c r="M55">
        <v>73.205286083862305</v>
      </c>
      <c r="N55">
        <v>7.2159497162581703</v>
      </c>
      <c r="O55">
        <v>60.7949434181917</v>
      </c>
      <c r="P55">
        <v>68.3859199261572</v>
      </c>
      <c r="Q55">
        <v>0</v>
      </c>
      <c r="R55">
        <v>1</v>
      </c>
      <c r="S55">
        <v>22.944088878154801</v>
      </c>
    </row>
    <row r="56" spans="1:19" x14ac:dyDescent="0.25">
      <c r="A56">
        <v>18</v>
      </c>
      <c r="B56">
        <v>184</v>
      </c>
      <c r="C56">
        <v>71</v>
      </c>
      <c r="D56" t="s">
        <v>19</v>
      </c>
      <c r="E56">
        <v>10.6688993295224</v>
      </c>
      <c r="F56">
        <v>9</v>
      </c>
      <c r="G56">
        <v>3</v>
      </c>
      <c r="H56">
        <v>79.069297999043002</v>
      </c>
      <c r="I56">
        <v>75.4392599797157</v>
      </c>
      <c r="J56">
        <v>245.49835556870599</v>
      </c>
      <c r="K56">
        <v>89.414235704050995</v>
      </c>
      <c r="L56">
        <v>5.9074952491726602</v>
      </c>
      <c r="M56">
        <v>79.794014096521806</v>
      </c>
      <c r="N56">
        <v>7.7388560018719001</v>
      </c>
      <c r="O56">
        <v>59.983516549867602</v>
      </c>
      <c r="P56">
        <v>59.895287912934599</v>
      </c>
      <c r="Q56">
        <v>0</v>
      </c>
      <c r="R56">
        <v>1</v>
      </c>
      <c r="S56">
        <v>20.9711720226843</v>
      </c>
    </row>
    <row r="57" spans="1:19" x14ac:dyDescent="0.25">
      <c r="A57">
        <v>19</v>
      </c>
      <c r="B57">
        <v>167</v>
      </c>
      <c r="C57">
        <v>68</v>
      </c>
      <c r="D57" t="s">
        <v>21</v>
      </c>
      <c r="E57">
        <v>9.1808151989618008</v>
      </c>
      <c r="F57">
        <v>25</v>
      </c>
      <c r="G57">
        <v>1</v>
      </c>
      <c r="H57">
        <v>65.072423589253404</v>
      </c>
      <c r="I57">
        <v>80.428423185905501</v>
      </c>
      <c r="J57">
        <v>286.769457132029</v>
      </c>
      <c r="K57">
        <v>80.465951938459099</v>
      </c>
      <c r="L57">
        <v>5.7512224931222304</v>
      </c>
      <c r="M57">
        <v>66.001438295205105</v>
      </c>
      <c r="N57">
        <v>7.2944140496220298</v>
      </c>
      <c r="O57">
        <v>73.093796097201107</v>
      </c>
      <c r="P57">
        <v>62.082781437426803</v>
      </c>
      <c r="Q57">
        <v>1</v>
      </c>
      <c r="R57">
        <v>1</v>
      </c>
      <c r="S57">
        <v>24.3823729785937</v>
      </c>
    </row>
    <row r="58" spans="1:19" x14ac:dyDescent="0.25">
      <c r="A58">
        <v>18</v>
      </c>
      <c r="B58">
        <v>179</v>
      </c>
      <c r="C58">
        <v>49</v>
      </c>
      <c r="D58" t="s">
        <v>20</v>
      </c>
      <c r="E58">
        <v>9.2801626094970597</v>
      </c>
      <c r="F58">
        <v>33</v>
      </c>
      <c r="G58">
        <v>1</v>
      </c>
      <c r="H58">
        <v>89.322006038637696</v>
      </c>
      <c r="I58">
        <v>85.750506006458593</v>
      </c>
      <c r="J58">
        <v>221.06248256854801</v>
      </c>
      <c r="K58">
        <v>79.997703971370996</v>
      </c>
      <c r="L58">
        <v>5.5753428858511498</v>
      </c>
      <c r="M58">
        <v>69.200858674600099</v>
      </c>
      <c r="N58">
        <v>6.99638867873007</v>
      </c>
      <c r="O58">
        <v>31.3277714718817</v>
      </c>
      <c r="P58">
        <v>76.767070169479993</v>
      </c>
      <c r="Q58">
        <v>0</v>
      </c>
      <c r="R58">
        <v>0</v>
      </c>
      <c r="S58">
        <v>15.292905964233301</v>
      </c>
    </row>
    <row r="59" spans="1:19" x14ac:dyDescent="0.25">
      <c r="A59">
        <v>24</v>
      </c>
      <c r="B59">
        <v>181</v>
      </c>
      <c r="C59">
        <v>75</v>
      </c>
      <c r="D59" t="s">
        <v>21</v>
      </c>
      <c r="E59">
        <v>13.5730690931588</v>
      </c>
      <c r="F59">
        <v>23</v>
      </c>
      <c r="G59">
        <v>1</v>
      </c>
      <c r="H59">
        <v>72.764630307676697</v>
      </c>
      <c r="I59">
        <v>73.336110560935197</v>
      </c>
      <c r="J59">
        <v>284.473872129965</v>
      </c>
      <c r="K59">
        <v>76.195981124096903</v>
      </c>
      <c r="L59">
        <v>5.7920685146666901</v>
      </c>
      <c r="M59">
        <v>70.521681246696303</v>
      </c>
      <c r="N59">
        <v>7.0750709368298299</v>
      </c>
      <c r="O59">
        <v>85.702209929163999</v>
      </c>
      <c r="P59">
        <v>66.861020354482704</v>
      </c>
      <c r="Q59">
        <v>0</v>
      </c>
      <c r="R59">
        <v>1</v>
      </c>
      <c r="S59">
        <v>22.893074081987699</v>
      </c>
    </row>
    <row r="60" spans="1:19" x14ac:dyDescent="0.25">
      <c r="A60">
        <v>18</v>
      </c>
      <c r="B60">
        <v>172</v>
      </c>
      <c r="C60">
        <v>64</v>
      </c>
      <c r="D60" t="s">
        <v>21</v>
      </c>
      <c r="E60">
        <v>14.896714293023701</v>
      </c>
      <c r="F60">
        <v>33</v>
      </c>
      <c r="G60">
        <v>1</v>
      </c>
      <c r="H60">
        <v>68.542633715965394</v>
      </c>
      <c r="I60">
        <v>84.071064153569296</v>
      </c>
      <c r="J60">
        <v>283.16680015042698</v>
      </c>
      <c r="K60">
        <v>80.672736012201696</v>
      </c>
      <c r="L60">
        <v>5.8491459105118997</v>
      </c>
      <c r="M60">
        <v>76.366779619668705</v>
      </c>
      <c r="N60">
        <v>7.0940858224482399</v>
      </c>
      <c r="O60">
        <v>70.014873092820196</v>
      </c>
      <c r="P60">
        <v>76.095393204743203</v>
      </c>
      <c r="Q60">
        <v>0</v>
      </c>
      <c r="R60">
        <v>1</v>
      </c>
      <c r="S60">
        <v>21.633315305570498</v>
      </c>
    </row>
    <row r="61" spans="1:19" x14ac:dyDescent="0.25">
      <c r="A61">
        <v>23</v>
      </c>
      <c r="B61">
        <v>175</v>
      </c>
      <c r="C61">
        <v>74</v>
      </c>
      <c r="D61" t="s">
        <v>19</v>
      </c>
      <c r="E61">
        <v>7.8698190534240497</v>
      </c>
      <c r="F61">
        <v>7</v>
      </c>
      <c r="G61">
        <v>7</v>
      </c>
      <c r="H61">
        <v>62.232846838041503</v>
      </c>
      <c r="I61">
        <v>73.688628659451396</v>
      </c>
      <c r="J61">
        <v>275.87882566249698</v>
      </c>
      <c r="K61">
        <v>82.921823175019796</v>
      </c>
      <c r="L61">
        <v>6.0557012746173999</v>
      </c>
      <c r="M61">
        <v>77.721119520482603</v>
      </c>
      <c r="N61">
        <v>7.2105016625617004</v>
      </c>
      <c r="O61">
        <v>58.388618055177098</v>
      </c>
      <c r="P61">
        <v>60.828558665373798</v>
      </c>
      <c r="Q61">
        <v>1</v>
      </c>
      <c r="R61">
        <v>1</v>
      </c>
      <c r="S61">
        <v>24.163265306122401</v>
      </c>
    </row>
    <row r="62" spans="1:19" x14ac:dyDescent="0.25">
      <c r="A62">
        <v>23</v>
      </c>
      <c r="B62">
        <v>185</v>
      </c>
      <c r="C62">
        <v>73</v>
      </c>
      <c r="D62" t="s">
        <v>20</v>
      </c>
      <c r="E62">
        <v>12.269424997170599</v>
      </c>
      <c r="F62">
        <v>32</v>
      </c>
      <c r="G62">
        <v>1</v>
      </c>
      <c r="H62">
        <v>75.707848875489503</v>
      </c>
      <c r="I62">
        <v>88.0692625070227</v>
      </c>
      <c r="J62">
        <v>228.258801804136</v>
      </c>
      <c r="K62">
        <v>87.511900231063606</v>
      </c>
      <c r="L62">
        <v>5.8943043630358298</v>
      </c>
      <c r="M62">
        <v>86.422098688726606</v>
      </c>
      <c r="N62">
        <v>6.6335824613558101</v>
      </c>
      <c r="O62">
        <v>29.3274035417104</v>
      </c>
      <c r="P62">
        <v>78.568005245627901</v>
      </c>
      <c r="Q62">
        <v>0</v>
      </c>
      <c r="R62">
        <v>0</v>
      </c>
      <c r="S62">
        <v>21.3294375456537</v>
      </c>
    </row>
    <row r="63" spans="1:19" x14ac:dyDescent="0.25">
      <c r="A63">
        <v>18</v>
      </c>
      <c r="B63">
        <v>171</v>
      </c>
      <c r="C63">
        <v>83</v>
      </c>
      <c r="D63" t="s">
        <v>21</v>
      </c>
      <c r="E63">
        <v>7.8285039201331701</v>
      </c>
      <c r="F63">
        <v>16</v>
      </c>
      <c r="G63">
        <v>0</v>
      </c>
      <c r="H63">
        <v>77.983085408776006</v>
      </c>
      <c r="I63">
        <v>80.636523904649493</v>
      </c>
      <c r="J63">
        <v>243.58969503487501</v>
      </c>
      <c r="K63">
        <v>90.196005820836504</v>
      </c>
      <c r="L63">
        <v>5.9913781928956196</v>
      </c>
      <c r="M63">
        <v>78.407960532097704</v>
      </c>
      <c r="N63">
        <v>8.0339140771811905</v>
      </c>
      <c r="O63">
        <v>21.561185943923601</v>
      </c>
      <c r="P63">
        <v>72.623803963149101</v>
      </c>
      <c r="Q63">
        <v>0</v>
      </c>
      <c r="R63">
        <v>0</v>
      </c>
      <c r="S63">
        <v>28.384802161348698</v>
      </c>
    </row>
    <row r="64" spans="1:19" x14ac:dyDescent="0.25">
      <c r="A64">
        <v>20</v>
      </c>
      <c r="B64">
        <v>181</v>
      </c>
      <c r="C64">
        <v>70</v>
      </c>
      <c r="D64" t="s">
        <v>21</v>
      </c>
      <c r="E64">
        <v>10.6118511197326</v>
      </c>
      <c r="F64">
        <v>14</v>
      </c>
      <c r="G64">
        <v>1</v>
      </c>
      <c r="H64">
        <v>76.002066900875406</v>
      </c>
      <c r="I64">
        <v>77.077616250587397</v>
      </c>
      <c r="J64">
        <v>233.49596815594001</v>
      </c>
      <c r="K64">
        <v>80.684443649137904</v>
      </c>
      <c r="L64">
        <v>5.5750908203406002</v>
      </c>
      <c r="M64">
        <v>79.0717727006149</v>
      </c>
      <c r="N64">
        <v>6.9028111547787701</v>
      </c>
      <c r="O64">
        <v>40.268729151037299</v>
      </c>
      <c r="P64">
        <v>76.675780692820297</v>
      </c>
      <c r="Q64">
        <v>0</v>
      </c>
      <c r="R64">
        <v>0</v>
      </c>
      <c r="S64">
        <v>21.366869143188499</v>
      </c>
    </row>
    <row r="65" spans="1:19" x14ac:dyDescent="0.25">
      <c r="A65">
        <v>20</v>
      </c>
      <c r="B65">
        <v>183</v>
      </c>
      <c r="C65">
        <v>76</v>
      </c>
      <c r="D65" t="s">
        <v>22</v>
      </c>
      <c r="E65">
        <v>9.9996817628223695</v>
      </c>
      <c r="F65">
        <v>10</v>
      </c>
      <c r="G65">
        <v>3</v>
      </c>
      <c r="H65">
        <v>71.268828860861007</v>
      </c>
      <c r="I65">
        <v>71.0342397259477</v>
      </c>
      <c r="J65">
        <v>266.12578190068098</v>
      </c>
      <c r="K65">
        <v>85.041695660690493</v>
      </c>
      <c r="L65">
        <v>5.7687549040913799</v>
      </c>
      <c r="M65">
        <v>83.852042522577705</v>
      </c>
      <c r="N65">
        <v>6.99633197007718</v>
      </c>
      <c r="O65">
        <v>48.937421699000197</v>
      </c>
      <c r="P65">
        <v>70.744827270379801</v>
      </c>
      <c r="Q65">
        <v>0</v>
      </c>
      <c r="R65">
        <v>1</v>
      </c>
      <c r="S65">
        <v>22.694018931589401</v>
      </c>
    </row>
    <row r="66" spans="1:19" x14ac:dyDescent="0.25">
      <c r="A66">
        <v>21</v>
      </c>
      <c r="B66">
        <v>162</v>
      </c>
      <c r="C66">
        <v>71</v>
      </c>
      <c r="D66" t="s">
        <v>19</v>
      </c>
      <c r="E66">
        <v>11.807645384522401</v>
      </c>
      <c r="F66">
        <v>24</v>
      </c>
      <c r="G66">
        <v>2</v>
      </c>
      <c r="H66">
        <v>67.540735578939106</v>
      </c>
      <c r="I66">
        <v>95.768612729215405</v>
      </c>
      <c r="J66">
        <v>257.5396756582</v>
      </c>
      <c r="K66">
        <v>74.922434598429405</v>
      </c>
      <c r="L66">
        <v>5.5587226407865096</v>
      </c>
      <c r="M66">
        <v>74.485423120306706</v>
      </c>
      <c r="N66">
        <v>7.0502085400095202</v>
      </c>
      <c r="O66">
        <v>65.755437743338902</v>
      </c>
      <c r="P66">
        <v>68.371144757770594</v>
      </c>
      <c r="Q66">
        <v>1</v>
      </c>
      <c r="R66">
        <v>1</v>
      </c>
      <c r="S66">
        <v>27.053802773967298</v>
      </c>
    </row>
    <row r="67" spans="1:19" x14ac:dyDescent="0.25">
      <c r="A67">
        <v>21</v>
      </c>
      <c r="B67">
        <v>173</v>
      </c>
      <c r="C67">
        <v>61</v>
      </c>
      <c r="D67" t="s">
        <v>20</v>
      </c>
      <c r="E67">
        <v>9.0862081842028797</v>
      </c>
      <c r="F67">
        <v>20</v>
      </c>
      <c r="G67">
        <v>0</v>
      </c>
      <c r="H67">
        <v>74.114484254329895</v>
      </c>
      <c r="I67">
        <v>74.847774671987096</v>
      </c>
      <c r="J67">
        <v>236.734760368</v>
      </c>
      <c r="K67">
        <v>94.696009571904995</v>
      </c>
      <c r="L67">
        <v>6.4538507105131702</v>
      </c>
      <c r="M67">
        <v>74.356958107658798</v>
      </c>
      <c r="N67">
        <v>6.4283020557976398</v>
      </c>
      <c r="O67">
        <v>42.113866262450699</v>
      </c>
      <c r="P67">
        <v>84.331380300192905</v>
      </c>
      <c r="Q67">
        <v>1</v>
      </c>
      <c r="R67">
        <v>0</v>
      </c>
      <c r="S67">
        <v>20.3815697149921</v>
      </c>
    </row>
    <row r="68" spans="1:19" x14ac:dyDescent="0.25">
      <c r="A68">
        <v>24</v>
      </c>
      <c r="B68">
        <v>183</v>
      </c>
      <c r="C68">
        <v>71</v>
      </c>
      <c r="D68" t="s">
        <v>20</v>
      </c>
      <c r="E68">
        <v>5.80127064160214</v>
      </c>
      <c r="F68">
        <v>37</v>
      </c>
      <c r="G68">
        <v>3</v>
      </c>
      <c r="H68">
        <v>64.0235931929126</v>
      </c>
      <c r="I68">
        <v>78.797275087800898</v>
      </c>
      <c r="J68">
        <v>275.45332484843198</v>
      </c>
      <c r="K68">
        <v>72.062097168395098</v>
      </c>
      <c r="L68">
        <v>5.6232859139895801</v>
      </c>
      <c r="M68">
        <v>67.946306823685603</v>
      </c>
      <c r="N68">
        <v>7.6504241638124197</v>
      </c>
      <c r="O68">
        <v>64.848743462205505</v>
      </c>
      <c r="P68">
        <v>69.549424033168293</v>
      </c>
      <c r="Q68">
        <v>0</v>
      </c>
      <c r="R68">
        <v>1</v>
      </c>
      <c r="S68">
        <v>21.200991370300599</v>
      </c>
    </row>
    <row r="69" spans="1:19" x14ac:dyDescent="0.25">
      <c r="A69">
        <v>20</v>
      </c>
      <c r="B69">
        <v>190</v>
      </c>
      <c r="C69">
        <v>90</v>
      </c>
      <c r="D69" t="s">
        <v>21</v>
      </c>
      <c r="E69">
        <v>12.4059778666058</v>
      </c>
      <c r="F69">
        <v>14</v>
      </c>
      <c r="G69">
        <v>0</v>
      </c>
      <c r="H69">
        <v>79.597412952972704</v>
      </c>
      <c r="I69">
        <v>85.366862726626906</v>
      </c>
      <c r="J69">
        <v>243.02175613313599</v>
      </c>
      <c r="K69">
        <v>91.477137743868198</v>
      </c>
      <c r="L69">
        <v>6.5983027377500898</v>
      </c>
      <c r="M69">
        <v>72.459994563309294</v>
      </c>
      <c r="N69">
        <v>8.0048169381608805</v>
      </c>
      <c r="O69">
        <v>45.9323474741865</v>
      </c>
      <c r="P69">
        <v>77.249440036937102</v>
      </c>
      <c r="Q69">
        <v>0</v>
      </c>
      <c r="R69">
        <v>0</v>
      </c>
      <c r="S69">
        <v>24.9307479224376</v>
      </c>
    </row>
    <row r="70" spans="1:19" x14ac:dyDescent="0.25">
      <c r="A70">
        <v>20</v>
      </c>
      <c r="B70">
        <v>170</v>
      </c>
      <c r="C70">
        <v>78</v>
      </c>
      <c r="D70" t="s">
        <v>21</v>
      </c>
      <c r="E70">
        <v>10.3023369806077</v>
      </c>
      <c r="F70">
        <v>8</v>
      </c>
      <c r="G70">
        <v>3</v>
      </c>
      <c r="H70">
        <v>72.797461481103895</v>
      </c>
      <c r="I70">
        <v>70.777997851734696</v>
      </c>
      <c r="J70">
        <v>269.037851427715</v>
      </c>
      <c r="K70">
        <v>75.350966553138406</v>
      </c>
      <c r="L70">
        <v>5.5593505941557</v>
      </c>
      <c r="M70">
        <v>73.758080820651401</v>
      </c>
      <c r="N70">
        <v>6.79008921099945</v>
      </c>
      <c r="O70">
        <v>51.370739256088498</v>
      </c>
      <c r="P70">
        <v>89.623592284761898</v>
      </c>
      <c r="Q70">
        <v>0</v>
      </c>
      <c r="R70">
        <v>1</v>
      </c>
      <c r="S70">
        <v>26.989619377162601</v>
      </c>
    </row>
    <row r="71" spans="1:19" x14ac:dyDescent="0.25">
      <c r="A71">
        <v>18</v>
      </c>
      <c r="B71">
        <v>178</v>
      </c>
      <c r="C71">
        <v>68</v>
      </c>
      <c r="D71" t="s">
        <v>19</v>
      </c>
      <c r="E71">
        <v>9.09268729464738</v>
      </c>
      <c r="F71">
        <v>18</v>
      </c>
      <c r="G71">
        <v>2</v>
      </c>
      <c r="H71">
        <v>69.574038096505902</v>
      </c>
      <c r="I71">
        <v>72.751627827298293</v>
      </c>
      <c r="J71">
        <v>259.72389913365703</v>
      </c>
      <c r="K71">
        <v>80.864009591602994</v>
      </c>
      <c r="L71">
        <v>5.5265651603931998</v>
      </c>
      <c r="M71">
        <v>74.215513233257596</v>
      </c>
      <c r="N71">
        <v>6.1354992827290298</v>
      </c>
      <c r="O71">
        <v>58.018946547933801</v>
      </c>
      <c r="P71">
        <v>72.970841857508802</v>
      </c>
      <c r="Q71">
        <v>0</v>
      </c>
      <c r="R71">
        <v>1</v>
      </c>
      <c r="S71">
        <v>21.461936624163599</v>
      </c>
    </row>
    <row r="72" spans="1:19" x14ac:dyDescent="0.25">
      <c r="A72">
        <v>20</v>
      </c>
      <c r="B72">
        <v>169</v>
      </c>
      <c r="C72">
        <v>71</v>
      </c>
      <c r="D72" t="s">
        <v>22</v>
      </c>
      <c r="E72">
        <v>7.0272552089549496</v>
      </c>
      <c r="F72">
        <v>37</v>
      </c>
      <c r="G72">
        <v>1</v>
      </c>
      <c r="H72">
        <v>66.905255035036603</v>
      </c>
      <c r="I72">
        <v>88.800614333044294</v>
      </c>
      <c r="J72">
        <v>250.113433888684</v>
      </c>
      <c r="K72">
        <v>86.063700740143005</v>
      </c>
      <c r="L72">
        <v>6.0703176369283502</v>
      </c>
      <c r="M72">
        <v>91.169369925966706</v>
      </c>
      <c r="N72">
        <v>7.5584399684257599</v>
      </c>
      <c r="O72">
        <v>49.455593846390201</v>
      </c>
      <c r="P72">
        <v>76.340709308873301</v>
      </c>
      <c r="Q72">
        <v>1</v>
      </c>
      <c r="R72">
        <v>0</v>
      </c>
      <c r="S72">
        <v>24.85907356185</v>
      </c>
    </row>
    <row r="73" spans="1:19" x14ac:dyDescent="0.25">
      <c r="A73">
        <v>23</v>
      </c>
      <c r="B73">
        <v>173</v>
      </c>
      <c r="C73">
        <v>75</v>
      </c>
      <c r="D73" t="s">
        <v>19</v>
      </c>
      <c r="E73">
        <v>10.7645404391728</v>
      </c>
      <c r="F73">
        <v>18</v>
      </c>
      <c r="G73">
        <v>0</v>
      </c>
      <c r="H73">
        <v>79.1296403779983</v>
      </c>
      <c r="I73">
        <v>58.180380764972597</v>
      </c>
      <c r="J73">
        <v>244.75747681908899</v>
      </c>
      <c r="K73">
        <v>89.564104451799594</v>
      </c>
      <c r="L73">
        <v>5.7557291450054304</v>
      </c>
      <c r="M73">
        <v>77.246818529072499</v>
      </c>
      <c r="N73">
        <v>7.1972793325063602</v>
      </c>
      <c r="O73">
        <v>46.554610493431902</v>
      </c>
      <c r="P73">
        <v>64.469233810839796</v>
      </c>
      <c r="Q73">
        <v>1</v>
      </c>
      <c r="R73">
        <v>1</v>
      </c>
      <c r="S73">
        <v>25.0593070266296</v>
      </c>
    </row>
    <row r="74" spans="1:19" x14ac:dyDescent="0.25">
      <c r="A74">
        <v>21</v>
      </c>
      <c r="B74">
        <v>174</v>
      </c>
      <c r="C74">
        <v>83</v>
      </c>
      <c r="D74" t="s">
        <v>22</v>
      </c>
      <c r="E74">
        <v>11.244043761654</v>
      </c>
      <c r="F74">
        <v>26</v>
      </c>
      <c r="G74">
        <v>0</v>
      </c>
      <c r="H74">
        <v>82.459754324745504</v>
      </c>
      <c r="I74">
        <v>84.023458082485107</v>
      </c>
      <c r="J74">
        <v>244.72169589881901</v>
      </c>
      <c r="K74">
        <v>86.690430879936301</v>
      </c>
      <c r="L74">
        <v>6.8880631871783198</v>
      </c>
      <c r="M74">
        <v>85.5852748782155</v>
      </c>
      <c r="N74">
        <v>6.2437586318104001</v>
      </c>
      <c r="O74">
        <v>54.383893005016802</v>
      </c>
      <c r="P74">
        <v>52.197550488049302</v>
      </c>
      <c r="Q74">
        <v>1</v>
      </c>
      <c r="R74">
        <v>0</v>
      </c>
      <c r="S74">
        <v>27.414453692693801</v>
      </c>
    </row>
    <row r="75" spans="1:19" x14ac:dyDescent="0.25">
      <c r="A75">
        <v>24</v>
      </c>
      <c r="B75">
        <v>167</v>
      </c>
      <c r="C75">
        <v>68</v>
      </c>
      <c r="D75" t="s">
        <v>19</v>
      </c>
      <c r="E75">
        <v>15.193020809625001</v>
      </c>
      <c r="F75">
        <v>20</v>
      </c>
      <c r="G75">
        <v>1</v>
      </c>
      <c r="H75">
        <v>75.401178061127595</v>
      </c>
      <c r="I75">
        <v>82.061596960037704</v>
      </c>
      <c r="J75">
        <v>290.38603046897902</v>
      </c>
      <c r="K75">
        <v>80.916712228116495</v>
      </c>
      <c r="L75">
        <v>6.1133118800041801</v>
      </c>
      <c r="M75">
        <v>96.212492404603594</v>
      </c>
      <c r="N75">
        <v>7.6585137722511103</v>
      </c>
      <c r="O75">
        <v>34.327127063313199</v>
      </c>
      <c r="P75">
        <v>66.883639961755605</v>
      </c>
      <c r="Q75">
        <v>1</v>
      </c>
      <c r="R75">
        <v>1</v>
      </c>
      <c r="S75">
        <v>24.3823729785937</v>
      </c>
    </row>
    <row r="76" spans="1:19" x14ac:dyDescent="0.25">
      <c r="A76">
        <v>22</v>
      </c>
      <c r="B76">
        <v>181</v>
      </c>
      <c r="C76">
        <v>67</v>
      </c>
      <c r="D76" t="s">
        <v>22</v>
      </c>
      <c r="E76">
        <v>10.802992279949899</v>
      </c>
      <c r="F76">
        <v>26</v>
      </c>
      <c r="G76">
        <v>2</v>
      </c>
      <c r="H76">
        <v>73.910673338955803</v>
      </c>
      <c r="I76">
        <v>77.566461401699101</v>
      </c>
      <c r="J76">
        <v>240.581453992414</v>
      </c>
      <c r="K76">
        <v>93.816813041227505</v>
      </c>
      <c r="L76">
        <v>5.6254877324222496</v>
      </c>
      <c r="M76">
        <v>76.683190416765697</v>
      </c>
      <c r="N76">
        <v>7.5541257694799802</v>
      </c>
      <c r="O76">
        <v>53.717771330624899</v>
      </c>
      <c r="P76">
        <v>55.318640310548801</v>
      </c>
      <c r="Q76">
        <v>0</v>
      </c>
      <c r="R76">
        <v>1</v>
      </c>
      <c r="S76">
        <v>20.451146179908999</v>
      </c>
    </row>
    <row r="77" spans="1:19" x14ac:dyDescent="0.25">
      <c r="A77">
        <v>20</v>
      </c>
      <c r="B77">
        <v>177</v>
      </c>
      <c r="C77">
        <v>88</v>
      </c>
      <c r="D77" t="s">
        <v>22</v>
      </c>
      <c r="E77">
        <v>11.5031675647133</v>
      </c>
      <c r="F77">
        <v>28</v>
      </c>
      <c r="G77">
        <v>0</v>
      </c>
      <c r="H77">
        <v>57.099491941903104</v>
      </c>
      <c r="I77">
        <v>80.225343123725807</v>
      </c>
      <c r="J77">
        <v>266.09341085575898</v>
      </c>
      <c r="K77">
        <v>78.244581792129793</v>
      </c>
      <c r="L77">
        <v>5.2664551060115903</v>
      </c>
      <c r="M77">
        <v>80.936849400401499</v>
      </c>
      <c r="N77">
        <v>6.2995068669075396</v>
      </c>
      <c r="O77">
        <v>54.976735304639597</v>
      </c>
      <c r="P77">
        <v>50</v>
      </c>
      <c r="Q77">
        <v>0</v>
      </c>
      <c r="R77">
        <v>1</v>
      </c>
      <c r="S77">
        <v>28.0889910306744</v>
      </c>
    </row>
    <row r="78" spans="1:19" x14ac:dyDescent="0.25">
      <c r="A78">
        <v>22</v>
      </c>
      <c r="B78">
        <v>177</v>
      </c>
      <c r="C78">
        <v>61</v>
      </c>
      <c r="D78" t="s">
        <v>21</v>
      </c>
      <c r="E78">
        <v>10.304786711921899</v>
      </c>
      <c r="F78">
        <v>16</v>
      </c>
      <c r="G78">
        <v>3</v>
      </c>
      <c r="H78">
        <v>76.078706152289101</v>
      </c>
      <c r="I78">
        <v>67.203818900939496</v>
      </c>
      <c r="J78">
        <v>267.23622077968503</v>
      </c>
      <c r="K78">
        <v>89.792107381923898</v>
      </c>
      <c r="L78">
        <v>6.0841536979245996</v>
      </c>
      <c r="M78">
        <v>83.488067753688696</v>
      </c>
      <c r="N78">
        <v>5.9906756069259899</v>
      </c>
      <c r="O78">
        <v>52.736790875246001</v>
      </c>
      <c r="P78">
        <v>70.6153973046586</v>
      </c>
      <c r="Q78">
        <v>0</v>
      </c>
      <c r="R78">
        <v>1</v>
      </c>
      <c r="S78">
        <v>19.470777873535699</v>
      </c>
    </row>
    <row r="79" spans="1:19" x14ac:dyDescent="0.25">
      <c r="A79">
        <v>18</v>
      </c>
      <c r="B79">
        <v>174</v>
      </c>
      <c r="C79">
        <v>76</v>
      </c>
      <c r="D79" t="s">
        <v>21</v>
      </c>
      <c r="E79">
        <v>10.792458950919301</v>
      </c>
      <c r="F79">
        <v>17</v>
      </c>
      <c r="G79">
        <v>0</v>
      </c>
      <c r="H79">
        <v>77.843612049879994</v>
      </c>
      <c r="I79">
        <v>80.547820745423095</v>
      </c>
      <c r="J79">
        <v>181.692203910361</v>
      </c>
      <c r="K79">
        <v>82.2823287138757</v>
      </c>
      <c r="L79">
        <v>5.7999037906908599</v>
      </c>
      <c r="M79">
        <v>76.641269624292207</v>
      </c>
      <c r="N79">
        <v>6.8440781112454099</v>
      </c>
      <c r="O79">
        <v>52.082495447477001</v>
      </c>
      <c r="P79">
        <v>68.510731452284702</v>
      </c>
      <c r="Q79">
        <v>0</v>
      </c>
      <c r="R79">
        <v>0</v>
      </c>
      <c r="S79">
        <v>25.102391333069001</v>
      </c>
    </row>
    <row r="80" spans="1:19" x14ac:dyDescent="0.25">
      <c r="A80">
        <v>18</v>
      </c>
      <c r="B80">
        <v>174</v>
      </c>
      <c r="C80">
        <v>70</v>
      </c>
      <c r="D80" t="s">
        <v>19</v>
      </c>
      <c r="E80">
        <v>11.6006823130318</v>
      </c>
      <c r="F80">
        <v>34</v>
      </c>
      <c r="G80">
        <v>3</v>
      </c>
      <c r="H80">
        <v>75.572212445603498</v>
      </c>
      <c r="I80">
        <v>67.670253773155807</v>
      </c>
      <c r="J80">
        <v>234.21735467954301</v>
      </c>
      <c r="K80">
        <v>75.331760599711799</v>
      </c>
      <c r="L80">
        <v>6.2823146389177902</v>
      </c>
      <c r="M80">
        <v>85.554955568413604</v>
      </c>
      <c r="N80">
        <v>8.5443400897107207</v>
      </c>
      <c r="O80">
        <v>63.165321011641801</v>
      </c>
      <c r="P80">
        <v>82.306582468244002</v>
      </c>
      <c r="Q80">
        <v>1</v>
      </c>
      <c r="R80">
        <v>0</v>
      </c>
      <c r="S80">
        <v>23.1206235962478</v>
      </c>
    </row>
    <row r="81" spans="1:19" x14ac:dyDescent="0.25">
      <c r="A81">
        <v>24</v>
      </c>
      <c r="B81">
        <v>189</v>
      </c>
      <c r="C81">
        <v>72</v>
      </c>
      <c r="D81" t="s">
        <v>22</v>
      </c>
      <c r="E81">
        <v>9.4790874866298598</v>
      </c>
      <c r="F81">
        <v>7</v>
      </c>
      <c r="G81">
        <v>1</v>
      </c>
      <c r="H81">
        <v>74.850210881761299</v>
      </c>
      <c r="I81">
        <v>79.544739017549503</v>
      </c>
      <c r="J81">
        <v>237.63176155234501</v>
      </c>
      <c r="K81">
        <v>88.631767127398007</v>
      </c>
      <c r="L81">
        <v>6.65269287689582</v>
      </c>
      <c r="M81">
        <v>84.757144025266896</v>
      </c>
      <c r="N81">
        <v>7.6804045535821199</v>
      </c>
      <c r="O81">
        <v>51.380502147783297</v>
      </c>
      <c r="P81">
        <v>72.7641867571554</v>
      </c>
      <c r="Q81">
        <v>0</v>
      </c>
      <c r="R81">
        <v>0</v>
      </c>
      <c r="S81">
        <v>20.156210632401098</v>
      </c>
    </row>
    <row r="82" spans="1:19" x14ac:dyDescent="0.25">
      <c r="A82">
        <v>18</v>
      </c>
      <c r="B82">
        <v>169</v>
      </c>
      <c r="C82">
        <v>80</v>
      </c>
      <c r="D82" t="s">
        <v>22</v>
      </c>
      <c r="E82">
        <v>9.5989565738951992</v>
      </c>
      <c r="F82">
        <v>32</v>
      </c>
      <c r="G82">
        <v>2</v>
      </c>
      <c r="H82">
        <v>78.118395373326607</v>
      </c>
      <c r="I82">
        <v>83.324070122257496</v>
      </c>
      <c r="J82">
        <v>236.429527640419</v>
      </c>
      <c r="K82">
        <v>88.875901961688797</v>
      </c>
      <c r="L82">
        <v>6.6750391611500497</v>
      </c>
      <c r="M82">
        <v>91.644244016468093</v>
      </c>
      <c r="N82">
        <v>7.6959956954910798</v>
      </c>
      <c r="O82">
        <v>49.596895222023399</v>
      </c>
      <c r="P82">
        <v>88.182632993265202</v>
      </c>
      <c r="Q82">
        <v>1</v>
      </c>
      <c r="R82">
        <v>0</v>
      </c>
      <c r="S82">
        <v>28.010223731661998</v>
      </c>
    </row>
    <row r="83" spans="1:19" x14ac:dyDescent="0.25">
      <c r="A83">
        <v>23</v>
      </c>
      <c r="B83">
        <v>175</v>
      </c>
      <c r="C83">
        <v>64</v>
      </c>
      <c r="D83" t="s">
        <v>20</v>
      </c>
      <c r="E83">
        <v>7.6536747621666503</v>
      </c>
      <c r="F83">
        <v>28</v>
      </c>
      <c r="G83">
        <v>3</v>
      </c>
      <c r="H83">
        <v>72.448455945831896</v>
      </c>
      <c r="I83">
        <v>80.904870738615699</v>
      </c>
      <c r="J83">
        <v>267.82337114549301</v>
      </c>
      <c r="K83">
        <v>74.969669643571095</v>
      </c>
      <c r="L83">
        <v>5.5174203129515602</v>
      </c>
      <c r="M83">
        <v>78.741170430488793</v>
      </c>
      <c r="N83">
        <v>6.1461054118061602</v>
      </c>
      <c r="O83">
        <v>61.821420906263803</v>
      </c>
      <c r="P83">
        <v>63.751282058604097</v>
      </c>
      <c r="Q83">
        <v>0</v>
      </c>
      <c r="R83">
        <v>1</v>
      </c>
      <c r="S83">
        <v>20.8979591836734</v>
      </c>
    </row>
    <row r="84" spans="1:19" x14ac:dyDescent="0.25">
      <c r="A84">
        <v>18</v>
      </c>
      <c r="B84">
        <v>168</v>
      </c>
      <c r="C84">
        <v>80</v>
      </c>
      <c r="D84" t="s">
        <v>19</v>
      </c>
      <c r="E84">
        <v>14.8120802593655</v>
      </c>
      <c r="F84">
        <v>21</v>
      </c>
      <c r="G84">
        <v>3</v>
      </c>
      <c r="H84">
        <v>77.912985627977903</v>
      </c>
      <c r="I84">
        <v>72.043917849260595</v>
      </c>
      <c r="J84">
        <v>289.93029388674103</v>
      </c>
      <c r="K84">
        <v>80.454723586075005</v>
      </c>
      <c r="L84">
        <v>5.8799177211096696</v>
      </c>
      <c r="M84">
        <v>50</v>
      </c>
      <c r="N84">
        <v>7.0889498471589603</v>
      </c>
      <c r="O84">
        <v>53.059999767412798</v>
      </c>
      <c r="P84">
        <v>80.0724712094936</v>
      </c>
      <c r="Q84">
        <v>1</v>
      </c>
      <c r="R84">
        <v>1</v>
      </c>
      <c r="S84">
        <v>28.344671201813998</v>
      </c>
    </row>
    <row r="85" spans="1:19" x14ac:dyDescent="0.25">
      <c r="A85">
        <v>19</v>
      </c>
      <c r="B85">
        <v>166</v>
      </c>
      <c r="C85">
        <v>79</v>
      </c>
      <c r="D85" t="s">
        <v>22</v>
      </c>
      <c r="E85">
        <v>8.90251715665452</v>
      </c>
      <c r="F85">
        <v>23</v>
      </c>
      <c r="G85">
        <v>2</v>
      </c>
      <c r="H85">
        <v>73.172377054491093</v>
      </c>
      <c r="I85">
        <v>81.524010954970805</v>
      </c>
      <c r="J85">
        <v>284.39631622320599</v>
      </c>
      <c r="K85">
        <v>78.280558025301801</v>
      </c>
      <c r="L85">
        <v>5.7425520759946203</v>
      </c>
      <c r="M85">
        <v>81.633077643714401</v>
      </c>
      <c r="N85">
        <v>7.6327826865736803</v>
      </c>
      <c r="O85">
        <v>48.432757379542501</v>
      </c>
      <c r="P85">
        <v>62.598926425014902</v>
      </c>
      <c r="Q85">
        <v>0</v>
      </c>
      <c r="R85">
        <v>1</v>
      </c>
      <c r="S85">
        <v>28.668892437218702</v>
      </c>
    </row>
    <row r="86" spans="1:19" x14ac:dyDescent="0.25">
      <c r="A86">
        <v>24</v>
      </c>
      <c r="B86">
        <v>172</v>
      </c>
      <c r="C86">
        <v>77</v>
      </c>
      <c r="D86" t="s">
        <v>20</v>
      </c>
      <c r="E86">
        <v>14.0586910121411</v>
      </c>
      <c r="F86">
        <v>22</v>
      </c>
      <c r="G86">
        <v>0</v>
      </c>
      <c r="H86">
        <v>77.8761232114188</v>
      </c>
      <c r="I86">
        <v>71.057874077333594</v>
      </c>
      <c r="J86">
        <v>230.80073163935799</v>
      </c>
      <c r="K86">
        <v>92.017102390394498</v>
      </c>
      <c r="L86">
        <v>5.58676205269738</v>
      </c>
      <c r="M86">
        <v>76.345037772394605</v>
      </c>
      <c r="N86">
        <v>6.7521057587066098</v>
      </c>
      <c r="O86">
        <v>41.0821662948346</v>
      </c>
      <c r="P86">
        <v>64.389940453483803</v>
      </c>
      <c r="Q86">
        <v>1</v>
      </c>
      <c r="R86">
        <v>0</v>
      </c>
      <c r="S86">
        <v>26.027582477014601</v>
      </c>
    </row>
    <row r="87" spans="1:19" x14ac:dyDescent="0.25">
      <c r="A87">
        <v>22</v>
      </c>
      <c r="B87">
        <v>173</v>
      </c>
      <c r="C87">
        <v>75</v>
      </c>
      <c r="D87" t="s">
        <v>20</v>
      </c>
      <c r="E87">
        <v>11.2576953764323</v>
      </c>
      <c r="F87">
        <v>17</v>
      </c>
      <c r="G87">
        <v>2</v>
      </c>
      <c r="H87">
        <v>86.495570065000194</v>
      </c>
      <c r="I87">
        <v>86.675784792055097</v>
      </c>
      <c r="J87">
        <v>262.96839659032003</v>
      </c>
      <c r="K87">
        <v>84.404612938607102</v>
      </c>
      <c r="L87">
        <v>5.8541260199276204</v>
      </c>
      <c r="M87">
        <v>94.665867168321299</v>
      </c>
      <c r="N87">
        <v>7.2286685178682699</v>
      </c>
      <c r="O87">
        <v>55.876970912841202</v>
      </c>
      <c r="P87">
        <v>87.268175579609405</v>
      </c>
      <c r="Q87">
        <v>0</v>
      </c>
      <c r="R87">
        <v>0</v>
      </c>
      <c r="S87">
        <v>25.0593070266296</v>
      </c>
    </row>
    <row r="88" spans="1:19" x14ac:dyDescent="0.25">
      <c r="A88">
        <v>18</v>
      </c>
      <c r="B88">
        <v>182</v>
      </c>
      <c r="C88">
        <v>64</v>
      </c>
      <c r="D88" t="s">
        <v>22</v>
      </c>
      <c r="E88">
        <v>12.2128831128013</v>
      </c>
      <c r="F88">
        <v>16</v>
      </c>
      <c r="G88">
        <v>1</v>
      </c>
      <c r="H88">
        <v>90.056353128119994</v>
      </c>
      <c r="I88">
        <v>82.027696421561501</v>
      </c>
      <c r="J88">
        <v>188.038208290471</v>
      </c>
      <c r="K88">
        <v>81.967948167886505</v>
      </c>
      <c r="L88">
        <v>5.7726157017525903</v>
      </c>
      <c r="M88">
        <v>83.237306201426904</v>
      </c>
      <c r="N88">
        <v>8.3952616923019701</v>
      </c>
      <c r="O88">
        <v>49.152168672030101</v>
      </c>
      <c r="P88">
        <v>80.903573425557099</v>
      </c>
      <c r="Q88">
        <v>0</v>
      </c>
      <c r="R88">
        <v>0</v>
      </c>
      <c r="S88">
        <v>19.321338002656599</v>
      </c>
    </row>
    <row r="89" spans="1:19" x14ac:dyDescent="0.25">
      <c r="A89">
        <v>22</v>
      </c>
      <c r="B89">
        <v>189</v>
      </c>
      <c r="C89">
        <v>80</v>
      </c>
      <c r="D89" t="s">
        <v>20</v>
      </c>
      <c r="E89">
        <v>6.5439419322394299</v>
      </c>
      <c r="F89">
        <v>31</v>
      </c>
      <c r="G89">
        <v>2</v>
      </c>
      <c r="H89">
        <v>68.871568569725099</v>
      </c>
      <c r="I89">
        <v>71.561245738303995</v>
      </c>
      <c r="J89">
        <v>243.711235397416</v>
      </c>
      <c r="K89">
        <v>81.845559824469902</v>
      </c>
      <c r="L89">
        <v>5.8109620514091098</v>
      </c>
      <c r="M89">
        <v>75.713448508168199</v>
      </c>
      <c r="N89">
        <v>6.2230293244128303</v>
      </c>
      <c r="O89">
        <v>67.193346254938803</v>
      </c>
      <c r="P89">
        <v>64.696712002343503</v>
      </c>
      <c r="Q89">
        <v>1</v>
      </c>
      <c r="R89">
        <v>1</v>
      </c>
      <c r="S89">
        <v>22.395789591556699</v>
      </c>
    </row>
    <row r="90" spans="1:19" x14ac:dyDescent="0.25">
      <c r="A90">
        <v>19</v>
      </c>
      <c r="B90">
        <v>182</v>
      </c>
      <c r="C90">
        <v>86</v>
      </c>
      <c r="D90" t="s">
        <v>22</v>
      </c>
      <c r="E90">
        <v>12.9237766124606</v>
      </c>
      <c r="F90">
        <v>39</v>
      </c>
      <c r="G90">
        <v>4</v>
      </c>
      <c r="H90">
        <v>75.791028401387507</v>
      </c>
      <c r="I90">
        <v>79.796098034790305</v>
      </c>
      <c r="J90">
        <v>261.90185350241899</v>
      </c>
      <c r="K90">
        <v>78.337518382637597</v>
      </c>
      <c r="L90">
        <v>5.96053018856046</v>
      </c>
      <c r="M90">
        <v>88.008281152149195</v>
      </c>
      <c r="N90">
        <v>6.7986354162107503</v>
      </c>
      <c r="O90">
        <v>72.321076706231096</v>
      </c>
      <c r="P90">
        <v>75.655721035273601</v>
      </c>
      <c r="Q90">
        <v>1</v>
      </c>
      <c r="R90">
        <v>1</v>
      </c>
      <c r="S90">
        <v>25.963047941069899</v>
      </c>
    </row>
    <row r="91" spans="1:19" x14ac:dyDescent="0.25">
      <c r="A91">
        <v>23</v>
      </c>
      <c r="B91">
        <v>183</v>
      </c>
      <c r="C91">
        <v>76</v>
      </c>
      <c r="D91" t="s">
        <v>20</v>
      </c>
      <c r="E91">
        <v>11.5954768331836</v>
      </c>
      <c r="F91">
        <v>39</v>
      </c>
      <c r="G91">
        <v>3</v>
      </c>
      <c r="H91">
        <v>65.3617738668855</v>
      </c>
      <c r="I91">
        <v>77.149191595452706</v>
      </c>
      <c r="J91">
        <v>249.80709134149799</v>
      </c>
      <c r="K91">
        <v>79.041324498418106</v>
      </c>
      <c r="L91">
        <v>5.6877506068059898</v>
      </c>
      <c r="M91">
        <v>74.479773654136295</v>
      </c>
      <c r="N91">
        <v>7.0522538262471901</v>
      </c>
      <c r="O91">
        <v>58.695903312700104</v>
      </c>
      <c r="P91">
        <v>74.206355518130906</v>
      </c>
      <c r="Q91">
        <v>0</v>
      </c>
      <c r="R91">
        <v>1</v>
      </c>
      <c r="S91">
        <v>22.694018931589401</v>
      </c>
    </row>
    <row r="92" spans="1:19" x14ac:dyDescent="0.25">
      <c r="A92">
        <v>21</v>
      </c>
      <c r="B92">
        <v>181</v>
      </c>
      <c r="C92">
        <v>73</v>
      </c>
      <c r="D92" t="s">
        <v>21</v>
      </c>
      <c r="E92">
        <v>16.666169276325299</v>
      </c>
      <c r="F92">
        <v>17</v>
      </c>
      <c r="G92">
        <v>1</v>
      </c>
      <c r="H92">
        <v>86.928476378864303</v>
      </c>
      <c r="I92">
        <v>72.855384708644394</v>
      </c>
      <c r="J92">
        <v>230.48197907006599</v>
      </c>
      <c r="K92">
        <v>81.302198515554295</v>
      </c>
      <c r="L92">
        <v>5.7954184157562896</v>
      </c>
      <c r="M92">
        <v>64.185144408947494</v>
      </c>
      <c r="N92">
        <v>8.45343941610607</v>
      </c>
      <c r="O92">
        <v>52.410465075799301</v>
      </c>
      <c r="P92">
        <v>76.844328863944796</v>
      </c>
      <c r="Q92">
        <v>0</v>
      </c>
      <c r="R92">
        <v>0</v>
      </c>
      <c r="S92">
        <v>22.282592106468002</v>
      </c>
    </row>
    <row r="93" spans="1:19" x14ac:dyDescent="0.25">
      <c r="A93">
        <v>18</v>
      </c>
      <c r="B93">
        <v>193</v>
      </c>
      <c r="C93">
        <v>87</v>
      </c>
      <c r="D93" t="s">
        <v>21</v>
      </c>
      <c r="E93">
        <v>11.648625670942501</v>
      </c>
      <c r="F93">
        <v>18</v>
      </c>
      <c r="G93">
        <v>2</v>
      </c>
      <c r="H93">
        <v>81.839856563678893</v>
      </c>
      <c r="I93">
        <v>94.103794451819695</v>
      </c>
      <c r="J93">
        <v>272.55839270895899</v>
      </c>
      <c r="K93">
        <v>89.288746559075406</v>
      </c>
      <c r="L93">
        <v>6.3875182445306002</v>
      </c>
      <c r="M93">
        <v>66.095235633129803</v>
      </c>
      <c r="N93">
        <v>7.9209921089332704</v>
      </c>
      <c r="O93">
        <v>55.0150718350503</v>
      </c>
      <c r="P93">
        <v>58.722935175155797</v>
      </c>
      <c r="Q93">
        <v>0</v>
      </c>
      <c r="R93">
        <v>0</v>
      </c>
      <c r="S93">
        <v>23.356331713603002</v>
      </c>
    </row>
    <row r="94" spans="1:19" x14ac:dyDescent="0.25">
      <c r="A94">
        <v>20</v>
      </c>
      <c r="B94">
        <v>175</v>
      </c>
      <c r="C94">
        <v>89</v>
      </c>
      <c r="D94" t="s">
        <v>20</v>
      </c>
      <c r="E94">
        <v>6.1344400524125504</v>
      </c>
      <c r="F94">
        <v>11</v>
      </c>
      <c r="G94">
        <v>1</v>
      </c>
      <c r="H94">
        <v>71.082330658043503</v>
      </c>
      <c r="I94">
        <v>76.699628118777596</v>
      </c>
      <c r="J94">
        <v>244.07196874815401</v>
      </c>
      <c r="K94">
        <v>82.203688442272295</v>
      </c>
      <c r="L94">
        <v>6.0627893176249401</v>
      </c>
      <c r="M94">
        <v>60.467521264419602</v>
      </c>
      <c r="N94">
        <v>7.5688166306718703</v>
      </c>
      <c r="O94">
        <v>52.9469341304357</v>
      </c>
      <c r="P94">
        <v>69.709471850823604</v>
      </c>
      <c r="Q94">
        <v>1</v>
      </c>
      <c r="R94">
        <v>1</v>
      </c>
      <c r="S94">
        <v>29.061224489795901</v>
      </c>
    </row>
    <row r="95" spans="1:19" x14ac:dyDescent="0.25">
      <c r="A95">
        <v>21</v>
      </c>
      <c r="B95">
        <v>165</v>
      </c>
      <c r="C95">
        <v>57</v>
      </c>
      <c r="D95" t="s">
        <v>19</v>
      </c>
      <c r="E95">
        <v>8.2925745199682197</v>
      </c>
      <c r="F95">
        <v>15</v>
      </c>
      <c r="G95">
        <v>1</v>
      </c>
      <c r="H95">
        <v>72.964002795300701</v>
      </c>
      <c r="I95">
        <v>79.155117406844397</v>
      </c>
      <c r="J95">
        <v>246.17569137604801</v>
      </c>
      <c r="K95">
        <v>84.923203197685694</v>
      </c>
      <c r="L95">
        <v>5.8812272952943196</v>
      </c>
      <c r="M95">
        <v>71.508752597739303</v>
      </c>
      <c r="N95">
        <v>6.8638499314614201</v>
      </c>
      <c r="O95">
        <v>61.4575448471006</v>
      </c>
      <c r="P95">
        <v>83.390720301715007</v>
      </c>
      <c r="Q95">
        <v>1</v>
      </c>
      <c r="R95">
        <v>1</v>
      </c>
      <c r="S95">
        <v>20.9366391184573</v>
      </c>
    </row>
    <row r="96" spans="1:19" x14ac:dyDescent="0.25">
      <c r="A96">
        <v>21</v>
      </c>
      <c r="B96">
        <v>173</v>
      </c>
      <c r="C96">
        <v>83</v>
      </c>
      <c r="D96" t="s">
        <v>22</v>
      </c>
      <c r="E96">
        <v>12.5233473198114</v>
      </c>
      <c r="F96">
        <v>32</v>
      </c>
      <c r="G96">
        <v>3</v>
      </c>
      <c r="H96">
        <v>78.7044826410811</v>
      </c>
      <c r="I96">
        <v>75.890813325801901</v>
      </c>
      <c r="J96">
        <v>238.98337364430401</v>
      </c>
      <c r="K96">
        <v>88.528201772070801</v>
      </c>
      <c r="L96">
        <v>5.9043864259800403</v>
      </c>
      <c r="M96">
        <v>83.102650640734296</v>
      </c>
      <c r="N96">
        <v>8.1381182563753001</v>
      </c>
      <c r="O96">
        <v>46.420695270102399</v>
      </c>
      <c r="P96">
        <v>82.960306688172096</v>
      </c>
      <c r="Q96">
        <v>1</v>
      </c>
      <c r="R96">
        <v>0</v>
      </c>
      <c r="S96">
        <v>27.732299776136799</v>
      </c>
    </row>
    <row r="97" spans="1:19" x14ac:dyDescent="0.25">
      <c r="A97">
        <v>19</v>
      </c>
      <c r="B97">
        <v>185</v>
      </c>
      <c r="C97">
        <v>78</v>
      </c>
      <c r="D97" t="s">
        <v>20</v>
      </c>
      <c r="E97">
        <v>8.50349546518677</v>
      </c>
      <c r="F97">
        <v>26</v>
      </c>
      <c r="G97">
        <v>1</v>
      </c>
      <c r="H97">
        <v>77.602973712599095</v>
      </c>
      <c r="I97">
        <v>74.5948483738823</v>
      </c>
      <c r="J97">
        <v>236.53273578844301</v>
      </c>
      <c r="K97">
        <v>82.468505058361501</v>
      </c>
      <c r="L97">
        <v>6.3268009606771001</v>
      </c>
      <c r="M97">
        <v>81.335091311459195</v>
      </c>
      <c r="N97">
        <v>7.7067343041034997</v>
      </c>
      <c r="O97">
        <v>41.375977307332903</v>
      </c>
      <c r="P97">
        <v>72.501392788862702</v>
      </c>
      <c r="Q97">
        <v>0</v>
      </c>
      <c r="R97">
        <v>0</v>
      </c>
      <c r="S97">
        <v>22.790357925493002</v>
      </c>
    </row>
    <row r="98" spans="1:19" x14ac:dyDescent="0.25">
      <c r="A98">
        <v>24</v>
      </c>
      <c r="B98">
        <v>174</v>
      </c>
      <c r="C98">
        <v>66</v>
      </c>
      <c r="D98" t="s">
        <v>21</v>
      </c>
      <c r="E98">
        <v>5.4845894790525502</v>
      </c>
      <c r="F98">
        <v>36</v>
      </c>
      <c r="G98">
        <v>0</v>
      </c>
      <c r="H98">
        <v>84.569473912910595</v>
      </c>
      <c r="I98">
        <v>83.823652139844697</v>
      </c>
      <c r="J98">
        <v>229.88407985937499</v>
      </c>
      <c r="K98">
        <v>81.924709250410203</v>
      </c>
      <c r="L98">
        <v>5.5851089443559703</v>
      </c>
      <c r="M98">
        <v>94.469760879351895</v>
      </c>
      <c r="N98">
        <v>7.5811757657929704</v>
      </c>
      <c r="O98">
        <v>43.855021461126299</v>
      </c>
      <c r="P98">
        <v>88.700996830237898</v>
      </c>
      <c r="Q98">
        <v>1</v>
      </c>
      <c r="R98">
        <v>0</v>
      </c>
      <c r="S98">
        <v>21.799445105033598</v>
      </c>
    </row>
    <row r="99" spans="1:19" x14ac:dyDescent="0.25">
      <c r="A99">
        <v>23</v>
      </c>
      <c r="B99">
        <v>198</v>
      </c>
      <c r="C99">
        <v>81</v>
      </c>
      <c r="D99" t="s">
        <v>22</v>
      </c>
      <c r="E99">
        <v>8.3960453198351903</v>
      </c>
      <c r="F99">
        <v>34</v>
      </c>
      <c r="G99">
        <v>1</v>
      </c>
      <c r="H99">
        <v>81.072016458705406</v>
      </c>
      <c r="I99">
        <v>77.808503366112305</v>
      </c>
      <c r="J99">
        <v>271.47675269307501</v>
      </c>
      <c r="K99">
        <v>79.629702357962799</v>
      </c>
      <c r="L99">
        <v>6.1294635648072902</v>
      </c>
      <c r="M99">
        <v>76.379775535740905</v>
      </c>
      <c r="N99">
        <v>7.5874989544310703</v>
      </c>
      <c r="O99">
        <v>40.877590912594798</v>
      </c>
      <c r="P99">
        <v>82.135080930311403</v>
      </c>
      <c r="Q99">
        <v>0</v>
      </c>
      <c r="R99">
        <v>0</v>
      </c>
      <c r="S99">
        <v>20.661157024793301</v>
      </c>
    </row>
    <row r="100" spans="1:19" x14ac:dyDescent="0.25">
      <c r="A100">
        <v>24</v>
      </c>
      <c r="B100">
        <v>178</v>
      </c>
      <c r="C100">
        <v>68</v>
      </c>
      <c r="D100" t="s">
        <v>19</v>
      </c>
      <c r="E100">
        <v>10.780298930078899</v>
      </c>
      <c r="F100">
        <v>37</v>
      </c>
      <c r="G100">
        <v>1</v>
      </c>
      <c r="H100">
        <v>82.382177769432104</v>
      </c>
      <c r="I100">
        <v>75.686378072503899</v>
      </c>
      <c r="J100">
        <v>246.65623981632299</v>
      </c>
      <c r="K100">
        <v>80.851663844179996</v>
      </c>
      <c r="L100">
        <v>5.8801136410703396</v>
      </c>
      <c r="M100">
        <v>72.987683450214504</v>
      </c>
      <c r="N100">
        <v>7.0252793963913902</v>
      </c>
      <c r="O100">
        <v>59.1311417680121</v>
      </c>
      <c r="P100">
        <v>62.926125954814601</v>
      </c>
      <c r="Q100">
        <v>1</v>
      </c>
      <c r="R100">
        <v>1</v>
      </c>
      <c r="S100">
        <v>21.461936624163599</v>
      </c>
    </row>
    <row r="101" spans="1:19" x14ac:dyDescent="0.25">
      <c r="A101">
        <v>24</v>
      </c>
      <c r="B101">
        <v>181</v>
      </c>
      <c r="C101">
        <v>61</v>
      </c>
      <c r="D101" t="s">
        <v>20</v>
      </c>
      <c r="E101">
        <v>9.0310190541849398</v>
      </c>
      <c r="F101">
        <v>20</v>
      </c>
      <c r="G101">
        <v>1</v>
      </c>
      <c r="H101">
        <v>78.155193516907104</v>
      </c>
      <c r="I101">
        <v>82.395188373014093</v>
      </c>
      <c r="J101">
        <v>215.958431029091</v>
      </c>
      <c r="K101">
        <v>84.647839908693101</v>
      </c>
      <c r="L101">
        <v>5.8597135583570097</v>
      </c>
      <c r="M101">
        <v>88.019392946700904</v>
      </c>
      <c r="N101">
        <v>7.9089243033143397</v>
      </c>
      <c r="O101">
        <v>42.613596052444201</v>
      </c>
      <c r="P101">
        <v>83.816342151574602</v>
      </c>
      <c r="Q101">
        <v>1</v>
      </c>
      <c r="R101">
        <v>0</v>
      </c>
      <c r="S101">
        <v>18.61970025335</v>
      </c>
    </row>
    <row r="102" spans="1:19" x14ac:dyDescent="0.25">
      <c r="A102">
        <v>20</v>
      </c>
      <c r="B102">
        <v>186</v>
      </c>
      <c r="C102">
        <v>69</v>
      </c>
      <c r="D102" t="s">
        <v>21</v>
      </c>
      <c r="E102">
        <v>7.2069866905884297</v>
      </c>
      <c r="F102">
        <v>16</v>
      </c>
      <c r="G102">
        <v>1</v>
      </c>
      <c r="H102">
        <v>66.040867603881907</v>
      </c>
      <c r="I102">
        <v>68.410831819488294</v>
      </c>
      <c r="J102">
        <v>237.923280834612</v>
      </c>
      <c r="K102">
        <v>68.250590724494401</v>
      </c>
      <c r="L102">
        <v>5.4359662197120002</v>
      </c>
      <c r="M102">
        <v>88.404530991780604</v>
      </c>
      <c r="N102">
        <v>7.5015441215422403</v>
      </c>
      <c r="O102">
        <v>58.172390805814999</v>
      </c>
      <c r="P102">
        <v>68.439144898872101</v>
      </c>
      <c r="Q102">
        <v>0</v>
      </c>
      <c r="R102">
        <v>1</v>
      </c>
      <c r="S102">
        <v>19.9445022545959</v>
      </c>
    </row>
    <row r="103" spans="1:19" x14ac:dyDescent="0.25">
      <c r="A103">
        <v>20</v>
      </c>
      <c r="B103">
        <v>168</v>
      </c>
      <c r="C103">
        <v>78</v>
      </c>
      <c r="D103" t="s">
        <v>21</v>
      </c>
      <c r="E103">
        <v>5.3800438214953301</v>
      </c>
      <c r="F103">
        <v>18</v>
      </c>
      <c r="G103">
        <v>1</v>
      </c>
      <c r="H103">
        <v>89.774969091293798</v>
      </c>
      <c r="I103">
        <v>81.003629129773202</v>
      </c>
      <c r="J103">
        <v>258.52711483416698</v>
      </c>
      <c r="K103">
        <v>90.127099459857604</v>
      </c>
      <c r="L103">
        <v>6.2221797474154803</v>
      </c>
      <c r="M103">
        <v>81.728206488897499</v>
      </c>
      <c r="N103">
        <v>8.7843957971857503</v>
      </c>
      <c r="O103">
        <v>59.258415177578897</v>
      </c>
      <c r="P103">
        <v>68.745370360889396</v>
      </c>
      <c r="Q103">
        <v>1</v>
      </c>
      <c r="R103">
        <v>0</v>
      </c>
      <c r="S103">
        <v>27.636054421768701</v>
      </c>
    </row>
    <row r="104" spans="1:19" x14ac:dyDescent="0.25">
      <c r="A104">
        <v>19</v>
      </c>
      <c r="B104">
        <v>180</v>
      </c>
      <c r="C104">
        <v>71</v>
      </c>
      <c r="D104" t="s">
        <v>21</v>
      </c>
      <c r="E104">
        <v>8.3235232874814304</v>
      </c>
      <c r="F104">
        <v>14</v>
      </c>
      <c r="G104">
        <v>2</v>
      </c>
      <c r="H104">
        <v>72.278097730311501</v>
      </c>
      <c r="I104">
        <v>79.322881135508197</v>
      </c>
      <c r="J104">
        <v>285.99248398849397</v>
      </c>
      <c r="K104">
        <v>83.512525882987106</v>
      </c>
      <c r="L104">
        <v>5.9823143032508996</v>
      </c>
      <c r="M104">
        <v>75.255396137991397</v>
      </c>
      <c r="N104">
        <v>7.8914465941309997</v>
      </c>
      <c r="O104">
        <v>61.958041762864603</v>
      </c>
      <c r="P104">
        <v>88.394548365063699</v>
      </c>
      <c r="Q104">
        <v>1</v>
      </c>
      <c r="R104">
        <v>1</v>
      </c>
      <c r="S104">
        <v>21.913580246913501</v>
      </c>
    </row>
    <row r="105" spans="1:19" x14ac:dyDescent="0.25">
      <c r="A105">
        <v>19</v>
      </c>
      <c r="B105">
        <v>177</v>
      </c>
      <c r="C105">
        <v>74</v>
      </c>
      <c r="D105" t="s">
        <v>21</v>
      </c>
      <c r="E105">
        <v>11.456730830187601</v>
      </c>
      <c r="F105">
        <v>29</v>
      </c>
      <c r="G105">
        <v>3</v>
      </c>
      <c r="H105">
        <v>81.206489030435407</v>
      </c>
      <c r="I105">
        <v>86.637461905030904</v>
      </c>
      <c r="J105">
        <v>220.04942281390001</v>
      </c>
      <c r="K105">
        <v>76.949361982773496</v>
      </c>
      <c r="L105">
        <v>5.9013746302240104</v>
      </c>
      <c r="M105">
        <v>78.206587941637494</v>
      </c>
      <c r="N105">
        <v>6.92559580600006</v>
      </c>
      <c r="O105">
        <v>59.8062849229254</v>
      </c>
      <c r="P105">
        <v>72.254219287505407</v>
      </c>
      <c r="Q105">
        <v>1</v>
      </c>
      <c r="R105">
        <v>1</v>
      </c>
      <c r="S105">
        <v>23.620287912157998</v>
      </c>
    </row>
    <row r="106" spans="1:19" x14ac:dyDescent="0.25">
      <c r="A106">
        <v>24</v>
      </c>
      <c r="B106">
        <v>185</v>
      </c>
      <c r="C106">
        <v>77</v>
      </c>
      <c r="D106" t="s">
        <v>20</v>
      </c>
      <c r="E106">
        <v>13.8603755419698</v>
      </c>
      <c r="F106">
        <v>29</v>
      </c>
      <c r="G106">
        <v>1</v>
      </c>
      <c r="H106">
        <v>65.964361616489299</v>
      </c>
      <c r="I106">
        <v>72.609741949000295</v>
      </c>
      <c r="J106">
        <v>278.73846256265102</v>
      </c>
      <c r="K106">
        <v>81.519102925973897</v>
      </c>
      <c r="L106">
        <v>6.3012638211927099</v>
      </c>
      <c r="M106">
        <v>68.117787427824695</v>
      </c>
      <c r="N106">
        <v>5.63880408650496</v>
      </c>
      <c r="O106">
        <v>53.759629482427201</v>
      </c>
      <c r="P106">
        <v>70.537394972196907</v>
      </c>
      <c r="Q106">
        <v>0</v>
      </c>
      <c r="R106">
        <v>1</v>
      </c>
      <c r="S106">
        <v>22.498173849525099</v>
      </c>
    </row>
    <row r="107" spans="1:19" x14ac:dyDescent="0.25">
      <c r="A107">
        <v>19</v>
      </c>
      <c r="B107">
        <v>173</v>
      </c>
      <c r="C107">
        <v>89</v>
      </c>
      <c r="D107" t="s">
        <v>19</v>
      </c>
      <c r="E107">
        <v>13.507599230821899</v>
      </c>
      <c r="F107">
        <v>13</v>
      </c>
      <c r="G107">
        <v>5</v>
      </c>
      <c r="H107">
        <v>74.673507752210696</v>
      </c>
      <c r="I107">
        <v>70.507280554004495</v>
      </c>
      <c r="J107">
        <v>240.29959449094</v>
      </c>
      <c r="K107">
        <v>82.734634916176205</v>
      </c>
      <c r="L107">
        <v>5.6884075709844897</v>
      </c>
      <c r="M107">
        <v>67.120756071040603</v>
      </c>
      <c r="N107">
        <v>7.64623348080368</v>
      </c>
      <c r="O107">
        <v>68.274593605940694</v>
      </c>
      <c r="P107">
        <v>71.215960816632105</v>
      </c>
      <c r="Q107">
        <v>1</v>
      </c>
      <c r="R107">
        <v>1</v>
      </c>
      <c r="S107">
        <v>29.7370443382672</v>
      </c>
    </row>
    <row r="108" spans="1:19" x14ac:dyDescent="0.25">
      <c r="A108">
        <v>22</v>
      </c>
      <c r="B108">
        <v>190</v>
      </c>
      <c r="C108">
        <v>71</v>
      </c>
      <c r="D108" t="s">
        <v>22</v>
      </c>
      <c r="E108">
        <v>8.9415744952803102</v>
      </c>
      <c r="F108">
        <v>7</v>
      </c>
      <c r="G108">
        <v>0</v>
      </c>
      <c r="H108">
        <v>70.346727485902207</v>
      </c>
      <c r="I108">
        <v>72.9826718853068</v>
      </c>
      <c r="J108">
        <v>244.507564323758</v>
      </c>
      <c r="K108">
        <v>82.805654470816705</v>
      </c>
      <c r="L108">
        <v>6.3932159712468399</v>
      </c>
      <c r="M108">
        <v>72.973762698008699</v>
      </c>
      <c r="N108">
        <v>7.14603769866918</v>
      </c>
      <c r="O108">
        <v>45.266562195624402</v>
      </c>
      <c r="P108">
        <v>67.157233077366499</v>
      </c>
      <c r="Q108">
        <v>0</v>
      </c>
      <c r="R108">
        <v>1</v>
      </c>
      <c r="S108">
        <v>19.6675900277008</v>
      </c>
    </row>
    <row r="109" spans="1:19" x14ac:dyDescent="0.25">
      <c r="A109">
        <v>24</v>
      </c>
      <c r="B109">
        <v>170</v>
      </c>
      <c r="C109">
        <v>72</v>
      </c>
      <c r="D109" t="s">
        <v>19</v>
      </c>
      <c r="E109">
        <v>8.1309339255779403</v>
      </c>
      <c r="F109">
        <v>24</v>
      </c>
      <c r="G109">
        <v>2</v>
      </c>
      <c r="H109">
        <v>70.741007940372299</v>
      </c>
      <c r="I109">
        <v>80.580527995933195</v>
      </c>
      <c r="J109">
        <v>215.678145922071</v>
      </c>
      <c r="K109">
        <v>91.736999082020404</v>
      </c>
      <c r="L109">
        <v>5.7556738192318297</v>
      </c>
      <c r="M109">
        <v>93.741016011165996</v>
      </c>
      <c r="N109">
        <v>8.1137339185622892</v>
      </c>
      <c r="O109">
        <v>53.832804636097002</v>
      </c>
      <c r="P109">
        <v>86.736843192674897</v>
      </c>
      <c r="Q109">
        <v>0</v>
      </c>
      <c r="R109">
        <v>0</v>
      </c>
      <c r="S109">
        <v>24.913494809688501</v>
      </c>
    </row>
    <row r="110" spans="1:19" x14ac:dyDescent="0.25">
      <c r="A110">
        <v>22</v>
      </c>
      <c r="B110">
        <v>189</v>
      </c>
      <c r="C110">
        <v>73</v>
      </c>
      <c r="D110" t="s">
        <v>22</v>
      </c>
      <c r="E110">
        <v>12.031849447671901</v>
      </c>
      <c r="F110">
        <v>29</v>
      </c>
      <c r="G110">
        <v>2</v>
      </c>
      <c r="H110">
        <v>79.236102161008901</v>
      </c>
      <c r="I110">
        <v>72.181764076561393</v>
      </c>
      <c r="J110">
        <v>268.30416051557802</v>
      </c>
      <c r="K110">
        <v>75.685304564775805</v>
      </c>
      <c r="L110">
        <v>5.2253730415809203</v>
      </c>
      <c r="M110">
        <v>73.9555775767694</v>
      </c>
      <c r="N110">
        <v>6.1179128974983499</v>
      </c>
      <c r="O110">
        <v>65.125529866982703</v>
      </c>
      <c r="P110">
        <v>55.974668837618502</v>
      </c>
      <c r="Q110">
        <v>0</v>
      </c>
      <c r="R110">
        <v>1</v>
      </c>
      <c r="S110">
        <v>20.4361580022955</v>
      </c>
    </row>
    <row r="111" spans="1:19" x14ac:dyDescent="0.25">
      <c r="A111">
        <v>23</v>
      </c>
      <c r="B111">
        <v>180</v>
      </c>
      <c r="C111">
        <v>71</v>
      </c>
      <c r="D111" t="s">
        <v>19</v>
      </c>
      <c r="E111">
        <v>11.217161050377801</v>
      </c>
      <c r="F111">
        <v>30</v>
      </c>
      <c r="G111">
        <v>4</v>
      </c>
      <c r="H111">
        <v>68.488307385865397</v>
      </c>
      <c r="I111">
        <v>62.670575277209799</v>
      </c>
      <c r="J111">
        <v>248.65700200081201</v>
      </c>
      <c r="K111">
        <v>73.555276726360702</v>
      </c>
      <c r="L111">
        <v>6.1262057677367201</v>
      </c>
      <c r="M111">
        <v>78.621342175295197</v>
      </c>
      <c r="N111">
        <v>7.0116980330118803</v>
      </c>
      <c r="O111">
        <v>48.477490499498202</v>
      </c>
      <c r="P111">
        <v>76.351116677353005</v>
      </c>
      <c r="Q111">
        <v>0</v>
      </c>
      <c r="R111">
        <v>1</v>
      </c>
      <c r="S111">
        <v>21.913580246913501</v>
      </c>
    </row>
    <row r="112" spans="1:19" x14ac:dyDescent="0.25">
      <c r="A112">
        <v>24</v>
      </c>
      <c r="B112">
        <v>171</v>
      </c>
      <c r="C112">
        <v>83</v>
      </c>
      <c r="D112" t="s">
        <v>20</v>
      </c>
      <c r="E112">
        <v>9.5558091462440693</v>
      </c>
      <c r="F112">
        <v>34</v>
      </c>
      <c r="G112">
        <v>1</v>
      </c>
      <c r="H112">
        <v>78.6813419711834</v>
      </c>
      <c r="I112">
        <v>80.319996813880607</v>
      </c>
      <c r="J112">
        <v>256.07338499273197</v>
      </c>
      <c r="K112">
        <v>91.028069599134199</v>
      </c>
      <c r="L112">
        <v>5.8742604869823598</v>
      </c>
      <c r="M112">
        <v>72.630066688062698</v>
      </c>
      <c r="N112">
        <v>9.86055338550198</v>
      </c>
      <c r="O112">
        <v>62.178712889635698</v>
      </c>
      <c r="P112">
        <v>83.015072827972801</v>
      </c>
      <c r="Q112">
        <v>1</v>
      </c>
      <c r="R112">
        <v>0</v>
      </c>
      <c r="S112">
        <v>28.384802161348698</v>
      </c>
    </row>
    <row r="113" spans="1:19" x14ac:dyDescent="0.25">
      <c r="A113">
        <v>22</v>
      </c>
      <c r="B113">
        <v>185</v>
      </c>
      <c r="C113">
        <v>90</v>
      </c>
      <c r="D113" t="s">
        <v>22</v>
      </c>
      <c r="E113">
        <v>9.3365849467929305</v>
      </c>
      <c r="F113">
        <v>25</v>
      </c>
      <c r="G113">
        <v>0</v>
      </c>
      <c r="H113">
        <v>72.984532102619497</v>
      </c>
      <c r="I113">
        <v>86.886976955720002</v>
      </c>
      <c r="J113">
        <v>237.95637231540201</v>
      </c>
      <c r="K113">
        <v>98.077467143474806</v>
      </c>
      <c r="L113">
        <v>5.5578303272018301</v>
      </c>
      <c r="M113">
        <v>70.164387011326497</v>
      </c>
      <c r="N113">
        <v>8.4344003584615095</v>
      </c>
      <c r="O113">
        <v>62.983875323511498</v>
      </c>
      <c r="P113">
        <v>71.512703946182597</v>
      </c>
      <c r="Q113">
        <v>0</v>
      </c>
      <c r="R113">
        <v>0</v>
      </c>
      <c r="S113">
        <v>26.296566837107299</v>
      </c>
    </row>
    <row r="114" spans="1:19" x14ac:dyDescent="0.25">
      <c r="A114">
        <v>19</v>
      </c>
      <c r="B114">
        <v>179</v>
      </c>
      <c r="C114">
        <v>82</v>
      </c>
      <c r="D114" t="s">
        <v>19</v>
      </c>
      <c r="E114">
        <v>9.2178952847031699</v>
      </c>
      <c r="F114">
        <v>5</v>
      </c>
      <c r="G114">
        <v>2</v>
      </c>
      <c r="H114">
        <v>71.785606146629505</v>
      </c>
      <c r="I114">
        <v>85.013537639618903</v>
      </c>
      <c r="J114">
        <v>282.37401903660401</v>
      </c>
      <c r="K114">
        <v>78.504443278785999</v>
      </c>
      <c r="L114">
        <v>5.4160685309324501</v>
      </c>
      <c r="M114">
        <v>84.189368785165101</v>
      </c>
      <c r="N114">
        <v>7.5192475026527701</v>
      </c>
      <c r="O114">
        <v>63.684739648703903</v>
      </c>
      <c r="P114">
        <v>72.396711457107699</v>
      </c>
      <c r="Q114">
        <v>0</v>
      </c>
      <c r="R114">
        <v>1</v>
      </c>
      <c r="S114">
        <v>25.592209980961801</v>
      </c>
    </row>
    <row r="115" spans="1:19" x14ac:dyDescent="0.25">
      <c r="A115">
        <v>21</v>
      </c>
      <c r="B115">
        <v>185</v>
      </c>
      <c r="C115">
        <v>69</v>
      </c>
      <c r="D115" t="s">
        <v>20</v>
      </c>
      <c r="E115">
        <v>9.5110455518208994</v>
      </c>
      <c r="F115">
        <v>27</v>
      </c>
      <c r="G115">
        <v>2</v>
      </c>
      <c r="H115">
        <v>72.462567847189206</v>
      </c>
      <c r="I115">
        <v>84.295956603974602</v>
      </c>
      <c r="J115">
        <v>229.93058967767701</v>
      </c>
      <c r="K115">
        <v>82.386389172873606</v>
      </c>
      <c r="L115">
        <v>6.0096503803292496</v>
      </c>
      <c r="M115">
        <v>81.7988567191545</v>
      </c>
      <c r="N115">
        <v>6.4981359473709102</v>
      </c>
      <c r="O115">
        <v>54.663571134666299</v>
      </c>
      <c r="P115">
        <v>66.159819305281005</v>
      </c>
      <c r="Q115">
        <v>1</v>
      </c>
      <c r="R115">
        <v>1</v>
      </c>
      <c r="S115">
        <v>20.160701241782299</v>
      </c>
    </row>
    <row r="116" spans="1:19" x14ac:dyDescent="0.25">
      <c r="A116">
        <v>22</v>
      </c>
      <c r="B116">
        <v>193</v>
      </c>
      <c r="C116">
        <v>80</v>
      </c>
      <c r="D116" t="s">
        <v>22</v>
      </c>
      <c r="E116">
        <v>11.6017051689736</v>
      </c>
      <c r="F116">
        <v>24</v>
      </c>
      <c r="G116">
        <v>0</v>
      </c>
      <c r="H116">
        <v>71.304268348758598</v>
      </c>
      <c r="I116">
        <v>72.448388849852805</v>
      </c>
      <c r="J116">
        <v>228.21874088362199</v>
      </c>
      <c r="K116">
        <v>77.980544833217394</v>
      </c>
      <c r="L116">
        <v>6.6164244323849903</v>
      </c>
      <c r="M116">
        <v>70.561875586887993</v>
      </c>
      <c r="N116">
        <v>7.5748209640091</v>
      </c>
      <c r="O116">
        <v>51.720041332960598</v>
      </c>
      <c r="P116">
        <v>79.126618814113101</v>
      </c>
      <c r="Q116">
        <v>1</v>
      </c>
      <c r="R116">
        <v>0</v>
      </c>
      <c r="S116">
        <v>21.477086633198201</v>
      </c>
    </row>
    <row r="117" spans="1:19" x14ac:dyDescent="0.25">
      <c r="A117">
        <v>20</v>
      </c>
      <c r="B117">
        <v>166</v>
      </c>
      <c r="C117">
        <v>75</v>
      </c>
      <c r="D117" t="s">
        <v>20</v>
      </c>
      <c r="E117">
        <v>13.936965737698801</v>
      </c>
      <c r="F117">
        <v>16</v>
      </c>
      <c r="G117">
        <v>4</v>
      </c>
      <c r="H117">
        <v>68.86680341025</v>
      </c>
      <c r="I117">
        <v>66.927677209637494</v>
      </c>
      <c r="J117">
        <v>266.44183025729899</v>
      </c>
      <c r="K117">
        <v>71.6044652182064</v>
      </c>
      <c r="L117">
        <v>5.4943467995132096</v>
      </c>
      <c r="M117">
        <v>56.7506893023427</v>
      </c>
      <c r="N117">
        <v>7.7225149384723801</v>
      </c>
      <c r="O117">
        <v>49.704051798930102</v>
      </c>
      <c r="P117">
        <v>85.702681558381798</v>
      </c>
      <c r="Q117">
        <v>1</v>
      </c>
      <c r="R117">
        <v>1</v>
      </c>
      <c r="S117">
        <v>27.217302946726601</v>
      </c>
    </row>
    <row r="118" spans="1:19" x14ac:dyDescent="0.25">
      <c r="A118">
        <v>23</v>
      </c>
      <c r="B118">
        <v>172</v>
      </c>
      <c r="C118">
        <v>86</v>
      </c>
      <c r="D118" t="s">
        <v>19</v>
      </c>
      <c r="E118">
        <v>9.9575660150910004</v>
      </c>
      <c r="F118">
        <v>18</v>
      </c>
      <c r="G118">
        <v>2</v>
      </c>
      <c r="H118">
        <v>71.809436269968202</v>
      </c>
      <c r="I118">
        <v>76.086230478778305</v>
      </c>
      <c r="J118">
        <v>225.29639355785099</v>
      </c>
      <c r="K118">
        <v>86.871854461811694</v>
      </c>
      <c r="L118">
        <v>6.0857439280894097</v>
      </c>
      <c r="M118">
        <v>89.028224347042396</v>
      </c>
      <c r="N118">
        <v>7.0527457332861898</v>
      </c>
      <c r="O118">
        <v>54.421674533070302</v>
      </c>
      <c r="P118">
        <v>89.896986174841601</v>
      </c>
      <c r="Q118">
        <v>1</v>
      </c>
      <c r="R118">
        <v>0</v>
      </c>
      <c r="S118">
        <v>29.0697674418604</v>
      </c>
    </row>
    <row r="119" spans="1:19" x14ac:dyDescent="0.25">
      <c r="A119">
        <v>18</v>
      </c>
      <c r="B119">
        <v>175</v>
      </c>
      <c r="C119">
        <v>71</v>
      </c>
      <c r="D119" t="s">
        <v>21</v>
      </c>
      <c r="E119">
        <v>13.264920379065799</v>
      </c>
      <c r="F119">
        <v>8</v>
      </c>
      <c r="G119">
        <v>0</v>
      </c>
      <c r="H119">
        <v>71.519776716694807</v>
      </c>
      <c r="I119">
        <v>81.422699912309994</v>
      </c>
      <c r="J119">
        <v>210.99599364663499</v>
      </c>
      <c r="K119">
        <v>83.292962798067805</v>
      </c>
      <c r="L119">
        <v>6.0600262236174096</v>
      </c>
      <c r="M119">
        <v>70.6635135673734</v>
      </c>
      <c r="N119">
        <v>7.5826700990976503</v>
      </c>
      <c r="O119">
        <v>35.306374315609801</v>
      </c>
      <c r="P119">
        <v>74.447167499788804</v>
      </c>
      <c r="Q119">
        <v>0</v>
      </c>
      <c r="R119">
        <v>0</v>
      </c>
      <c r="S119">
        <v>23.183673469387699</v>
      </c>
    </row>
    <row r="120" spans="1:19" x14ac:dyDescent="0.25">
      <c r="A120">
        <v>23</v>
      </c>
      <c r="B120">
        <v>172</v>
      </c>
      <c r="C120">
        <v>58</v>
      </c>
      <c r="D120" t="s">
        <v>19</v>
      </c>
      <c r="E120">
        <v>10.8568684501763</v>
      </c>
      <c r="F120">
        <v>20</v>
      </c>
      <c r="G120">
        <v>3</v>
      </c>
      <c r="H120">
        <v>71.730819012032796</v>
      </c>
      <c r="I120">
        <v>74.315785371271204</v>
      </c>
      <c r="J120">
        <v>275.07586980039099</v>
      </c>
      <c r="K120">
        <v>90.116915858585102</v>
      </c>
      <c r="L120">
        <v>5.7205461709898398</v>
      </c>
      <c r="M120">
        <v>73.818539815028004</v>
      </c>
      <c r="N120">
        <v>7.1703414723164203</v>
      </c>
      <c r="O120">
        <v>46.588846202026701</v>
      </c>
      <c r="P120">
        <v>63.4411922073837</v>
      </c>
      <c r="Q120">
        <v>0</v>
      </c>
      <c r="R120">
        <v>1</v>
      </c>
      <c r="S120">
        <v>19.605191995673302</v>
      </c>
    </row>
    <row r="121" spans="1:19" x14ac:dyDescent="0.25">
      <c r="A121">
        <v>23</v>
      </c>
      <c r="B121">
        <v>173</v>
      </c>
      <c r="C121">
        <v>65</v>
      </c>
      <c r="D121" t="s">
        <v>19</v>
      </c>
      <c r="E121">
        <v>10.116363489388</v>
      </c>
      <c r="F121">
        <v>29</v>
      </c>
      <c r="G121">
        <v>2</v>
      </c>
      <c r="H121">
        <v>72.456953857825496</v>
      </c>
      <c r="I121">
        <v>80.237023052302504</v>
      </c>
      <c r="J121">
        <v>261.14962967859799</v>
      </c>
      <c r="K121">
        <v>65.632667508534794</v>
      </c>
      <c r="L121">
        <v>5.8202575125205298</v>
      </c>
      <c r="M121">
        <v>70.484608908026701</v>
      </c>
      <c r="N121">
        <v>7.1126395952033903</v>
      </c>
      <c r="O121">
        <v>49.153144590261803</v>
      </c>
      <c r="P121">
        <v>81.241833397280999</v>
      </c>
      <c r="Q121">
        <v>0</v>
      </c>
      <c r="R121">
        <v>1</v>
      </c>
      <c r="S121">
        <v>21.718066089745701</v>
      </c>
    </row>
    <row r="122" spans="1:19" x14ac:dyDescent="0.25">
      <c r="A122">
        <v>20</v>
      </c>
      <c r="B122">
        <v>182</v>
      </c>
      <c r="C122">
        <v>61</v>
      </c>
      <c r="D122" t="s">
        <v>20</v>
      </c>
      <c r="E122">
        <v>10.026092724572001</v>
      </c>
      <c r="F122">
        <v>18</v>
      </c>
      <c r="G122">
        <v>2</v>
      </c>
      <c r="H122">
        <v>72.874589734306696</v>
      </c>
      <c r="I122">
        <v>70.809719503095295</v>
      </c>
      <c r="J122">
        <v>244.727236460906</v>
      </c>
      <c r="K122">
        <v>81.720823553735599</v>
      </c>
      <c r="L122">
        <v>6.0261987350167496</v>
      </c>
      <c r="M122">
        <v>71.469653923832794</v>
      </c>
      <c r="N122">
        <v>6.9100086073309104</v>
      </c>
      <c r="O122">
        <v>69.866312953154093</v>
      </c>
      <c r="P122">
        <v>65.083370822899695</v>
      </c>
      <c r="Q122">
        <v>1</v>
      </c>
      <c r="R122">
        <v>1</v>
      </c>
      <c r="S122">
        <v>18.415650283782099</v>
      </c>
    </row>
    <row r="123" spans="1:19" x14ac:dyDescent="0.25">
      <c r="A123">
        <v>22</v>
      </c>
      <c r="B123">
        <v>178</v>
      </c>
      <c r="C123">
        <v>54</v>
      </c>
      <c r="D123" t="s">
        <v>22</v>
      </c>
      <c r="E123">
        <v>11.1095492591901</v>
      </c>
      <c r="F123">
        <v>38</v>
      </c>
      <c r="G123">
        <v>3</v>
      </c>
      <c r="H123">
        <v>79.949851841954001</v>
      </c>
      <c r="I123">
        <v>80.806867054862096</v>
      </c>
      <c r="J123">
        <v>249.31290570589999</v>
      </c>
      <c r="K123">
        <v>72.140933197287794</v>
      </c>
      <c r="L123">
        <v>6.1850544554758997</v>
      </c>
      <c r="M123">
        <v>52.870494897757602</v>
      </c>
      <c r="N123">
        <v>6.9475641773967496</v>
      </c>
      <c r="O123">
        <v>71.367937194288302</v>
      </c>
      <c r="P123">
        <v>75.306108222700601</v>
      </c>
      <c r="Q123">
        <v>1</v>
      </c>
      <c r="R123">
        <v>1</v>
      </c>
      <c r="S123">
        <v>17.043302613306398</v>
      </c>
    </row>
    <row r="124" spans="1:19" x14ac:dyDescent="0.25">
      <c r="A124">
        <v>22</v>
      </c>
      <c r="B124">
        <v>177</v>
      </c>
      <c r="C124">
        <v>81</v>
      </c>
      <c r="D124" t="s">
        <v>19</v>
      </c>
      <c r="E124">
        <v>8.9390961718858009</v>
      </c>
      <c r="F124">
        <v>5</v>
      </c>
      <c r="G124">
        <v>1</v>
      </c>
      <c r="H124">
        <v>60.450700845767997</v>
      </c>
      <c r="I124">
        <v>83.434956194709997</v>
      </c>
      <c r="J124">
        <v>260.760086248405</v>
      </c>
      <c r="K124">
        <v>75.056176281844401</v>
      </c>
      <c r="L124">
        <v>5.4730098686431603</v>
      </c>
      <c r="M124">
        <v>68.819642751411706</v>
      </c>
      <c r="N124">
        <v>6.4622727527106996</v>
      </c>
      <c r="O124">
        <v>59.6072933565451</v>
      </c>
      <c r="P124">
        <v>58.752771005826801</v>
      </c>
      <c r="Q124">
        <v>0</v>
      </c>
      <c r="R124">
        <v>1</v>
      </c>
      <c r="S124">
        <v>25.854639471416199</v>
      </c>
    </row>
    <row r="125" spans="1:19" x14ac:dyDescent="0.25">
      <c r="A125">
        <v>20</v>
      </c>
      <c r="B125">
        <v>168</v>
      </c>
      <c r="C125">
        <v>80</v>
      </c>
      <c r="D125" t="s">
        <v>20</v>
      </c>
      <c r="E125">
        <v>10.044478309817199</v>
      </c>
      <c r="F125">
        <v>38</v>
      </c>
      <c r="G125">
        <v>3</v>
      </c>
      <c r="H125">
        <v>85.630793242366295</v>
      </c>
      <c r="I125">
        <v>83.238771578663602</v>
      </c>
      <c r="J125">
        <v>261.65421067062999</v>
      </c>
      <c r="K125">
        <v>83.200079671931107</v>
      </c>
      <c r="L125">
        <v>6.0337002172011998</v>
      </c>
      <c r="M125">
        <v>83.667154936643996</v>
      </c>
      <c r="N125">
        <v>8.5170945650154799</v>
      </c>
      <c r="O125">
        <v>59.686387666957302</v>
      </c>
      <c r="P125">
        <v>81.177795281407597</v>
      </c>
      <c r="Q125">
        <v>0</v>
      </c>
      <c r="R125">
        <v>0</v>
      </c>
      <c r="S125">
        <v>28.344671201813998</v>
      </c>
    </row>
    <row r="126" spans="1:19" x14ac:dyDescent="0.25">
      <c r="A126">
        <v>19</v>
      </c>
      <c r="B126">
        <v>187</v>
      </c>
      <c r="C126">
        <v>87</v>
      </c>
      <c r="D126" t="s">
        <v>20</v>
      </c>
      <c r="E126">
        <v>9.7428971893507494</v>
      </c>
      <c r="F126">
        <v>35</v>
      </c>
      <c r="G126">
        <v>1</v>
      </c>
      <c r="H126">
        <v>68.777577239939404</v>
      </c>
      <c r="I126">
        <v>84.246961925315105</v>
      </c>
      <c r="J126">
        <v>265.702545917934</v>
      </c>
      <c r="K126">
        <v>73.5896692403537</v>
      </c>
      <c r="L126">
        <v>5.76737268865066</v>
      </c>
      <c r="M126">
        <v>52.9776470143266</v>
      </c>
      <c r="N126">
        <v>7.25733731018037</v>
      </c>
      <c r="O126">
        <v>56.516562513674799</v>
      </c>
      <c r="P126">
        <v>60.147416575606698</v>
      </c>
      <c r="Q126">
        <v>1</v>
      </c>
      <c r="R126">
        <v>1</v>
      </c>
      <c r="S126">
        <v>24.879178701135199</v>
      </c>
    </row>
    <row r="127" spans="1:19" x14ac:dyDescent="0.25">
      <c r="A127">
        <v>24</v>
      </c>
      <c r="B127">
        <v>168</v>
      </c>
      <c r="C127">
        <v>92</v>
      </c>
      <c r="D127" t="s">
        <v>19</v>
      </c>
      <c r="E127">
        <v>7.5302831480935097</v>
      </c>
      <c r="F127">
        <v>27</v>
      </c>
      <c r="G127">
        <v>3</v>
      </c>
      <c r="H127">
        <v>59.963323693056601</v>
      </c>
      <c r="I127">
        <v>72.341892760740294</v>
      </c>
      <c r="J127">
        <v>249.04624020872799</v>
      </c>
      <c r="K127">
        <v>73.915690081268295</v>
      </c>
      <c r="L127">
        <v>6.3161946743063</v>
      </c>
      <c r="M127">
        <v>54.810136168361801</v>
      </c>
      <c r="N127">
        <v>6.2845316583455899</v>
      </c>
      <c r="O127">
        <v>54.191811486796198</v>
      </c>
      <c r="P127">
        <v>69.929282595626205</v>
      </c>
      <c r="Q127">
        <v>0</v>
      </c>
      <c r="R127">
        <v>1</v>
      </c>
      <c r="S127">
        <v>32.596371882086103</v>
      </c>
    </row>
    <row r="128" spans="1:19" x14ac:dyDescent="0.25">
      <c r="A128">
        <v>23</v>
      </c>
      <c r="B128">
        <v>177</v>
      </c>
      <c r="C128">
        <v>86</v>
      </c>
      <c r="D128" t="s">
        <v>20</v>
      </c>
      <c r="E128">
        <v>13.444504611754301</v>
      </c>
      <c r="F128">
        <v>6</v>
      </c>
      <c r="G128">
        <v>0</v>
      </c>
      <c r="H128">
        <v>84.390870179710802</v>
      </c>
      <c r="I128">
        <v>81.120605160825704</v>
      </c>
      <c r="J128">
        <v>281.02697100507902</v>
      </c>
      <c r="K128">
        <v>81.615478534654997</v>
      </c>
      <c r="L128">
        <v>5.6236345576850999</v>
      </c>
      <c r="M128">
        <v>74.138329714055899</v>
      </c>
      <c r="N128">
        <v>7.1601836932769096</v>
      </c>
      <c r="O128">
        <v>42.329049542711203</v>
      </c>
      <c r="P128">
        <v>93.684101085535303</v>
      </c>
      <c r="Q128">
        <v>0</v>
      </c>
      <c r="R128">
        <v>0</v>
      </c>
      <c r="S128">
        <v>27.450604870886298</v>
      </c>
    </row>
    <row r="129" spans="1:19" x14ac:dyDescent="0.25">
      <c r="A129">
        <v>18</v>
      </c>
      <c r="B129">
        <v>185</v>
      </c>
      <c r="C129">
        <v>57</v>
      </c>
      <c r="D129" t="s">
        <v>22</v>
      </c>
      <c r="E129">
        <v>12.392222735887</v>
      </c>
      <c r="F129">
        <v>7</v>
      </c>
      <c r="G129">
        <v>4</v>
      </c>
      <c r="H129">
        <v>74.217603852863903</v>
      </c>
      <c r="I129">
        <v>69.472292525568406</v>
      </c>
      <c r="J129">
        <v>226.79482381187199</v>
      </c>
      <c r="K129">
        <v>77.062959907409393</v>
      </c>
      <c r="L129">
        <v>5.4462821330261599</v>
      </c>
      <c r="M129">
        <v>62.204726606343797</v>
      </c>
      <c r="N129">
        <v>5.6585367282858297</v>
      </c>
      <c r="O129">
        <v>69.897725775172901</v>
      </c>
      <c r="P129">
        <v>63.565772188578599</v>
      </c>
      <c r="Q129">
        <v>1</v>
      </c>
      <c r="R129">
        <v>1</v>
      </c>
      <c r="S129">
        <v>16.654492330168001</v>
      </c>
    </row>
    <row r="130" spans="1:19" x14ac:dyDescent="0.25">
      <c r="A130">
        <v>21</v>
      </c>
      <c r="B130">
        <v>162</v>
      </c>
      <c r="C130">
        <v>77</v>
      </c>
      <c r="D130" t="s">
        <v>21</v>
      </c>
      <c r="E130">
        <v>10.544612402848699</v>
      </c>
      <c r="F130">
        <v>35</v>
      </c>
      <c r="G130">
        <v>1</v>
      </c>
      <c r="H130">
        <v>80.055093678878904</v>
      </c>
      <c r="I130">
        <v>74.968583290191106</v>
      </c>
      <c r="J130">
        <v>293.15974416920699</v>
      </c>
      <c r="K130">
        <v>82.481844550279504</v>
      </c>
      <c r="L130">
        <v>6.2208285569615898</v>
      </c>
      <c r="M130">
        <v>77.305565353428804</v>
      </c>
      <c r="N130">
        <v>7.3980869191506802</v>
      </c>
      <c r="O130">
        <v>71.761132695370705</v>
      </c>
      <c r="P130">
        <v>62.1219420501291</v>
      </c>
      <c r="Q130">
        <v>1</v>
      </c>
      <c r="R130">
        <v>1</v>
      </c>
      <c r="S130">
        <v>29.340039628105401</v>
      </c>
    </row>
    <row r="131" spans="1:19" x14ac:dyDescent="0.25">
      <c r="A131">
        <v>19</v>
      </c>
      <c r="B131">
        <v>177</v>
      </c>
      <c r="C131">
        <v>58</v>
      </c>
      <c r="D131" t="s">
        <v>22</v>
      </c>
      <c r="E131">
        <v>10.5081649973369</v>
      </c>
      <c r="F131">
        <v>14</v>
      </c>
      <c r="G131">
        <v>2</v>
      </c>
      <c r="H131">
        <v>84.809863291324504</v>
      </c>
      <c r="I131">
        <v>80.002488426869604</v>
      </c>
      <c r="J131">
        <v>241.21730218636699</v>
      </c>
      <c r="K131">
        <v>80.994608357829094</v>
      </c>
      <c r="L131">
        <v>6.0595509448267197</v>
      </c>
      <c r="M131">
        <v>79.125752568903494</v>
      </c>
      <c r="N131">
        <v>8.7797913285081108</v>
      </c>
      <c r="O131">
        <v>57.568552020485903</v>
      </c>
      <c r="P131">
        <v>68.904392485638795</v>
      </c>
      <c r="Q131">
        <v>1</v>
      </c>
      <c r="R131">
        <v>0</v>
      </c>
      <c r="S131">
        <v>18.513198633853602</v>
      </c>
    </row>
    <row r="132" spans="1:19" x14ac:dyDescent="0.25">
      <c r="A132">
        <v>24</v>
      </c>
      <c r="B132">
        <v>169</v>
      </c>
      <c r="C132">
        <v>82</v>
      </c>
      <c r="D132" t="s">
        <v>21</v>
      </c>
      <c r="E132">
        <v>7.4556639288910702</v>
      </c>
      <c r="F132">
        <v>35</v>
      </c>
      <c r="G132">
        <v>0</v>
      </c>
      <c r="H132">
        <v>67.535053118087205</v>
      </c>
      <c r="I132">
        <v>90.152200141767807</v>
      </c>
      <c r="J132">
        <v>235.01600128503301</v>
      </c>
      <c r="K132">
        <v>86.256427867161605</v>
      </c>
      <c r="L132">
        <v>6.8257114812784101</v>
      </c>
      <c r="M132">
        <v>83.573919065446404</v>
      </c>
      <c r="N132">
        <v>7.11749138202212</v>
      </c>
      <c r="O132">
        <v>47.4509905630959</v>
      </c>
      <c r="P132">
        <v>78.306212074161394</v>
      </c>
      <c r="Q132">
        <v>1</v>
      </c>
      <c r="R132">
        <v>0</v>
      </c>
      <c r="S132">
        <v>28.710479324953599</v>
      </c>
    </row>
    <row r="133" spans="1:19" x14ac:dyDescent="0.25">
      <c r="A133">
        <v>21</v>
      </c>
      <c r="B133">
        <v>177</v>
      </c>
      <c r="C133">
        <v>89</v>
      </c>
      <c r="D133" t="s">
        <v>22</v>
      </c>
      <c r="E133">
        <v>12.8862846309984</v>
      </c>
      <c r="F133">
        <v>24</v>
      </c>
      <c r="G133">
        <v>1</v>
      </c>
      <c r="H133">
        <v>74.939358811262196</v>
      </c>
      <c r="I133">
        <v>85.83527103518</v>
      </c>
      <c r="J133">
        <v>229.68082040717599</v>
      </c>
      <c r="K133">
        <v>69.980440440206706</v>
      </c>
      <c r="L133">
        <v>6.0636081018670502</v>
      </c>
      <c r="M133">
        <v>67.777973445469399</v>
      </c>
      <c r="N133">
        <v>5.9855035288018001</v>
      </c>
      <c r="O133">
        <v>70.587937274044194</v>
      </c>
      <c r="P133">
        <v>78.128261255440805</v>
      </c>
      <c r="Q133">
        <v>1</v>
      </c>
      <c r="R133">
        <v>1</v>
      </c>
      <c r="S133">
        <v>28.408184110568399</v>
      </c>
    </row>
    <row r="134" spans="1:19" x14ac:dyDescent="0.25">
      <c r="A134">
        <v>18</v>
      </c>
      <c r="B134">
        <v>185</v>
      </c>
      <c r="C134">
        <v>76</v>
      </c>
      <c r="D134" t="s">
        <v>19</v>
      </c>
      <c r="E134">
        <v>7.7178702447722598</v>
      </c>
      <c r="F134">
        <v>5</v>
      </c>
      <c r="G134">
        <v>0</v>
      </c>
      <c r="H134">
        <v>78.418796452633501</v>
      </c>
      <c r="I134">
        <v>68.260389095787801</v>
      </c>
      <c r="J134">
        <v>272.34589764415801</v>
      </c>
      <c r="K134">
        <v>83.503215955974198</v>
      </c>
      <c r="L134">
        <v>5.9466648123051904</v>
      </c>
      <c r="M134">
        <v>72.019515078011494</v>
      </c>
      <c r="N134">
        <v>5.9454521298972498</v>
      </c>
      <c r="O134">
        <v>75.246240773973</v>
      </c>
      <c r="P134">
        <v>75.307855303306297</v>
      </c>
      <c r="Q134">
        <v>1</v>
      </c>
      <c r="R134">
        <v>1</v>
      </c>
      <c r="S134">
        <v>22.205989773557299</v>
      </c>
    </row>
    <row r="135" spans="1:19" x14ac:dyDescent="0.25">
      <c r="A135">
        <v>24</v>
      </c>
      <c r="B135">
        <v>183</v>
      </c>
      <c r="C135">
        <v>68</v>
      </c>
      <c r="D135" t="s">
        <v>20</v>
      </c>
      <c r="E135">
        <v>14.5694225034092</v>
      </c>
      <c r="F135">
        <v>24</v>
      </c>
      <c r="G135">
        <v>1</v>
      </c>
      <c r="H135">
        <v>76.629090326394902</v>
      </c>
      <c r="I135">
        <v>89.554947291100405</v>
      </c>
      <c r="J135">
        <v>214.20935849044699</v>
      </c>
      <c r="K135">
        <v>86.607252568264101</v>
      </c>
      <c r="L135">
        <v>6.1230542398365104</v>
      </c>
      <c r="M135">
        <v>81.848640184205806</v>
      </c>
      <c r="N135">
        <v>7.2710707903086904</v>
      </c>
      <c r="O135">
        <v>35.919950682516301</v>
      </c>
      <c r="P135">
        <v>86.060101543661403</v>
      </c>
      <c r="Q135">
        <v>1</v>
      </c>
      <c r="R135">
        <v>0</v>
      </c>
      <c r="S135">
        <v>20.305174833527399</v>
      </c>
    </row>
    <row r="136" spans="1:19" x14ac:dyDescent="0.25">
      <c r="A136">
        <v>18</v>
      </c>
      <c r="B136">
        <v>181</v>
      </c>
      <c r="C136">
        <v>73</v>
      </c>
      <c r="D136" t="s">
        <v>21</v>
      </c>
      <c r="E136">
        <v>11.140756812471899</v>
      </c>
      <c r="F136">
        <v>38</v>
      </c>
      <c r="G136">
        <v>0</v>
      </c>
      <c r="H136">
        <v>72.542229340025003</v>
      </c>
      <c r="I136">
        <v>73.811480481249006</v>
      </c>
      <c r="J136">
        <v>269.517294669764</v>
      </c>
      <c r="K136">
        <v>87.996878840904202</v>
      </c>
      <c r="L136">
        <v>5.5848492859439398</v>
      </c>
      <c r="M136">
        <v>61.518302587709201</v>
      </c>
      <c r="N136">
        <v>6.7942377800529901</v>
      </c>
      <c r="O136">
        <v>49.142937345830603</v>
      </c>
      <c r="P136">
        <v>64.443349551381402</v>
      </c>
      <c r="Q136">
        <v>1</v>
      </c>
      <c r="R136">
        <v>1</v>
      </c>
      <c r="S136">
        <v>22.282592106468002</v>
      </c>
    </row>
    <row r="137" spans="1:19" x14ac:dyDescent="0.25">
      <c r="A137">
        <v>21</v>
      </c>
      <c r="B137">
        <v>179</v>
      </c>
      <c r="C137">
        <v>77</v>
      </c>
      <c r="D137" t="s">
        <v>21</v>
      </c>
      <c r="E137">
        <v>9.3688427376175891</v>
      </c>
      <c r="F137">
        <v>10</v>
      </c>
      <c r="G137">
        <v>3</v>
      </c>
      <c r="H137">
        <v>82.938365864942099</v>
      </c>
      <c r="I137">
        <v>77.789480512098805</v>
      </c>
      <c r="J137">
        <v>222.715286345105</v>
      </c>
      <c r="K137">
        <v>89.362214845787804</v>
      </c>
      <c r="L137">
        <v>6.2065271377847697</v>
      </c>
      <c r="M137">
        <v>82.640380083294005</v>
      </c>
      <c r="N137">
        <v>8.7298655292769798</v>
      </c>
      <c r="O137">
        <v>51.2092773900536</v>
      </c>
      <c r="P137">
        <v>74.000919146923906</v>
      </c>
      <c r="Q137">
        <v>1</v>
      </c>
      <c r="R137">
        <v>0</v>
      </c>
      <c r="S137">
        <v>24.031709372366599</v>
      </c>
    </row>
    <row r="138" spans="1:19" x14ac:dyDescent="0.25">
      <c r="A138">
        <v>21</v>
      </c>
      <c r="B138">
        <v>163</v>
      </c>
      <c r="C138">
        <v>77</v>
      </c>
      <c r="D138" t="s">
        <v>20</v>
      </c>
      <c r="E138">
        <v>11.361864424044301</v>
      </c>
      <c r="F138">
        <v>5</v>
      </c>
      <c r="G138">
        <v>1</v>
      </c>
      <c r="H138">
        <v>70.5916826500127</v>
      </c>
      <c r="I138">
        <v>77.024858286017604</v>
      </c>
      <c r="J138">
        <v>235.285194645492</v>
      </c>
      <c r="K138">
        <v>89.822173238681302</v>
      </c>
      <c r="L138">
        <v>6.2194992965058802</v>
      </c>
      <c r="M138">
        <v>76.581209490278695</v>
      </c>
      <c r="N138">
        <v>7.9326512200251296</v>
      </c>
      <c r="O138">
        <v>36.561678462294303</v>
      </c>
      <c r="P138">
        <v>79.492333545361703</v>
      </c>
      <c r="Q138">
        <v>1</v>
      </c>
      <c r="R138">
        <v>0</v>
      </c>
      <c r="S138">
        <v>28.981143437840998</v>
      </c>
    </row>
    <row r="139" spans="1:19" x14ac:dyDescent="0.25">
      <c r="A139">
        <v>21</v>
      </c>
      <c r="B139">
        <v>176</v>
      </c>
      <c r="C139">
        <v>73</v>
      </c>
      <c r="D139" t="s">
        <v>20</v>
      </c>
      <c r="E139">
        <v>13.0762389251621</v>
      </c>
      <c r="F139">
        <v>7</v>
      </c>
      <c r="G139">
        <v>3</v>
      </c>
      <c r="H139">
        <v>65.813204145864603</v>
      </c>
      <c r="I139">
        <v>72.4650168302298</v>
      </c>
      <c r="J139">
        <v>270.44493128816498</v>
      </c>
      <c r="K139">
        <v>82.628922054179796</v>
      </c>
      <c r="L139">
        <v>5.8002294195344897</v>
      </c>
      <c r="M139">
        <v>82.723622499479902</v>
      </c>
      <c r="N139">
        <v>7.6552006098348002</v>
      </c>
      <c r="O139">
        <v>66.920006667783596</v>
      </c>
      <c r="P139">
        <v>69.127550436276394</v>
      </c>
      <c r="Q139">
        <v>0</v>
      </c>
      <c r="R139">
        <v>1</v>
      </c>
      <c r="S139">
        <v>23.566632231404899</v>
      </c>
    </row>
    <row r="140" spans="1:19" x14ac:dyDescent="0.25">
      <c r="A140">
        <v>18</v>
      </c>
      <c r="B140">
        <v>185</v>
      </c>
      <c r="C140">
        <v>63</v>
      </c>
      <c r="D140" t="s">
        <v>22</v>
      </c>
      <c r="E140">
        <v>10.990545359737</v>
      </c>
      <c r="F140">
        <v>13</v>
      </c>
      <c r="G140">
        <v>0</v>
      </c>
      <c r="H140">
        <v>77.241985171007101</v>
      </c>
      <c r="I140">
        <v>77.277683860060705</v>
      </c>
      <c r="J140">
        <v>208.233199074308</v>
      </c>
      <c r="K140">
        <v>88.824961769660007</v>
      </c>
      <c r="L140">
        <v>5.6436035853852404</v>
      </c>
      <c r="M140">
        <v>91.912188403500394</v>
      </c>
      <c r="N140">
        <v>7.2323352231359603</v>
      </c>
      <c r="O140">
        <v>61.2501706238995</v>
      </c>
      <c r="P140">
        <v>78.063685460937094</v>
      </c>
      <c r="Q140">
        <v>1</v>
      </c>
      <c r="R140">
        <v>0</v>
      </c>
      <c r="S140">
        <v>18.407596785975102</v>
      </c>
    </row>
    <row r="141" spans="1:19" x14ac:dyDescent="0.25">
      <c r="A141">
        <v>22</v>
      </c>
      <c r="B141">
        <v>172</v>
      </c>
      <c r="C141">
        <v>85</v>
      </c>
      <c r="D141" t="s">
        <v>19</v>
      </c>
      <c r="E141">
        <v>15.476702510528099</v>
      </c>
      <c r="F141">
        <v>8</v>
      </c>
      <c r="G141">
        <v>0</v>
      </c>
      <c r="H141">
        <v>75.936807271160305</v>
      </c>
      <c r="I141">
        <v>91.800094055008202</v>
      </c>
      <c r="J141">
        <v>239.06845951853899</v>
      </c>
      <c r="K141">
        <v>86.844161096652698</v>
      </c>
      <c r="L141">
        <v>6.2079556946239602</v>
      </c>
      <c r="M141">
        <v>85.308272025307204</v>
      </c>
      <c r="N141">
        <v>8.1371183584610893</v>
      </c>
      <c r="O141">
        <v>55.167772939802703</v>
      </c>
      <c r="P141">
        <v>76.722383962725004</v>
      </c>
      <c r="Q141">
        <v>1</v>
      </c>
      <c r="R141">
        <v>0</v>
      </c>
      <c r="S141">
        <v>28.7317468902109</v>
      </c>
    </row>
    <row r="142" spans="1:19" x14ac:dyDescent="0.25">
      <c r="A142">
        <v>19</v>
      </c>
      <c r="B142">
        <v>182</v>
      </c>
      <c r="C142">
        <v>68</v>
      </c>
      <c r="D142" t="s">
        <v>22</v>
      </c>
      <c r="E142">
        <v>5</v>
      </c>
      <c r="F142">
        <v>37</v>
      </c>
      <c r="G142">
        <v>4</v>
      </c>
      <c r="H142">
        <v>62.148917168907097</v>
      </c>
      <c r="I142">
        <v>76.765453166329294</v>
      </c>
      <c r="J142">
        <v>264.470173490636</v>
      </c>
      <c r="K142">
        <v>77.659312130003201</v>
      </c>
      <c r="L142">
        <v>6.2809748716992901</v>
      </c>
      <c r="M142">
        <v>73.152597460625799</v>
      </c>
      <c r="N142">
        <v>6.4981094082559796</v>
      </c>
      <c r="O142">
        <v>63.537188491042002</v>
      </c>
      <c r="P142">
        <v>84.279453597583895</v>
      </c>
      <c r="Q142">
        <v>0</v>
      </c>
      <c r="R142">
        <v>1</v>
      </c>
      <c r="S142">
        <v>20.528921627822701</v>
      </c>
    </row>
    <row r="143" spans="1:19" x14ac:dyDescent="0.25">
      <c r="A143">
        <v>18</v>
      </c>
      <c r="B143">
        <v>168</v>
      </c>
      <c r="C143">
        <v>76</v>
      </c>
      <c r="D143" t="s">
        <v>22</v>
      </c>
      <c r="E143">
        <v>8.7352995130582602</v>
      </c>
      <c r="F143">
        <v>9</v>
      </c>
      <c r="G143">
        <v>3</v>
      </c>
      <c r="H143">
        <v>78.722010005720193</v>
      </c>
      <c r="I143">
        <v>79.318991195668303</v>
      </c>
      <c r="J143">
        <v>239.361462277453</v>
      </c>
      <c r="K143">
        <v>78.644525848879098</v>
      </c>
      <c r="L143">
        <v>6.1557114233633596</v>
      </c>
      <c r="M143">
        <v>77.376517338350595</v>
      </c>
      <c r="N143">
        <v>8.5801301661235705</v>
      </c>
      <c r="O143">
        <v>46.351729744238199</v>
      </c>
      <c r="P143">
        <v>79.899589110066202</v>
      </c>
      <c r="Q143">
        <v>0</v>
      </c>
      <c r="R143">
        <v>0</v>
      </c>
      <c r="S143">
        <v>26.927437641723301</v>
      </c>
    </row>
    <row r="144" spans="1:19" x14ac:dyDescent="0.25">
      <c r="A144">
        <v>22</v>
      </c>
      <c r="B144">
        <v>176</v>
      </c>
      <c r="C144">
        <v>88</v>
      </c>
      <c r="D144" t="s">
        <v>21</v>
      </c>
      <c r="E144">
        <v>7.2157135266730803</v>
      </c>
      <c r="F144">
        <v>16</v>
      </c>
      <c r="G144">
        <v>1</v>
      </c>
      <c r="H144">
        <v>73.231607872190395</v>
      </c>
      <c r="I144">
        <v>82.752428836834795</v>
      </c>
      <c r="J144">
        <v>236.48619114221901</v>
      </c>
      <c r="K144">
        <v>94.463866278185606</v>
      </c>
      <c r="L144">
        <v>6.89822786528355</v>
      </c>
      <c r="M144">
        <v>78.996234087127704</v>
      </c>
      <c r="N144">
        <v>7.4161248979276602</v>
      </c>
      <c r="O144">
        <v>62.187335795677399</v>
      </c>
      <c r="P144">
        <v>76.841455931028904</v>
      </c>
      <c r="Q144">
        <v>1</v>
      </c>
      <c r="R144">
        <v>0</v>
      </c>
      <c r="S144">
        <v>28.409090909090899</v>
      </c>
    </row>
    <row r="145" spans="1:19" x14ac:dyDescent="0.25">
      <c r="A145">
        <v>20</v>
      </c>
      <c r="B145">
        <v>175</v>
      </c>
      <c r="C145">
        <v>79</v>
      </c>
      <c r="D145" t="s">
        <v>20</v>
      </c>
      <c r="E145">
        <v>11.7727146470279</v>
      </c>
      <c r="F145">
        <v>12</v>
      </c>
      <c r="G145">
        <v>4</v>
      </c>
      <c r="H145">
        <v>69.794534645997203</v>
      </c>
      <c r="I145">
        <v>76.5045607676781</v>
      </c>
      <c r="J145">
        <v>306.33564687805199</v>
      </c>
      <c r="K145">
        <v>87.112976077162799</v>
      </c>
      <c r="L145">
        <v>5.5972311879185597</v>
      </c>
      <c r="M145">
        <v>78.612880690525699</v>
      </c>
      <c r="N145">
        <v>7.7540512209678303</v>
      </c>
      <c r="O145">
        <v>60.779727736854703</v>
      </c>
      <c r="P145">
        <v>65.674556408870799</v>
      </c>
      <c r="Q145">
        <v>1</v>
      </c>
      <c r="R145">
        <v>1</v>
      </c>
      <c r="S145">
        <v>25.7959183673469</v>
      </c>
    </row>
    <row r="146" spans="1:19" x14ac:dyDescent="0.25">
      <c r="A146">
        <v>22</v>
      </c>
      <c r="B146">
        <v>188</v>
      </c>
      <c r="C146">
        <v>91</v>
      </c>
      <c r="D146" t="s">
        <v>21</v>
      </c>
      <c r="E146">
        <v>10.846415005173499</v>
      </c>
      <c r="F146">
        <v>5</v>
      </c>
      <c r="G146">
        <v>2</v>
      </c>
      <c r="H146">
        <v>73.336510795032098</v>
      </c>
      <c r="I146">
        <v>75.982409129557595</v>
      </c>
      <c r="J146">
        <v>293.47455562228998</v>
      </c>
      <c r="K146">
        <v>82.173815906713898</v>
      </c>
      <c r="L146">
        <v>6.0394709276882201</v>
      </c>
      <c r="M146">
        <v>64.613514422572905</v>
      </c>
      <c r="N146">
        <v>7.9581712598103502</v>
      </c>
      <c r="O146">
        <v>45.1594797414445</v>
      </c>
      <c r="P146">
        <v>76.337447824299801</v>
      </c>
      <c r="Q146">
        <v>1</v>
      </c>
      <c r="R146">
        <v>1</v>
      </c>
      <c r="S146">
        <v>25.746944318696201</v>
      </c>
    </row>
    <row r="147" spans="1:19" x14ac:dyDescent="0.25">
      <c r="A147">
        <v>18</v>
      </c>
      <c r="B147">
        <v>183</v>
      </c>
      <c r="C147">
        <v>74</v>
      </c>
      <c r="D147" t="s">
        <v>22</v>
      </c>
      <c r="E147">
        <v>14.035236304518801</v>
      </c>
      <c r="F147">
        <v>39</v>
      </c>
      <c r="G147">
        <v>0</v>
      </c>
      <c r="H147">
        <v>85.221406048681999</v>
      </c>
      <c r="I147">
        <v>94.697071214525494</v>
      </c>
      <c r="J147">
        <v>267.876664893976</v>
      </c>
      <c r="K147">
        <v>87.548915377680302</v>
      </c>
      <c r="L147">
        <v>6.3799227486708396</v>
      </c>
      <c r="M147">
        <v>65.888382264212396</v>
      </c>
      <c r="N147">
        <v>7.7946701860417802</v>
      </c>
      <c r="O147">
        <v>45.537362969658403</v>
      </c>
      <c r="P147">
        <v>78.4111933992058</v>
      </c>
      <c r="Q147">
        <v>1</v>
      </c>
      <c r="R147">
        <v>0</v>
      </c>
      <c r="S147">
        <v>22.096807907073899</v>
      </c>
    </row>
    <row r="148" spans="1:19" x14ac:dyDescent="0.25">
      <c r="A148">
        <v>21</v>
      </c>
      <c r="B148">
        <v>177</v>
      </c>
      <c r="C148">
        <v>72</v>
      </c>
      <c r="D148" t="s">
        <v>20</v>
      </c>
      <c r="E148">
        <v>11.6057363412976</v>
      </c>
      <c r="F148">
        <v>10</v>
      </c>
      <c r="G148">
        <v>4</v>
      </c>
      <c r="H148">
        <v>76.853388082097595</v>
      </c>
      <c r="I148">
        <v>76.1012308693346</v>
      </c>
      <c r="J148">
        <v>223.282507060146</v>
      </c>
      <c r="K148">
        <v>92.398304392057696</v>
      </c>
      <c r="L148">
        <v>6.2730005700314901</v>
      </c>
      <c r="M148">
        <v>79.703630225810997</v>
      </c>
      <c r="N148">
        <v>8.0382010634430703</v>
      </c>
      <c r="O148">
        <v>62.5406610211678</v>
      </c>
      <c r="P148">
        <v>65.534929305439803</v>
      </c>
      <c r="Q148">
        <v>1</v>
      </c>
      <c r="R148">
        <v>1</v>
      </c>
      <c r="S148">
        <v>22.98190175237</v>
      </c>
    </row>
    <row r="149" spans="1:19" x14ac:dyDescent="0.25">
      <c r="A149">
        <v>24</v>
      </c>
      <c r="B149">
        <v>165</v>
      </c>
      <c r="C149">
        <v>71</v>
      </c>
      <c r="D149" t="s">
        <v>21</v>
      </c>
      <c r="E149">
        <v>11.054556772527199</v>
      </c>
      <c r="F149">
        <v>35</v>
      </c>
      <c r="G149">
        <v>2</v>
      </c>
      <c r="H149">
        <v>74.728121352660196</v>
      </c>
      <c r="I149">
        <v>71.052530829182302</v>
      </c>
      <c r="J149">
        <v>248.045245670074</v>
      </c>
      <c r="K149">
        <v>79.541314190683096</v>
      </c>
      <c r="L149">
        <v>5.8277035307024301</v>
      </c>
      <c r="M149">
        <v>71.352582304998407</v>
      </c>
      <c r="N149">
        <v>6.45391308603336</v>
      </c>
      <c r="O149">
        <v>68.229562497610999</v>
      </c>
      <c r="P149">
        <v>70.914443841548803</v>
      </c>
      <c r="Q149">
        <v>0</v>
      </c>
      <c r="R149">
        <v>1</v>
      </c>
      <c r="S149">
        <v>26.078971533516899</v>
      </c>
    </row>
    <row r="150" spans="1:19" x14ac:dyDescent="0.25">
      <c r="A150">
        <v>22</v>
      </c>
      <c r="B150">
        <v>166</v>
      </c>
      <c r="C150">
        <v>73</v>
      </c>
      <c r="D150" t="s">
        <v>21</v>
      </c>
      <c r="E150">
        <v>17.6638147459397</v>
      </c>
      <c r="F150">
        <v>20</v>
      </c>
      <c r="G150">
        <v>0</v>
      </c>
      <c r="H150">
        <v>80.122787216443697</v>
      </c>
      <c r="I150">
        <v>87.606213716400106</v>
      </c>
      <c r="J150">
        <v>253.48667888553001</v>
      </c>
      <c r="K150">
        <v>85.073016974067798</v>
      </c>
      <c r="L150">
        <v>5.8959431044558404</v>
      </c>
      <c r="M150">
        <v>73.743611814031198</v>
      </c>
      <c r="N150">
        <v>8.6985422554523097</v>
      </c>
      <c r="O150">
        <v>40.514424449465103</v>
      </c>
      <c r="P150">
        <v>81.25590907966</v>
      </c>
      <c r="Q150">
        <v>1</v>
      </c>
      <c r="R150">
        <v>0</v>
      </c>
      <c r="S150">
        <v>26.491508201480599</v>
      </c>
    </row>
    <row r="151" spans="1:19" x14ac:dyDescent="0.25">
      <c r="A151">
        <v>23</v>
      </c>
      <c r="B151">
        <v>165</v>
      </c>
      <c r="C151">
        <v>71</v>
      </c>
      <c r="D151" t="s">
        <v>22</v>
      </c>
      <c r="E151">
        <v>8.8264278476838101</v>
      </c>
      <c r="F151">
        <v>30</v>
      </c>
      <c r="G151">
        <v>1</v>
      </c>
      <c r="H151">
        <v>85.317265148256894</v>
      </c>
      <c r="I151">
        <v>79.548214650244006</v>
      </c>
      <c r="J151">
        <v>251.204689705475</v>
      </c>
      <c r="K151">
        <v>78.660509798421501</v>
      </c>
      <c r="L151">
        <v>6.1176972526507898</v>
      </c>
      <c r="M151">
        <v>78.0089748048552</v>
      </c>
      <c r="N151">
        <v>7.6996503144504302</v>
      </c>
      <c r="O151">
        <v>63.206227485396496</v>
      </c>
      <c r="P151">
        <v>77.870911291475494</v>
      </c>
      <c r="Q151">
        <v>1</v>
      </c>
      <c r="R151">
        <v>0</v>
      </c>
      <c r="S151">
        <v>26.078971533516899</v>
      </c>
    </row>
    <row r="152" spans="1:19" x14ac:dyDescent="0.25">
      <c r="A152">
        <v>22</v>
      </c>
      <c r="B152">
        <v>176</v>
      </c>
      <c r="C152">
        <v>75</v>
      </c>
      <c r="D152" t="s">
        <v>19</v>
      </c>
      <c r="E152">
        <v>11.9422724328453</v>
      </c>
      <c r="F152">
        <v>29</v>
      </c>
      <c r="G152">
        <v>1</v>
      </c>
      <c r="H152">
        <v>81.473520451970799</v>
      </c>
      <c r="I152">
        <v>75.917669270617694</v>
      </c>
      <c r="J152">
        <v>232.197259430109</v>
      </c>
      <c r="K152">
        <v>88.053676182407301</v>
      </c>
      <c r="L152">
        <v>5.88559597332178</v>
      </c>
      <c r="M152">
        <v>66.494439135611302</v>
      </c>
      <c r="N152">
        <v>6.2939257215540598</v>
      </c>
      <c r="O152">
        <v>40.5709907160334</v>
      </c>
      <c r="P152">
        <v>75.051667780748502</v>
      </c>
      <c r="Q152">
        <v>0</v>
      </c>
      <c r="R152">
        <v>0</v>
      </c>
      <c r="S152">
        <v>24.2122933884297</v>
      </c>
    </row>
    <row r="153" spans="1:19" x14ac:dyDescent="0.25">
      <c r="A153">
        <v>24</v>
      </c>
      <c r="B153">
        <v>175</v>
      </c>
      <c r="C153">
        <v>75</v>
      </c>
      <c r="D153" t="s">
        <v>19</v>
      </c>
      <c r="E153">
        <v>10.2801826250068</v>
      </c>
      <c r="F153">
        <v>13</v>
      </c>
      <c r="G153">
        <v>1</v>
      </c>
      <c r="H153">
        <v>67.463925546689396</v>
      </c>
      <c r="I153">
        <v>82.8263578364122</v>
      </c>
      <c r="J153">
        <v>248.60535813919401</v>
      </c>
      <c r="K153">
        <v>60.059483731508202</v>
      </c>
      <c r="L153">
        <v>5.5973119144439103</v>
      </c>
      <c r="M153">
        <v>80.740710057682193</v>
      </c>
      <c r="N153">
        <v>7.8199826701692299</v>
      </c>
      <c r="O153">
        <v>53.683248209231799</v>
      </c>
      <c r="P153">
        <v>80.159494153913599</v>
      </c>
      <c r="Q153">
        <v>1</v>
      </c>
      <c r="R153">
        <v>1</v>
      </c>
      <c r="S153">
        <v>24.4897959183673</v>
      </c>
    </row>
    <row r="154" spans="1:19" x14ac:dyDescent="0.25">
      <c r="A154">
        <v>21</v>
      </c>
      <c r="B154">
        <v>178</v>
      </c>
      <c r="C154">
        <v>73</v>
      </c>
      <c r="D154" t="s">
        <v>21</v>
      </c>
      <c r="E154">
        <v>7.98501970303791</v>
      </c>
      <c r="F154">
        <v>32</v>
      </c>
      <c r="G154">
        <v>1</v>
      </c>
      <c r="H154">
        <v>71.368808842304404</v>
      </c>
      <c r="I154">
        <v>87.8584519990427</v>
      </c>
      <c r="J154">
        <v>212.627692978374</v>
      </c>
      <c r="K154">
        <v>86.989246704288206</v>
      </c>
      <c r="L154">
        <v>6.47723998219685</v>
      </c>
      <c r="M154">
        <v>89.908649705422107</v>
      </c>
      <c r="N154">
        <v>7.2911357091647302</v>
      </c>
      <c r="O154">
        <v>60.095424075104198</v>
      </c>
      <c r="P154">
        <v>78.623757558623595</v>
      </c>
      <c r="Q154">
        <v>1</v>
      </c>
      <c r="R154">
        <v>0</v>
      </c>
      <c r="S154">
        <v>23.040020199469701</v>
      </c>
    </row>
    <row r="155" spans="1:19" x14ac:dyDescent="0.25">
      <c r="A155">
        <v>21</v>
      </c>
      <c r="B155">
        <v>176</v>
      </c>
      <c r="C155">
        <v>70</v>
      </c>
      <c r="D155" t="s">
        <v>20</v>
      </c>
      <c r="E155">
        <v>13.2945934811759</v>
      </c>
      <c r="F155">
        <v>31</v>
      </c>
      <c r="G155">
        <v>0</v>
      </c>
      <c r="H155">
        <v>78.439726092589893</v>
      </c>
      <c r="I155">
        <v>77.358933705995398</v>
      </c>
      <c r="J155">
        <v>270.54440718637397</v>
      </c>
      <c r="K155">
        <v>85.572313114057494</v>
      </c>
      <c r="L155">
        <v>6.0662056091142498</v>
      </c>
      <c r="M155">
        <v>84.390282493113006</v>
      </c>
      <c r="N155">
        <v>6.9047242565483602</v>
      </c>
      <c r="O155">
        <v>43.429413154752801</v>
      </c>
      <c r="P155">
        <v>84.754468290902395</v>
      </c>
      <c r="Q155">
        <v>1</v>
      </c>
      <c r="R155">
        <v>0</v>
      </c>
      <c r="S155">
        <v>22.5981404958677</v>
      </c>
    </row>
    <row r="156" spans="1:19" x14ac:dyDescent="0.25">
      <c r="A156">
        <v>19</v>
      </c>
      <c r="B156">
        <v>184</v>
      </c>
      <c r="C156">
        <v>70</v>
      </c>
      <c r="D156" t="s">
        <v>19</v>
      </c>
      <c r="E156">
        <v>10.464256437347499</v>
      </c>
      <c r="F156">
        <v>38</v>
      </c>
      <c r="G156">
        <v>1</v>
      </c>
      <c r="H156">
        <v>73.525243047005105</v>
      </c>
      <c r="I156">
        <v>86.235203887593897</v>
      </c>
      <c r="J156">
        <v>225.98052403803601</v>
      </c>
      <c r="K156">
        <v>86.371396266545105</v>
      </c>
      <c r="L156">
        <v>5.9566832340532496</v>
      </c>
      <c r="M156">
        <v>88.134142327641996</v>
      </c>
      <c r="N156">
        <v>7.0544280205738099</v>
      </c>
      <c r="O156">
        <v>51.089697466873801</v>
      </c>
      <c r="P156">
        <v>86.246723194039205</v>
      </c>
      <c r="Q156">
        <v>1</v>
      </c>
      <c r="R156">
        <v>0</v>
      </c>
      <c r="S156">
        <v>20.675803402646501</v>
      </c>
    </row>
    <row r="157" spans="1:19" x14ac:dyDescent="0.25">
      <c r="A157">
        <v>24</v>
      </c>
      <c r="B157">
        <v>185</v>
      </c>
      <c r="C157">
        <v>68</v>
      </c>
      <c r="D157" t="s">
        <v>22</v>
      </c>
      <c r="E157">
        <v>14.667095282242901</v>
      </c>
      <c r="F157">
        <v>22</v>
      </c>
      <c r="G157">
        <v>2</v>
      </c>
      <c r="H157">
        <v>70.316501565924497</v>
      </c>
      <c r="I157">
        <v>80.881856260171702</v>
      </c>
      <c r="J157">
        <v>250.833760063347</v>
      </c>
      <c r="K157">
        <v>84.776582228474695</v>
      </c>
      <c r="L157">
        <v>6.0630938911830397</v>
      </c>
      <c r="M157">
        <v>63.373187449805101</v>
      </c>
      <c r="N157">
        <v>9.6423159635851405</v>
      </c>
      <c r="O157">
        <v>44.7350691423688</v>
      </c>
      <c r="P157">
        <v>86.408405439596194</v>
      </c>
      <c r="Q157">
        <v>1</v>
      </c>
      <c r="R157">
        <v>0</v>
      </c>
      <c r="S157">
        <v>19.868517165814399</v>
      </c>
    </row>
    <row r="158" spans="1:19" x14ac:dyDescent="0.25">
      <c r="A158">
        <v>21</v>
      </c>
      <c r="B158">
        <v>188</v>
      </c>
      <c r="C158">
        <v>79</v>
      </c>
      <c r="D158" t="s">
        <v>19</v>
      </c>
      <c r="E158">
        <v>11.2739971457903</v>
      </c>
      <c r="F158">
        <v>27</v>
      </c>
      <c r="G158">
        <v>0</v>
      </c>
      <c r="H158">
        <v>88.305286078163505</v>
      </c>
      <c r="I158">
        <v>74.261149491250706</v>
      </c>
      <c r="J158">
        <v>229.127449866467</v>
      </c>
      <c r="K158">
        <v>78.812749521654496</v>
      </c>
      <c r="L158">
        <v>5.86348579981395</v>
      </c>
      <c r="M158">
        <v>72.126986520463404</v>
      </c>
      <c r="N158">
        <v>8.9705793085101302</v>
      </c>
      <c r="O158">
        <v>35.351087421187998</v>
      </c>
      <c r="P158">
        <v>84.673799609628304</v>
      </c>
      <c r="Q158">
        <v>1</v>
      </c>
      <c r="R158">
        <v>0</v>
      </c>
      <c r="S158">
        <v>22.351742870076901</v>
      </c>
    </row>
    <row r="159" spans="1:19" x14ac:dyDescent="0.25">
      <c r="A159">
        <v>24</v>
      </c>
      <c r="B159">
        <v>187</v>
      </c>
      <c r="C159">
        <v>92</v>
      </c>
      <c r="D159" t="s">
        <v>22</v>
      </c>
      <c r="E159">
        <v>11.0767156318056</v>
      </c>
      <c r="F159">
        <v>17</v>
      </c>
      <c r="G159">
        <v>2</v>
      </c>
      <c r="H159">
        <v>77.697870295209498</v>
      </c>
      <c r="I159">
        <v>76.748118454064098</v>
      </c>
      <c r="J159">
        <v>238.090626653741</v>
      </c>
      <c r="K159">
        <v>81.081722013036099</v>
      </c>
      <c r="L159">
        <v>6.1407494745464604</v>
      </c>
      <c r="M159">
        <v>84.140843901312806</v>
      </c>
      <c r="N159">
        <v>7.2079040801337202</v>
      </c>
      <c r="O159">
        <v>31.253003398877102</v>
      </c>
      <c r="P159">
        <v>85.115643218411194</v>
      </c>
      <c r="Q159">
        <v>1</v>
      </c>
      <c r="R159">
        <v>0</v>
      </c>
      <c r="S159">
        <v>26.309016557522298</v>
      </c>
    </row>
    <row r="160" spans="1:19" x14ac:dyDescent="0.25">
      <c r="A160">
        <v>19</v>
      </c>
      <c r="B160">
        <v>179</v>
      </c>
      <c r="C160">
        <v>71</v>
      </c>
      <c r="D160" t="s">
        <v>19</v>
      </c>
      <c r="E160">
        <v>13.013913810910999</v>
      </c>
      <c r="F160">
        <v>24</v>
      </c>
      <c r="G160">
        <v>2</v>
      </c>
      <c r="H160">
        <v>73.815983975608205</v>
      </c>
      <c r="I160">
        <v>85.954558605549593</v>
      </c>
      <c r="J160">
        <v>272.73867721757398</v>
      </c>
      <c r="K160">
        <v>90.433786713181405</v>
      </c>
      <c r="L160">
        <v>6.6497928725406199</v>
      </c>
      <c r="M160">
        <v>82.172200354316203</v>
      </c>
      <c r="N160">
        <v>8.6843189502864693</v>
      </c>
      <c r="O160">
        <v>46.507528448276503</v>
      </c>
      <c r="P160">
        <v>72.344096879980697</v>
      </c>
      <c r="Q160">
        <v>1</v>
      </c>
      <c r="R160">
        <v>0</v>
      </c>
      <c r="S160">
        <v>22.159108642052299</v>
      </c>
    </row>
    <row r="161" spans="1:19" x14ac:dyDescent="0.25">
      <c r="A161">
        <v>21</v>
      </c>
      <c r="B161">
        <v>188</v>
      </c>
      <c r="C161">
        <v>88</v>
      </c>
      <c r="D161" t="s">
        <v>21</v>
      </c>
      <c r="E161">
        <v>9.9068809502774808</v>
      </c>
      <c r="F161">
        <v>33</v>
      </c>
      <c r="G161">
        <v>0</v>
      </c>
      <c r="H161">
        <v>66.850689195215296</v>
      </c>
      <c r="I161">
        <v>80.071349617895194</v>
      </c>
      <c r="J161">
        <v>222.62822779139799</v>
      </c>
      <c r="K161">
        <v>94.267674938642699</v>
      </c>
      <c r="L161">
        <v>6.1424840268079999</v>
      </c>
      <c r="M161">
        <v>93.835027279543098</v>
      </c>
      <c r="N161">
        <v>7.7920549906927299</v>
      </c>
      <c r="O161">
        <v>42.5473112368283</v>
      </c>
      <c r="P161">
        <v>84.067699734005103</v>
      </c>
      <c r="Q161">
        <v>0</v>
      </c>
      <c r="R161">
        <v>0</v>
      </c>
      <c r="S161">
        <v>24.8981439565414</v>
      </c>
    </row>
    <row r="162" spans="1:19" x14ac:dyDescent="0.25">
      <c r="A162">
        <v>18</v>
      </c>
      <c r="B162">
        <v>171</v>
      </c>
      <c r="C162">
        <v>76</v>
      </c>
      <c r="D162" t="s">
        <v>20</v>
      </c>
      <c r="E162">
        <v>8.4093865704443207</v>
      </c>
      <c r="F162">
        <v>6</v>
      </c>
      <c r="G162">
        <v>0</v>
      </c>
      <c r="H162">
        <v>67.104063590342705</v>
      </c>
      <c r="I162">
        <v>81.692693810784107</v>
      </c>
      <c r="J162">
        <v>295.06035330837301</v>
      </c>
      <c r="K162">
        <v>91.660137705537693</v>
      </c>
      <c r="L162">
        <v>5.5689053635359302</v>
      </c>
      <c r="M162">
        <v>66.329408517794405</v>
      </c>
      <c r="N162">
        <v>7.7766690908838898</v>
      </c>
      <c r="O162">
        <v>54.655268926705403</v>
      </c>
      <c r="P162">
        <v>67.619025602674199</v>
      </c>
      <c r="Q162">
        <v>1</v>
      </c>
      <c r="R162">
        <v>1</v>
      </c>
      <c r="S162">
        <v>25.9909031838856</v>
      </c>
    </row>
    <row r="163" spans="1:19" x14ac:dyDescent="0.25">
      <c r="A163">
        <v>21</v>
      </c>
      <c r="B163">
        <v>177</v>
      </c>
      <c r="C163">
        <v>81</v>
      </c>
      <c r="D163" t="s">
        <v>20</v>
      </c>
      <c r="E163">
        <v>10.7374382317063</v>
      </c>
      <c r="F163">
        <v>22</v>
      </c>
      <c r="G163">
        <v>0</v>
      </c>
      <c r="H163">
        <v>77.969926085679205</v>
      </c>
      <c r="I163">
        <v>78.752529164248799</v>
      </c>
      <c r="J163">
        <v>265.28720159310802</v>
      </c>
      <c r="K163">
        <v>94.413529591263398</v>
      </c>
      <c r="L163">
        <v>6.1277549353434297</v>
      </c>
      <c r="M163">
        <v>71.883125211285801</v>
      </c>
      <c r="N163">
        <v>8.377722304033</v>
      </c>
      <c r="O163">
        <v>49.392174761054903</v>
      </c>
      <c r="P163">
        <v>73.008003701855799</v>
      </c>
      <c r="Q163">
        <v>1</v>
      </c>
      <c r="R163">
        <v>0</v>
      </c>
      <c r="S163">
        <v>25.854639471416199</v>
      </c>
    </row>
    <row r="164" spans="1:19" x14ac:dyDescent="0.25">
      <c r="A164">
        <v>23</v>
      </c>
      <c r="B164">
        <v>178</v>
      </c>
      <c r="C164">
        <v>75</v>
      </c>
      <c r="D164" t="s">
        <v>22</v>
      </c>
      <c r="E164">
        <v>6.8956010581045</v>
      </c>
      <c r="F164">
        <v>38</v>
      </c>
      <c r="G164">
        <v>0</v>
      </c>
      <c r="H164">
        <v>67.623821644388698</v>
      </c>
      <c r="I164">
        <v>80.193875297937197</v>
      </c>
      <c r="J164">
        <v>282.83428708729298</v>
      </c>
      <c r="K164">
        <v>81.351156946760995</v>
      </c>
      <c r="L164">
        <v>6.0778420073724497</v>
      </c>
      <c r="M164">
        <v>68.421846301420899</v>
      </c>
      <c r="N164">
        <v>6.0910913895450296</v>
      </c>
      <c r="O164">
        <v>59.732968568511502</v>
      </c>
      <c r="P164">
        <v>68.988734224234506</v>
      </c>
      <c r="Q164">
        <v>0</v>
      </c>
      <c r="R164">
        <v>1</v>
      </c>
      <c r="S164">
        <v>23.671253629592201</v>
      </c>
    </row>
    <row r="165" spans="1:19" x14ac:dyDescent="0.25">
      <c r="A165">
        <v>20</v>
      </c>
      <c r="B165">
        <v>176</v>
      </c>
      <c r="C165">
        <v>66</v>
      </c>
      <c r="D165" t="s">
        <v>21</v>
      </c>
      <c r="E165">
        <v>10.9812308604474</v>
      </c>
      <c r="F165">
        <v>20</v>
      </c>
      <c r="G165">
        <v>3</v>
      </c>
      <c r="H165">
        <v>79.9990167401603</v>
      </c>
      <c r="I165">
        <v>67.360037811592207</v>
      </c>
      <c r="J165">
        <v>270.40460568431502</v>
      </c>
      <c r="K165">
        <v>72.882134247916198</v>
      </c>
      <c r="L165">
        <v>6.0793985071476904</v>
      </c>
      <c r="M165">
        <v>76.205892931656194</v>
      </c>
      <c r="N165">
        <v>8.1655768833152997</v>
      </c>
      <c r="O165">
        <v>64.610910576487399</v>
      </c>
      <c r="P165">
        <v>76.672939469599896</v>
      </c>
      <c r="Q165">
        <v>0</v>
      </c>
      <c r="R165">
        <v>1</v>
      </c>
      <c r="S165">
        <v>21.306818181818102</v>
      </c>
    </row>
    <row r="166" spans="1:19" x14ac:dyDescent="0.25">
      <c r="A166">
        <v>23</v>
      </c>
      <c r="B166">
        <v>181</v>
      </c>
      <c r="C166">
        <v>89</v>
      </c>
      <c r="D166" t="s">
        <v>19</v>
      </c>
      <c r="E166">
        <v>9.3694822318671793</v>
      </c>
      <c r="F166">
        <v>32</v>
      </c>
      <c r="G166">
        <v>2</v>
      </c>
      <c r="H166">
        <v>79.481427203412494</v>
      </c>
      <c r="I166">
        <v>70.706552304144907</v>
      </c>
      <c r="J166">
        <v>281.98745571577302</v>
      </c>
      <c r="K166">
        <v>75.764886244301906</v>
      </c>
      <c r="L166">
        <v>5.8466140927408103</v>
      </c>
      <c r="M166">
        <v>90.702376909853797</v>
      </c>
      <c r="N166">
        <v>7.4245330324361296</v>
      </c>
      <c r="O166">
        <v>64.690549121541594</v>
      </c>
      <c r="P166">
        <v>69.268947553447902</v>
      </c>
      <c r="Q166">
        <v>1</v>
      </c>
      <c r="R166">
        <v>1</v>
      </c>
      <c r="S166">
        <v>27.166447910625401</v>
      </c>
    </row>
    <row r="167" spans="1:19" x14ac:dyDescent="0.25">
      <c r="A167">
        <v>24</v>
      </c>
      <c r="B167">
        <v>163</v>
      </c>
      <c r="C167">
        <v>81</v>
      </c>
      <c r="D167" t="s">
        <v>19</v>
      </c>
      <c r="E167">
        <v>11.884364845655099</v>
      </c>
      <c r="F167">
        <v>32</v>
      </c>
      <c r="G167">
        <v>3</v>
      </c>
      <c r="H167">
        <v>67.816395137076199</v>
      </c>
      <c r="I167">
        <v>63.648059142681603</v>
      </c>
      <c r="J167">
        <v>270.20591646008597</v>
      </c>
      <c r="K167">
        <v>81.092602229076803</v>
      </c>
      <c r="L167">
        <v>4.8624353633801203</v>
      </c>
      <c r="M167">
        <v>71.341753148127594</v>
      </c>
      <c r="N167">
        <v>8.0905763546966991</v>
      </c>
      <c r="O167">
        <v>45.3009469499208</v>
      </c>
      <c r="P167">
        <v>60.145882241716301</v>
      </c>
      <c r="Q167">
        <v>0</v>
      </c>
      <c r="R167">
        <v>1</v>
      </c>
      <c r="S167">
        <v>30.486657382663999</v>
      </c>
    </row>
    <row r="168" spans="1:19" x14ac:dyDescent="0.25">
      <c r="A168">
        <v>21</v>
      </c>
      <c r="B168">
        <v>172</v>
      </c>
      <c r="C168">
        <v>68</v>
      </c>
      <c r="D168" t="s">
        <v>19</v>
      </c>
      <c r="E168">
        <v>5</v>
      </c>
      <c r="F168">
        <v>14</v>
      </c>
      <c r="G168">
        <v>1</v>
      </c>
      <c r="H168">
        <v>65.915938523007895</v>
      </c>
      <c r="I168">
        <v>70.635408801925095</v>
      </c>
      <c r="J168">
        <v>265.43233642528003</v>
      </c>
      <c r="K168">
        <v>84.256165681319501</v>
      </c>
      <c r="L168">
        <v>5.8235312175731799</v>
      </c>
      <c r="M168">
        <v>77.185594494279698</v>
      </c>
      <c r="N168">
        <v>6.6778531816864604</v>
      </c>
      <c r="O168">
        <v>59.0439877062107</v>
      </c>
      <c r="P168">
        <v>63.633297345436901</v>
      </c>
      <c r="Q168">
        <v>0</v>
      </c>
      <c r="R168">
        <v>1</v>
      </c>
      <c r="S168">
        <v>22.985397512168699</v>
      </c>
    </row>
    <row r="169" spans="1:19" x14ac:dyDescent="0.25">
      <c r="A169">
        <v>23</v>
      </c>
      <c r="B169">
        <v>170</v>
      </c>
      <c r="C169">
        <v>64</v>
      </c>
      <c r="D169" t="s">
        <v>22</v>
      </c>
      <c r="E169">
        <v>14.174752685509899</v>
      </c>
      <c r="F169">
        <v>18</v>
      </c>
      <c r="G169">
        <v>2</v>
      </c>
      <c r="H169">
        <v>72.884449196309106</v>
      </c>
      <c r="I169">
        <v>80.7765599694239</v>
      </c>
      <c r="J169">
        <v>289.35245208752599</v>
      </c>
      <c r="K169">
        <v>80.352562659823406</v>
      </c>
      <c r="L169">
        <v>5.6685247977161701</v>
      </c>
      <c r="M169">
        <v>76.601483193863999</v>
      </c>
      <c r="N169">
        <v>6.5602931636195896</v>
      </c>
      <c r="O169">
        <v>45.233746289665298</v>
      </c>
      <c r="P169">
        <v>79.735648029705899</v>
      </c>
      <c r="Q169">
        <v>0</v>
      </c>
      <c r="R169">
        <v>1</v>
      </c>
      <c r="S169">
        <v>22.1453287197231</v>
      </c>
    </row>
    <row r="170" spans="1:19" x14ac:dyDescent="0.25">
      <c r="A170">
        <v>18</v>
      </c>
      <c r="B170">
        <v>175</v>
      </c>
      <c r="C170">
        <v>75</v>
      </c>
      <c r="D170" t="s">
        <v>19</v>
      </c>
      <c r="E170">
        <v>8.619287993475</v>
      </c>
      <c r="F170">
        <v>30</v>
      </c>
      <c r="G170">
        <v>2</v>
      </c>
      <c r="H170">
        <v>72.753939267149605</v>
      </c>
      <c r="I170">
        <v>83.951405806398398</v>
      </c>
      <c r="J170">
        <v>283.36537251797898</v>
      </c>
      <c r="K170">
        <v>86.099808565843304</v>
      </c>
      <c r="L170">
        <v>6.0795210761721998</v>
      </c>
      <c r="M170">
        <v>97.269791264838304</v>
      </c>
      <c r="N170">
        <v>6.4304063881624796</v>
      </c>
      <c r="O170">
        <v>59.472261865648598</v>
      </c>
      <c r="P170">
        <v>57.362264256759197</v>
      </c>
      <c r="Q170">
        <v>0</v>
      </c>
      <c r="R170">
        <v>1</v>
      </c>
      <c r="S170">
        <v>24.4897959183673</v>
      </c>
    </row>
    <row r="171" spans="1:19" x14ac:dyDescent="0.25">
      <c r="A171">
        <v>19</v>
      </c>
      <c r="B171">
        <v>188</v>
      </c>
      <c r="C171">
        <v>95</v>
      </c>
      <c r="D171" t="s">
        <v>19</v>
      </c>
      <c r="E171">
        <v>11.5410870696756</v>
      </c>
      <c r="F171">
        <v>7</v>
      </c>
      <c r="G171">
        <v>0</v>
      </c>
      <c r="H171">
        <v>80.2830102506298</v>
      </c>
      <c r="I171">
        <v>84.404014068125093</v>
      </c>
      <c r="J171">
        <v>225.30898558936701</v>
      </c>
      <c r="K171">
        <v>84.238086771578295</v>
      </c>
      <c r="L171">
        <v>5.9714130329395898</v>
      </c>
      <c r="M171">
        <v>90.658044883358201</v>
      </c>
      <c r="N171">
        <v>7.6234347103543598</v>
      </c>
      <c r="O171">
        <v>55.3762491753359</v>
      </c>
      <c r="P171">
        <v>92.257883149261801</v>
      </c>
      <c r="Q171">
        <v>1</v>
      </c>
      <c r="R171">
        <v>0</v>
      </c>
      <c r="S171">
        <v>26.8786781349026</v>
      </c>
    </row>
    <row r="172" spans="1:19" x14ac:dyDescent="0.25">
      <c r="A172">
        <v>24</v>
      </c>
      <c r="B172">
        <v>187</v>
      </c>
      <c r="C172">
        <v>72</v>
      </c>
      <c r="D172" t="s">
        <v>20</v>
      </c>
      <c r="E172">
        <v>11.318649120923901</v>
      </c>
      <c r="F172">
        <v>30</v>
      </c>
      <c r="G172">
        <v>5</v>
      </c>
      <c r="H172">
        <v>71.121161932600799</v>
      </c>
      <c r="I172">
        <v>77.369860171891204</v>
      </c>
      <c r="J172">
        <v>242.55517405251101</v>
      </c>
      <c r="K172">
        <v>87.206963059114798</v>
      </c>
      <c r="L172">
        <v>5.6732281311138602</v>
      </c>
      <c r="M172">
        <v>68.788759451452407</v>
      </c>
      <c r="N172">
        <v>6.5394779609027998</v>
      </c>
      <c r="O172">
        <v>64.2747762950777</v>
      </c>
      <c r="P172">
        <v>74.911792907356997</v>
      </c>
      <c r="Q172">
        <v>1</v>
      </c>
      <c r="R172">
        <v>1</v>
      </c>
      <c r="S172">
        <v>20.589665131974002</v>
      </c>
    </row>
    <row r="173" spans="1:19" x14ac:dyDescent="0.25">
      <c r="A173">
        <v>20</v>
      </c>
      <c r="B173">
        <v>169</v>
      </c>
      <c r="C173">
        <v>71</v>
      </c>
      <c r="D173" t="s">
        <v>19</v>
      </c>
      <c r="E173">
        <v>10.853029291355799</v>
      </c>
      <c r="F173">
        <v>8</v>
      </c>
      <c r="G173">
        <v>2</v>
      </c>
      <c r="H173">
        <v>82.674862835837303</v>
      </c>
      <c r="I173">
        <v>81.351429451076697</v>
      </c>
      <c r="J173">
        <v>260.94694373884698</v>
      </c>
      <c r="K173">
        <v>87.516277502945897</v>
      </c>
      <c r="L173">
        <v>5.6217091532510697</v>
      </c>
      <c r="M173">
        <v>98.660158513509899</v>
      </c>
      <c r="N173">
        <v>7.35589342229291</v>
      </c>
      <c r="O173">
        <v>58.357740121422502</v>
      </c>
      <c r="P173">
        <v>92.822959936431403</v>
      </c>
      <c r="Q173">
        <v>1</v>
      </c>
      <c r="R173">
        <v>0</v>
      </c>
      <c r="S173">
        <v>24.85907356185</v>
      </c>
    </row>
    <row r="174" spans="1:19" x14ac:dyDescent="0.25">
      <c r="A174">
        <v>20</v>
      </c>
      <c r="B174">
        <v>175</v>
      </c>
      <c r="C174">
        <v>77</v>
      </c>
      <c r="D174" t="s">
        <v>21</v>
      </c>
      <c r="E174">
        <v>13.0323300372246</v>
      </c>
      <c r="F174">
        <v>17</v>
      </c>
      <c r="G174">
        <v>4</v>
      </c>
      <c r="H174">
        <v>81.777716898004698</v>
      </c>
      <c r="I174">
        <v>83.396730421278505</v>
      </c>
      <c r="J174">
        <v>261.963600692353</v>
      </c>
      <c r="K174">
        <v>66.607388717734196</v>
      </c>
      <c r="L174">
        <v>5.9281223684148499</v>
      </c>
      <c r="M174">
        <v>79.749144500691202</v>
      </c>
      <c r="N174">
        <v>6.50968858839747</v>
      </c>
      <c r="O174">
        <v>71.771713820970206</v>
      </c>
      <c r="P174">
        <v>71.710180829500302</v>
      </c>
      <c r="Q174">
        <v>1</v>
      </c>
      <c r="R174">
        <v>1</v>
      </c>
      <c r="S174">
        <v>25.1428571428571</v>
      </c>
    </row>
    <row r="175" spans="1:19" x14ac:dyDescent="0.25">
      <c r="A175">
        <v>21</v>
      </c>
      <c r="B175">
        <v>168</v>
      </c>
      <c r="C175">
        <v>62</v>
      </c>
      <c r="D175" t="s">
        <v>20</v>
      </c>
      <c r="E175">
        <v>7.7692799865842801</v>
      </c>
      <c r="F175">
        <v>8</v>
      </c>
      <c r="G175">
        <v>2</v>
      </c>
      <c r="H175">
        <v>75.878285385589194</v>
      </c>
      <c r="I175">
        <v>78.663227424174295</v>
      </c>
      <c r="J175">
        <v>256.69488755521502</v>
      </c>
      <c r="K175">
        <v>77.253348280647998</v>
      </c>
      <c r="L175">
        <v>5.7233322051450104</v>
      </c>
      <c r="M175">
        <v>87.559480182777506</v>
      </c>
      <c r="N175">
        <v>6.4440629510523602</v>
      </c>
      <c r="O175">
        <v>51.529565147539998</v>
      </c>
      <c r="P175">
        <v>66.492539704291204</v>
      </c>
      <c r="Q175">
        <v>1</v>
      </c>
      <c r="R175">
        <v>1</v>
      </c>
      <c r="S175">
        <v>21.9671201814059</v>
      </c>
    </row>
    <row r="176" spans="1:19" x14ac:dyDescent="0.25">
      <c r="A176">
        <v>21</v>
      </c>
      <c r="B176">
        <v>168</v>
      </c>
      <c r="C176">
        <v>79</v>
      </c>
      <c r="D176" t="s">
        <v>22</v>
      </c>
      <c r="E176">
        <v>7.6519104274256904</v>
      </c>
      <c r="F176">
        <v>30</v>
      </c>
      <c r="G176">
        <v>0</v>
      </c>
      <c r="H176">
        <v>86.738163389415405</v>
      </c>
      <c r="I176">
        <v>73.095399377329002</v>
      </c>
      <c r="J176">
        <v>246.43941598126401</v>
      </c>
      <c r="K176">
        <v>87.305349780752394</v>
      </c>
      <c r="L176">
        <v>6.2524908374078896</v>
      </c>
      <c r="M176">
        <v>76.1393569317501</v>
      </c>
      <c r="N176">
        <v>7.6543432648306</v>
      </c>
      <c r="O176">
        <v>62.589681872358099</v>
      </c>
      <c r="P176">
        <v>67.124300317085996</v>
      </c>
      <c r="Q176">
        <v>0</v>
      </c>
      <c r="R176">
        <v>1</v>
      </c>
      <c r="S176">
        <v>27.9903628117913</v>
      </c>
    </row>
    <row r="177" spans="1:19" x14ac:dyDescent="0.25">
      <c r="A177">
        <v>22</v>
      </c>
      <c r="B177">
        <v>185</v>
      </c>
      <c r="C177">
        <v>70</v>
      </c>
      <c r="D177" t="s">
        <v>19</v>
      </c>
      <c r="E177">
        <v>7.4338187624040097</v>
      </c>
      <c r="F177">
        <v>38</v>
      </c>
      <c r="G177">
        <v>2</v>
      </c>
      <c r="H177">
        <v>77.504852267711101</v>
      </c>
      <c r="I177">
        <v>89.495345016246901</v>
      </c>
      <c r="J177">
        <v>247.20905226806201</v>
      </c>
      <c r="K177">
        <v>87.748859368266494</v>
      </c>
      <c r="L177">
        <v>5.7013146183029102</v>
      </c>
      <c r="M177">
        <v>86.492295763904906</v>
      </c>
      <c r="N177">
        <v>8.1276329592959407</v>
      </c>
      <c r="O177">
        <v>36.555919780428198</v>
      </c>
      <c r="P177">
        <v>83.765095771244503</v>
      </c>
      <c r="Q177">
        <v>1</v>
      </c>
      <c r="R177">
        <v>0</v>
      </c>
      <c r="S177">
        <v>20.452885317750098</v>
      </c>
    </row>
    <row r="178" spans="1:19" x14ac:dyDescent="0.25">
      <c r="A178">
        <v>21</v>
      </c>
      <c r="B178">
        <v>175</v>
      </c>
      <c r="C178">
        <v>88</v>
      </c>
      <c r="D178" t="s">
        <v>21</v>
      </c>
      <c r="E178">
        <v>9.9849996891628106</v>
      </c>
      <c r="F178">
        <v>21</v>
      </c>
      <c r="G178">
        <v>1</v>
      </c>
      <c r="H178">
        <v>72.903282201382098</v>
      </c>
      <c r="I178">
        <v>75.320454488199502</v>
      </c>
      <c r="J178">
        <v>255.22399073843101</v>
      </c>
      <c r="K178">
        <v>79.845158683486105</v>
      </c>
      <c r="L178">
        <v>5.1640203786908696</v>
      </c>
      <c r="M178">
        <v>68.890637724417999</v>
      </c>
      <c r="N178">
        <v>7.2501134808544698</v>
      </c>
      <c r="O178">
        <v>54.310488787881397</v>
      </c>
      <c r="P178">
        <v>62.287429910731099</v>
      </c>
      <c r="Q178">
        <v>1</v>
      </c>
      <c r="R178">
        <v>1</v>
      </c>
      <c r="S178">
        <v>28.734693877550999</v>
      </c>
    </row>
    <row r="179" spans="1:19" x14ac:dyDescent="0.25">
      <c r="A179">
        <v>24</v>
      </c>
      <c r="B179">
        <v>185</v>
      </c>
      <c r="C179">
        <v>81</v>
      </c>
      <c r="D179" t="s">
        <v>20</v>
      </c>
      <c r="E179">
        <v>11.2193231329938</v>
      </c>
      <c r="F179">
        <v>13</v>
      </c>
      <c r="G179">
        <v>1</v>
      </c>
      <c r="H179">
        <v>67.340438980932504</v>
      </c>
      <c r="I179">
        <v>80.674693998512097</v>
      </c>
      <c r="J179">
        <v>244.73913603337701</v>
      </c>
      <c r="K179">
        <v>90.322484454889903</v>
      </c>
      <c r="L179">
        <v>6.2474148328731403</v>
      </c>
      <c r="M179">
        <v>78.930113138423707</v>
      </c>
      <c r="N179">
        <v>7.1686206135553201</v>
      </c>
      <c r="O179">
        <v>39.994668133969398</v>
      </c>
      <c r="P179">
        <v>83.100103791469394</v>
      </c>
      <c r="Q179">
        <v>1</v>
      </c>
      <c r="R179">
        <v>0</v>
      </c>
      <c r="S179">
        <v>23.6669101533966</v>
      </c>
    </row>
    <row r="180" spans="1:19" x14ac:dyDescent="0.25">
      <c r="A180">
        <v>23</v>
      </c>
      <c r="B180">
        <v>181</v>
      </c>
      <c r="C180">
        <v>65</v>
      </c>
      <c r="D180" t="s">
        <v>20</v>
      </c>
      <c r="E180">
        <v>6.7651157022477504</v>
      </c>
      <c r="F180">
        <v>36</v>
      </c>
      <c r="G180">
        <v>2</v>
      </c>
      <c r="H180">
        <v>83.736336878868798</v>
      </c>
      <c r="I180">
        <v>80.393889374267104</v>
      </c>
      <c r="J180">
        <v>234.65737411558499</v>
      </c>
      <c r="K180">
        <v>88.733625295210501</v>
      </c>
      <c r="L180">
        <v>6.3222947302222403</v>
      </c>
      <c r="M180">
        <v>90.248185111832896</v>
      </c>
      <c r="N180">
        <v>7.2932931289987604</v>
      </c>
      <c r="O180">
        <v>50.2916288911821</v>
      </c>
      <c r="P180">
        <v>74.618911499499205</v>
      </c>
      <c r="Q180">
        <v>1</v>
      </c>
      <c r="R180">
        <v>0</v>
      </c>
      <c r="S180">
        <v>19.840664204389299</v>
      </c>
    </row>
    <row r="181" spans="1:19" x14ac:dyDescent="0.25">
      <c r="A181">
        <v>24</v>
      </c>
      <c r="B181">
        <v>169</v>
      </c>
      <c r="C181">
        <v>81</v>
      </c>
      <c r="D181" t="s">
        <v>19</v>
      </c>
      <c r="E181">
        <v>12.5327466886105</v>
      </c>
      <c r="F181">
        <v>26</v>
      </c>
      <c r="G181">
        <v>0</v>
      </c>
      <c r="H181">
        <v>79.779675183195394</v>
      </c>
      <c r="I181">
        <v>75.500358467405505</v>
      </c>
      <c r="J181">
        <v>225.99619366966999</v>
      </c>
      <c r="K181">
        <v>78.994978255875296</v>
      </c>
      <c r="L181">
        <v>6.0216616954623801</v>
      </c>
      <c r="M181">
        <v>91.844107610192907</v>
      </c>
      <c r="N181">
        <v>7.4189646557046496</v>
      </c>
      <c r="O181">
        <v>43.4136594273713</v>
      </c>
      <c r="P181">
        <v>82.106646810679507</v>
      </c>
      <c r="Q181">
        <v>1</v>
      </c>
      <c r="R181">
        <v>0</v>
      </c>
      <c r="S181">
        <v>28.360351528307799</v>
      </c>
    </row>
    <row r="182" spans="1:19" x14ac:dyDescent="0.25">
      <c r="A182">
        <v>21</v>
      </c>
      <c r="B182">
        <v>181</v>
      </c>
      <c r="C182">
        <v>73</v>
      </c>
      <c r="D182" t="s">
        <v>19</v>
      </c>
      <c r="E182">
        <v>7.9966471413571396</v>
      </c>
      <c r="F182">
        <v>9</v>
      </c>
      <c r="G182">
        <v>1</v>
      </c>
      <c r="H182">
        <v>64.063166084805204</v>
      </c>
      <c r="I182">
        <v>83.9027845847707</v>
      </c>
      <c r="J182">
        <v>226.068742585465</v>
      </c>
      <c r="K182">
        <v>75.115918047624206</v>
      </c>
      <c r="L182">
        <v>6.07340425624965</v>
      </c>
      <c r="M182">
        <v>95.009483111845697</v>
      </c>
      <c r="N182">
        <v>7.2311748362265904</v>
      </c>
      <c r="O182">
        <v>45.598647401592501</v>
      </c>
      <c r="P182">
        <v>74.398061520999505</v>
      </c>
      <c r="Q182">
        <v>1</v>
      </c>
      <c r="R182">
        <v>0</v>
      </c>
      <c r="S182">
        <v>22.282592106468002</v>
      </c>
    </row>
    <row r="183" spans="1:19" x14ac:dyDescent="0.25">
      <c r="A183">
        <v>22</v>
      </c>
      <c r="B183">
        <v>177</v>
      </c>
      <c r="C183">
        <v>80</v>
      </c>
      <c r="D183" t="s">
        <v>19</v>
      </c>
      <c r="E183">
        <v>11.9387119162968</v>
      </c>
      <c r="F183">
        <v>16</v>
      </c>
      <c r="G183">
        <v>2</v>
      </c>
      <c r="H183">
        <v>79.833843931674394</v>
      </c>
      <c r="I183">
        <v>73.140707120400094</v>
      </c>
      <c r="J183">
        <v>225.260533000788</v>
      </c>
      <c r="K183">
        <v>85.844022010490903</v>
      </c>
      <c r="L183">
        <v>6.1362578608400202</v>
      </c>
      <c r="M183">
        <v>82.087583002099805</v>
      </c>
      <c r="N183">
        <v>8.0307868817214807</v>
      </c>
      <c r="O183">
        <v>58.722247312981501</v>
      </c>
      <c r="P183">
        <v>65.111486713022799</v>
      </c>
      <c r="Q183">
        <v>1</v>
      </c>
      <c r="R183">
        <v>0</v>
      </c>
      <c r="S183">
        <v>25.5354463915222</v>
      </c>
    </row>
    <row r="184" spans="1:19" x14ac:dyDescent="0.25">
      <c r="A184">
        <v>22</v>
      </c>
      <c r="B184">
        <v>173</v>
      </c>
      <c r="C184">
        <v>90</v>
      </c>
      <c r="D184" t="s">
        <v>21</v>
      </c>
      <c r="E184">
        <v>9.7248764478894305</v>
      </c>
      <c r="F184">
        <v>17</v>
      </c>
      <c r="G184">
        <v>1</v>
      </c>
      <c r="H184">
        <v>77.127676229974099</v>
      </c>
      <c r="I184">
        <v>70.400973705904605</v>
      </c>
      <c r="J184">
        <v>264.18149503135402</v>
      </c>
      <c r="K184">
        <v>80.555536682904702</v>
      </c>
      <c r="L184">
        <v>5.8608763064864</v>
      </c>
      <c r="M184">
        <v>78.7791640761331</v>
      </c>
      <c r="N184">
        <v>5.48011807956685</v>
      </c>
      <c r="O184">
        <v>50.865222104192497</v>
      </c>
      <c r="P184">
        <v>66.284114763239003</v>
      </c>
      <c r="Q184">
        <v>1</v>
      </c>
      <c r="R184">
        <v>1</v>
      </c>
      <c r="S184">
        <v>30.071168431955599</v>
      </c>
    </row>
    <row r="185" spans="1:19" x14ac:dyDescent="0.25">
      <c r="A185">
        <v>23</v>
      </c>
      <c r="B185">
        <v>171</v>
      </c>
      <c r="C185">
        <v>84</v>
      </c>
      <c r="D185" t="s">
        <v>22</v>
      </c>
      <c r="E185">
        <v>9.9226761395508998</v>
      </c>
      <c r="F185">
        <v>28</v>
      </c>
      <c r="G185">
        <v>3</v>
      </c>
      <c r="H185">
        <v>84.628538290260394</v>
      </c>
      <c r="I185">
        <v>85.828312641318206</v>
      </c>
      <c r="J185">
        <v>278.30546154567298</v>
      </c>
      <c r="K185">
        <v>83.688467222679293</v>
      </c>
      <c r="L185">
        <v>6.5613527998475103</v>
      </c>
      <c r="M185">
        <v>61.696508975431897</v>
      </c>
      <c r="N185">
        <v>8.4598413842906908</v>
      </c>
      <c r="O185">
        <v>48.535505591833697</v>
      </c>
      <c r="P185">
        <v>81.001454501435006</v>
      </c>
      <c r="Q185">
        <v>1</v>
      </c>
      <c r="R185">
        <v>0</v>
      </c>
      <c r="S185">
        <v>28.726787729557799</v>
      </c>
    </row>
    <row r="186" spans="1:19" x14ac:dyDescent="0.25">
      <c r="A186">
        <v>19</v>
      </c>
      <c r="B186">
        <v>185</v>
      </c>
      <c r="C186">
        <v>95</v>
      </c>
      <c r="D186" t="s">
        <v>20</v>
      </c>
      <c r="E186">
        <v>8.9775096531966803</v>
      </c>
      <c r="F186">
        <v>39</v>
      </c>
      <c r="G186">
        <v>1</v>
      </c>
      <c r="H186">
        <v>83.245187251597997</v>
      </c>
      <c r="I186">
        <v>83.289210842857898</v>
      </c>
      <c r="J186">
        <v>235.81565309246</v>
      </c>
      <c r="K186">
        <v>90.062573252206903</v>
      </c>
      <c r="L186">
        <v>6.4260932473778496</v>
      </c>
      <c r="M186">
        <v>73.444329948780705</v>
      </c>
      <c r="N186">
        <v>7.5660169488472899</v>
      </c>
      <c r="O186">
        <v>52.042536911939699</v>
      </c>
      <c r="P186">
        <v>64.504010354959703</v>
      </c>
      <c r="Q186">
        <v>0</v>
      </c>
      <c r="R186">
        <v>0</v>
      </c>
      <c r="S186">
        <v>27.7574872169466</v>
      </c>
    </row>
    <row r="187" spans="1:19" x14ac:dyDescent="0.25">
      <c r="A187">
        <v>19</v>
      </c>
      <c r="B187">
        <v>164</v>
      </c>
      <c r="C187">
        <v>83</v>
      </c>
      <c r="D187" t="s">
        <v>22</v>
      </c>
      <c r="E187">
        <v>10.4821394258379</v>
      </c>
      <c r="F187">
        <v>13</v>
      </c>
      <c r="G187">
        <v>1</v>
      </c>
      <c r="H187">
        <v>62.283983954021302</v>
      </c>
      <c r="I187">
        <v>76.5527645714686</v>
      </c>
      <c r="J187">
        <v>255.91276458314701</v>
      </c>
      <c r="K187">
        <v>74.417914898335596</v>
      </c>
      <c r="L187">
        <v>5.6421325385519703</v>
      </c>
      <c r="M187">
        <v>62.530086187688397</v>
      </c>
      <c r="N187">
        <v>7.9565980078663898</v>
      </c>
      <c r="O187">
        <v>57.066785712362702</v>
      </c>
      <c r="P187">
        <v>78.598063427804604</v>
      </c>
      <c r="Q187">
        <v>1</v>
      </c>
      <c r="R187">
        <v>1</v>
      </c>
      <c r="S187">
        <v>30.859607376561499</v>
      </c>
    </row>
    <row r="188" spans="1:19" x14ac:dyDescent="0.25">
      <c r="A188">
        <v>24</v>
      </c>
      <c r="B188">
        <v>187</v>
      </c>
      <c r="C188">
        <v>79</v>
      </c>
      <c r="D188" t="s">
        <v>20</v>
      </c>
      <c r="E188">
        <v>5</v>
      </c>
      <c r="F188">
        <v>29</v>
      </c>
      <c r="G188">
        <v>2</v>
      </c>
      <c r="H188">
        <v>65.9582276097061</v>
      </c>
      <c r="I188">
        <v>80.361540106394003</v>
      </c>
      <c r="J188">
        <v>257.76215144612303</v>
      </c>
      <c r="K188">
        <v>88.118947273762302</v>
      </c>
      <c r="L188">
        <v>6.2630742292867598</v>
      </c>
      <c r="M188">
        <v>95.446161049334705</v>
      </c>
      <c r="N188">
        <v>9.0390299436247901</v>
      </c>
      <c r="O188">
        <v>51.839140156568597</v>
      </c>
      <c r="P188">
        <v>63.8132955167723</v>
      </c>
      <c r="Q188">
        <v>1</v>
      </c>
      <c r="R188">
        <v>0</v>
      </c>
      <c r="S188">
        <v>22.5914381309159</v>
      </c>
    </row>
    <row r="189" spans="1:19" x14ac:dyDescent="0.25">
      <c r="A189">
        <v>20</v>
      </c>
      <c r="B189">
        <v>174</v>
      </c>
      <c r="C189">
        <v>71</v>
      </c>
      <c r="D189" t="s">
        <v>21</v>
      </c>
      <c r="E189">
        <v>10.285366673449699</v>
      </c>
      <c r="F189">
        <v>11</v>
      </c>
      <c r="G189">
        <v>0</v>
      </c>
      <c r="H189">
        <v>66.729639991263596</v>
      </c>
      <c r="I189">
        <v>94.013614569846396</v>
      </c>
      <c r="J189">
        <v>224.83696910502499</v>
      </c>
      <c r="K189">
        <v>91.626723517650007</v>
      </c>
      <c r="L189">
        <v>6.4630461140613296</v>
      </c>
      <c r="M189">
        <v>73.607917328588002</v>
      </c>
      <c r="N189">
        <v>7.5730179031103102</v>
      </c>
      <c r="O189">
        <v>53.764865767378801</v>
      </c>
      <c r="P189">
        <v>86.597023319992999</v>
      </c>
      <c r="Q189">
        <v>1</v>
      </c>
      <c r="R189">
        <v>0</v>
      </c>
      <c r="S189">
        <v>23.450918219051299</v>
      </c>
    </row>
    <row r="190" spans="1:19" x14ac:dyDescent="0.25">
      <c r="A190">
        <v>18</v>
      </c>
      <c r="B190">
        <v>174</v>
      </c>
      <c r="C190">
        <v>61</v>
      </c>
      <c r="D190" t="s">
        <v>22</v>
      </c>
      <c r="E190">
        <v>7.5340894949682502</v>
      </c>
      <c r="F190">
        <v>10</v>
      </c>
      <c r="G190">
        <v>1</v>
      </c>
      <c r="H190">
        <v>80.295944589571903</v>
      </c>
      <c r="I190">
        <v>76.601670629659793</v>
      </c>
      <c r="J190">
        <v>195.92565572823699</v>
      </c>
      <c r="K190">
        <v>100</v>
      </c>
      <c r="L190">
        <v>5.9720541506994396</v>
      </c>
      <c r="M190">
        <v>83.781654675618995</v>
      </c>
      <c r="N190">
        <v>8.5322735119998594</v>
      </c>
      <c r="O190">
        <v>48.006444865420598</v>
      </c>
      <c r="P190">
        <v>77.156712341473394</v>
      </c>
      <c r="Q190">
        <v>1</v>
      </c>
      <c r="R190">
        <v>0</v>
      </c>
      <c r="S190">
        <v>20.147971991015901</v>
      </c>
    </row>
    <row r="191" spans="1:19" x14ac:dyDescent="0.25">
      <c r="A191">
        <v>22</v>
      </c>
      <c r="B191">
        <v>174</v>
      </c>
      <c r="C191">
        <v>77</v>
      </c>
      <c r="D191" t="s">
        <v>20</v>
      </c>
      <c r="E191">
        <v>5.8670554005744702</v>
      </c>
      <c r="F191">
        <v>39</v>
      </c>
      <c r="G191">
        <v>0</v>
      </c>
      <c r="H191">
        <v>73.933477281592999</v>
      </c>
      <c r="I191">
        <v>76.653332213949597</v>
      </c>
      <c r="J191">
        <v>267.218613322875</v>
      </c>
      <c r="K191">
        <v>77.828282747393104</v>
      </c>
      <c r="L191">
        <v>6.2462838402265799</v>
      </c>
      <c r="M191">
        <v>85.642971587693907</v>
      </c>
      <c r="N191">
        <v>7.79792068519982</v>
      </c>
      <c r="O191">
        <v>50.6040928906015</v>
      </c>
      <c r="P191">
        <v>83.291102742501707</v>
      </c>
      <c r="Q191">
        <v>0</v>
      </c>
      <c r="R191">
        <v>0</v>
      </c>
      <c r="S191">
        <v>25.4326859558726</v>
      </c>
    </row>
    <row r="192" spans="1:19" x14ac:dyDescent="0.25">
      <c r="A192">
        <v>19</v>
      </c>
      <c r="B192">
        <v>172</v>
      </c>
      <c r="C192">
        <v>68</v>
      </c>
      <c r="D192" t="s">
        <v>21</v>
      </c>
      <c r="E192">
        <v>7.0323317311376297</v>
      </c>
      <c r="F192">
        <v>17</v>
      </c>
      <c r="G192">
        <v>0</v>
      </c>
      <c r="H192">
        <v>82.6165994198237</v>
      </c>
      <c r="I192">
        <v>85.532721353291294</v>
      </c>
      <c r="J192">
        <v>232.03971683161399</v>
      </c>
      <c r="K192">
        <v>98.994015524245796</v>
      </c>
      <c r="L192">
        <v>6.2939454672851198</v>
      </c>
      <c r="M192">
        <v>80.532943145240793</v>
      </c>
      <c r="N192">
        <v>6.7716272029042601</v>
      </c>
      <c r="O192">
        <v>47.008610773600999</v>
      </c>
      <c r="P192">
        <v>68.050739336239104</v>
      </c>
      <c r="Q192">
        <v>1</v>
      </c>
      <c r="R192">
        <v>0</v>
      </c>
      <c r="S192">
        <v>22.985397512168699</v>
      </c>
    </row>
    <row r="193" spans="1:19" x14ac:dyDescent="0.25">
      <c r="A193">
        <v>19</v>
      </c>
      <c r="B193">
        <v>170</v>
      </c>
      <c r="C193">
        <v>76</v>
      </c>
      <c r="D193" t="s">
        <v>20</v>
      </c>
      <c r="E193">
        <v>7.7160098737526299</v>
      </c>
      <c r="F193">
        <v>32</v>
      </c>
      <c r="G193">
        <v>3</v>
      </c>
      <c r="H193">
        <v>87.639116390691399</v>
      </c>
      <c r="I193">
        <v>75.485342991974406</v>
      </c>
      <c r="J193">
        <v>248.06476442998499</v>
      </c>
      <c r="K193">
        <v>95.071158121945004</v>
      </c>
      <c r="L193">
        <v>5.9683947084452704</v>
      </c>
      <c r="M193">
        <v>67.832898030127495</v>
      </c>
      <c r="N193">
        <v>8.7665758157285207</v>
      </c>
      <c r="O193">
        <v>45.786247670393401</v>
      </c>
      <c r="P193">
        <v>92.165746020251504</v>
      </c>
      <c r="Q193">
        <v>1</v>
      </c>
      <c r="R193">
        <v>0</v>
      </c>
      <c r="S193">
        <v>26.2975778546712</v>
      </c>
    </row>
    <row r="194" spans="1:19" x14ac:dyDescent="0.25">
      <c r="A194">
        <v>19</v>
      </c>
      <c r="B194">
        <v>174</v>
      </c>
      <c r="C194">
        <v>63</v>
      </c>
      <c r="D194" t="s">
        <v>19</v>
      </c>
      <c r="E194">
        <v>12.058878696027501</v>
      </c>
      <c r="F194">
        <v>37</v>
      </c>
      <c r="G194">
        <v>3</v>
      </c>
      <c r="H194">
        <v>72.865548521805295</v>
      </c>
      <c r="I194">
        <v>76.600883976751604</v>
      </c>
      <c r="J194">
        <v>256.67211852443802</v>
      </c>
      <c r="K194">
        <v>80.751601885289702</v>
      </c>
      <c r="L194">
        <v>5.6205587823794199</v>
      </c>
      <c r="M194">
        <v>76.561724080126098</v>
      </c>
      <c r="N194">
        <v>8.0039512803569597</v>
      </c>
      <c r="O194">
        <v>46.7364852018571</v>
      </c>
      <c r="P194">
        <v>91.266795824385298</v>
      </c>
      <c r="Q194">
        <v>0</v>
      </c>
      <c r="R194">
        <v>1</v>
      </c>
      <c r="S194">
        <v>20.808561236623</v>
      </c>
    </row>
    <row r="195" spans="1:19" x14ac:dyDescent="0.25">
      <c r="A195">
        <v>21</v>
      </c>
      <c r="B195">
        <v>186</v>
      </c>
      <c r="C195">
        <v>86</v>
      </c>
      <c r="D195" t="s">
        <v>19</v>
      </c>
      <c r="E195">
        <v>8.2298176505623299</v>
      </c>
      <c r="F195">
        <v>22</v>
      </c>
      <c r="G195">
        <v>2</v>
      </c>
      <c r="H195">
        <v>80.867987283013093</v>
      </c>
      <c r="I195">
        <v>84.907317557567694</v>
      </c>
      <c r="J195">
        <v>232.20067048951401</v>
      </c>
      <c r="K195">
        <v>84.614399386378906</v>
      </c>
      <c r="L195">
        <v>6.0847842942852104</v>
      </c>
      <c r="M195">
        <v>90.097944399320497</v>
      </c>
      <c r="N195">
        <v>7.33474035607329</v>
      </c>
      <c r="O195">
        <v>52.032189172410398</v>
      </c>
      <c r="P195">
        <v>73.836094408567007</v>
      </c>
      <c r="Q195">
        <v>1</v>
      </c>
      <c r="R195">
        <v>0</v>
      </c>
      <c r="S195">
        <v>24.858365128916599</v>
      </c>
    </row>
    <row r="196" spans="1:19" x14ac:dyDescent="0.25">
      <c r="A196">
        <v>24</v>
      </c>
      <c r="B196">
        <v>183</v>
      </c>
      <c r="C196">
        <v>80</v>
      </c>
      <c r="D196" t="s">
        <v>21</v>
      </c>
      <c r="E196">
        <v>9.3860652421907407</v>
      </c>
      <c r="F196">
        <v>12</v>
      </c>
      <c r="G196">
        <v>4</v>
      </c>
      <c r="H196">
        <v>73.020446284415002</v>
      </c>
      <c r="I196">
        <v>76.392753875390099</v>
      </c>
      <c r="J196">
        <v>244.76872049050601</v>
      </c>
      <c r="K196">
        <v>83.816068082658603</v>
      </c>
      <c r="L196">
        <v>5.8420073559850696</v>
      </c>
      <c r="M196">
        <v>75.237823946031099</v>
      </c>
      <c r="N196">
        <v>7.0148699788100402</v>
      </c>
      <c r="O196">
        <v>43.910861668820303</v>
      </c>
      <c r="P196">
        <v>70.734554413258195</v>
      </c>
      <c r="Q196">
        <v>0</v>
      </c>
      <c r="R196">
        <v>0</v>
      </c>
      <c r="S196">
        <v>23.888440980620398</v>
      </c>
    </row>
    <row r="197" spans="1:19" x14ac:dyDescent="0.25">
      <c r="A197">
        <v>23</v>
      </c>
      <c r="B197">
        <v>177</v>
      </c>
      <c r="C197">
        <v>83</v>
      </c>
      <c r="D197" t="s">
        <v>21</v>
      </c>
      <c r="E197">
        <v>5.78194115653013</v>
      </c>
      <c r="F197">
        <v>37</v>
      </c>
      <c r="G197">
        <v>4</v>
      </c>
      <c r="H197">
        <v>68.567012577710798</v>
      </c>
      <c r="I197">
        <v>60.9281585936168</v>
      </c>
      <c r="J197">
        <v>278.89379919195898</v>
      </c>
      <c r="K197">
        <v>76.097455190294696</v>
      </c>
      <c r="L197">
        <v>5.9864724628774901</v>
      </c>
      <c r="M197">
        <v>73.922066647891</v>
      </c>
      <c r="N197">
        <v>7.6173766714389997</v>
      </c>
      <c r="O197">
        <v>68.8852347814654</v>
      </c>
      <c r="P197">
        <v>72.873588394442706</v>
      </c>
      <c r="Q197">
        <v>0</v>
      </c>
      <c r="R197">
        <v>1</v>
      </c>
      <c r="S197">
        <v>26.493025631204301</v>
      </c>
    </row>
    <row r="198" spans="1:19" x14ac:dyDescent="0.25">
      <c r="A198">
        <v>19</v>
      </c>
      <c r="B198">
        <v>179</v>
      </c>
      <c r="C198">
        <v>76</v>
      </c>
      <c r="D198" t="s">
        <v>20</v>
      </c>
      <c r="E198">
        <v>8.9489460152776203</v>
      </c>
      <c r="F198">
        <v>15</v>
      </c>
      <c r="G198">
        <v>2</v>
      </c>
      <c r="H198">
        <v>82.969411727736698</v>
      </c>
      <c r="I198">
        <v>91.590260563155994</v>
      </c>
      <c r="J198">
        <v>260.50632126035498</v>
      </c>
      <c r="K198">
        <v>78.456162794285305</v>
      </c>
      <c r="L198">
        <v>6.22608864822047</v>
      </c>
      <c r="M198">
        <v>70.505604940815402</v>
      </c>
      <c r="N198">
        <v>8.5331378435956395</v>
      </c>
      <c r="O198">
        <v>56.450473214046397</v>
      </c>
      <c r="P198">
        <v>81.733708687121705</v>
      </c>
      <c r="Q198">
        <v>1</v>
      </c>
      <c r="R198">
        <v>0</v>
      </c>
      <c r="S198">
        <v>23.719609250647601</v>
      </c>
    </row>
    <row r="199" spans="1:19" x14ac:dyDescent="0.25">
      <c r="A199">
        <v>22</v>
      </c>
      <c r="B199">
        <v>172</v>
      </c>
      <c r="C199">
        <v>72</v>
      </c>
      <c r="D199" t="s">
        <v>19</v>
      </c>
      <c r="E199">
        <v>5</v>
      </c>
      <c r="F199">
        <v>14</v>
      </c>
      <c r="G199">
        <v>0</v>
      </c>
      <c r="H199">
        <v>76.198002558710002</v>
      </c>
      <c r="I199">
        <v>69.718430277289102</v>
      </c>
      <c r="J199">
        <v>260.67656165480798</v>
      </c>
      <c r="K199">
        <v>85.748098647879999</v>
      </c>
      <c r="L199">
        <v>5.4756122237782101</v>
      </c>
      <c r="M199">
        <v>56.643401486185397</v>
      </c>
      <c r="N199">
        <v>6.0478686622232303</v>
      </c>
      <c r="O199">
        <v>58.683100880572503</v>
      </c>
      <c r="P199">
        <v>84.027276901142201</v>
      </c>
      <c r="Q199">
        <v>1</v>
      </c>
      <c r="R199">
        <v>1</v>
      </c>
      <c r="S199">
        <v>24.3374797187669</v>
      </c>
    </row>
    <row r="200" spans="1:19" x14ac:dyDescent="0.25">
      <c r="A200">
        <v>18</v>
      </c>
      <c r="B200">
        <v>169</v>
      </c>
      <c r="C200">
        <v>63</v>
      </c>
      <c r="D200" t="s">
        <v>19</v>
      </c>
      <c r="E200">
        <v>11.8758857781018</v>
      </c>
      <c r="F200">
        <v>24</v>
      </c>
      <c r="G200">
        <v>3</v>
      </c>
      <c r="H200">
        <v>74.688820385695607</v>
      </c>
      <c r="I200">
        <v>75.622933003911299</v>
      </c>
      <c r="J200">
        <v>219.00101564678201</v>
      </c>
      <c r="K200">
        <v>87.202170990032997</v>
      </c>
      <c r="L200">
        <v>5.8862776599763</v>
      </c>
      <c r="M200">
        <v>74.494790173781993</v>
      </c>
      <c r="N200">
        <v>7.8268117202917598</v>
      </c>
      <c r="O200">
        <v>42.102183116488099</v>
      </c>
      <c r="P200">
        <v>65.4611382027133</v>
      </c>
      <c r="Q200">
        <v>0</v>
      </c>
      <c r="R200">
        <v>0</v>
      </c>
      <c r="S200">
        <v>22.058051188683802</v>
      </c>
    </row>
    <row r="201" spans="1:19" x14ac:dyDescent="0.25">
      <c r="A201">
        <v>18</v>
      </c>
      <c r="B201">
        <v>178</v>
      </c>
      <c r="C201">
        <v>91</v>
      </c>
      <c r="D201" t="s">
        <v>19</v>
      </c>
      <c r="E201">
        <v>10.0618965003429</v>
      </c>
      <c r="F201">
        <v>29</v>
      </c>
      <c r="G201">
        <v>1</v>
      </c>
      <c r="H201">
        <v>74.575698898717704</v>
      </c>
      <c r="I201">
        <v>78.865500878914204</v>
      </c>
      <c r="J201">
        <v>244.36521358464299</v>
      </c>
      <c r="K201">
        <v>83.675326150200206</v>
      </c>
      <c r="L201">
        <v>6.0852071400142398</v>
      </c>
      <c r="M201">
        <v>76.771606274812896</v>
      </c>
      <c r="N201">
        <v>7.9238017138926402</v>
      </c>
      <c r="O201">
        <v>45.865095346215902</v>
      </c>
      <c r="P201">
        <v>94.417243332077803</v>
      </c>
      <c r="Q201">
        <v>1</v>
      </c>
      <c r="R201">
        <v>0</v>
      </c>
      <c r="S201">
        <v>28.721121070571801</v>
      </c>
    </row>
    <row r="202" spans="1:19" x14ac:dyDescent="0.25">
      <c r="A202">
        <v>22</v>
      </c>
      <c r="B202">
        <v>190</v>
      </c>
      <c r="C202">
        <v>65</v>
      </c>
      <c r="D202" t="s">
        <v>20</v>
      </c>
      <c r="E202">
        <v>9.4887499878057806</v>
      </c>
      <c r="F202">
        <v>9</v>
      </c>
      <c r="G202">
        <v>2</v>
      </c>
      <c r="H202">
        <v>62.133717183734198</v>
      </c>
      <c r="I202">
        <v>67.346192580809003</v>
      </c>
      <c r="J202">
        <v>286.34340772066099</v>
      </c>
      <c r="K202">
        <v>69.337186499712701</v>
      </c>
      <c r="L202">
        <v>6.1100340693539996</v>
      </c>
      <c r="M202">
        <v>83.139965250630496</v>
      </c>
      <c r="N202">
        <v>5.9182259099600198</v>
      </c>
      <c r="O202">
        <v>58.401633350158697</v>
      </c>
      <c r="P202">
        <v>76.890164619992902</v>
      </c>
      <c r="Q202">
        <v>0</v>
      </c>
      <c r="R202">
        <v>1</v>
      </c>
      <c r="S202">
        <v>18.005540166204899</v>
      </c>
    </row>
    <row r="203" spans="1:19" x14ac:dyDescent="0.25">
      <c r="A203">
        <v>21</v>
      </c>
      <c r="B203">
        <v>179</v>
      </c>
      <c r="C203">
        <v>96</v>
      </c>
      <c r="D203" t="s">
        <v>19</v>
      </c>
      <c r="E203">
        <v>8.0715237000167406</v>
      </c>
      <c r="F203">
        <v>24</v>
      </c>
      <c r="G203">
        <v>0</v>
      </c>
      <c r="H203">
        <v>67.605422351114399</v>
      </c>
      <c r="I203">
        <v>70.663665756672799</v>
      </c>
      <c r="J203">
        <v>296.70644272374602</v>
      </c>
      <c r="K203">
        <v>78.7263331320584</v>
      </c>
      <c r="L203">
        <v>5.8230660167404897</v>
      </c>
      <c r="M203">
        <v>75.997623175629897</v>
      </c>
      <c r="N203">
        <v>6.4658670642126603</v>
      </c>
      <c r="O203">
        <v>65.970290368610605</v>
      </c>
      <c r="P203">
        <v>64.602701654567596</v>
      </c>
      <c r="Q203">
        <v>1</v>
      </c>
      <c r="R203">
        <v>1</v>
      </c>
      <c r="S203">
        <v>29.961611685028501</v>
      </c>
    </row>
    <row r="204" spans="1:19" x14ac:dyDescent="0.25">
      <c r="A204">
        <v>21</v>
      </c>
      <c r="B204">
        <v>184</v>
      </c>
      <c r="C204">
        <v>81</v>
      </c>
      <c r="D204" t="s">
        <v>19</v>
      </c>
      <c r="E204">
        <v>11.321311067396801</v>
      </c>
      <c r="F204">
        <v>22</v>
      </c>
      <c r="G204">
        <v>1</v>
      </c>
      <c r="H204">
        <v>76.392547081787001</v>
      </c>
      <c r="I204">
        <v>67.191788518120802</v>
      </c>
      <c r="J204">
        <v>297.26331728664798</v>
      </c>
      <c r="K204">
        <v>90.488227202236303</v>
      </c>
      <c r="L204">
        <v>6.1848158521921501</v>
      </c>
      <c r="M204">
        <v>67.7547580982326</v>
      </c>
      <c r="N204">
        <v>6.72611064545913</v>
      </c>
      <c r="O204">
        <v>59.678498002999298</v>
      </c>
      <c r="P204">
        <v>67.650580627596298</v>
      </c>
      <c r="Q204">
        <v>1</v>
      </c>
      <c r="R204">
        <v>1</v>
      </c>
      <c r="S204">
        <v>23.924858223062301</v>
      </c>
    </row>
    <row r="205" spans="1:19" x14ac:dyDescent="0.25">
      <c r="A205">
        <v>23</v>
      </c>
      <c r="B205">
        <v>177</v>
      </c>
      <c r="C205">
        <v>74</v>
      </c>
      <c r="D205" t="s">
        <v>21</v>
      </c>
      <c r="E205">
        <v>12.1179872903255</v>
      </c>
      <c r="F205">
        <v>38</v>
      </c>
      <c r="G205">
        <v>1</v>
      </c>
      <c r="H205">
        <v>73.670103740426995</v>
      </c>
      <c r="I205">
        <v>74.208870382076697</v>
      </c>
      <c r="J205">
        <v>230.09440430669201</v>
      </c>
      <c r="K205">
        <v>88.170000461049696</v>
      </c>
      <c r="L205">
        <v>5.9879833792035804</v>
      </c>
      <c r="M205">
        <v>82.589078093222298</v>
      </c>
      <c r="N205">
        <v>8.6505487516877508</v>
      </c>
      <c r="O205">
        <v>33.962098149971503</v>
      </c>
      <c r="P205">
        <v>86.680806263309194</v>
      </c>
      <c r="Q205">
        <v>0</v>
      </c>
      <c r="R205">
        <v>0</v>
      </c>
      <c r="S205">
        <v>23.620287912157998</v>
      </c>
    </row>
    <row r="206" spans="1:19" x14ac:dyDescent="0.25">
      <c r="A206">
        <v>24</v>
      </c>
      <c r="B206">
        <v>171</v>
      </c>
      <c r="C206">
        <v>45</v>
      </c>
      <c r="D206" t="s">
        <v>20</v>
      </c>
      <c r="E206">
        <v>10.1527218374468</v>
      </c>
      <c r="F206">
        <v>37</v>
      </c>
      <c r="G206">
        <v>1</v>
      </c>
      <c r="H206">
        <v>76.929168710313704</v>
      </c>
      <c r="I206">
        <v>69.491483962758196</v>
      </c>
      <c r="J206">
        <v>241.89519413191499</v>
      </c>
      <c r="K206">
        <v>74.356275735768506</v>
      </c>
      <c r="L206">
        <v>5.7818286764589999</v>
      </c>
      <c r="M206">
        <v>68.399351972808404</v>
      </c>
      <c r="N206">
        <v>6.3128480300795804</v>
      </c>
      <c r="O206">
        <v>49.2605570847983</v>
      </c>
      <c r="P206">
        <v>74.377425151489604</v>
      </c>
      <c r="Q206">
        <v>1</v>
      </c>
      <c r="R206">
        <v>1</v>
      </c>
      <c r="S206">
        <v>15.389350569405901</v>
      </c>
    </row>
    <row r="207" spans="1:19" x14ac:dyDescent="0.25">
      <c r="A207">
        <v>22</v>
      </c>
      <c r="B207">
        <v>186</v>
      </c>
      <c r="C207">
        <v>70</v>
      </c>
      <c r="D207" t="s">
        <v>22</v>
      </c>
      <c r="E207">
        <v>8.2600054045914995</v>
      </c>
      <c r="F207">
        <v>15</v>
      </c>
      <c r="G207">
        <v>1</v>
      </c>
      <c r="H207">
        <v>62.302532373306299</v>
      </c>
      <c r="I207">
        <v>82.811364851085301</v>
      </c>
      <c r="J207">
        <v>253.25586987124899</v>
      </c>
      <c r="K207">
        <v>75.945570344812893</v>
      </c>
      <c r="L207">
        <v>5.6874632510857301</v>
      </c>
      <c r="M207">
        <v>77.240687935894996</v>
      </c>
      <c r="N207">
        <v>7.0564809954315697</v>
      </c>
      <c r="O207">
        <v>63.123910834563503</v>
      </c>
      <c r="P207">
        <v>69.527699352500505</v>
      </c>
      <c r="Q207">
        <v>0</v>
      </c>
      <c r="R207">
        <v>1</v>
      </c>
      <c r="S207">
        <v>20.2335530119088</v>
      </c>
    </row>
    <row r="208" spans="1:19" x14ac:dyDescent="0.25">
      <c r="A208">
        <v>23</v>
      </c>
      <c r="B208">
        <v>178</v>
      </c>
      <c r="C208">
        <v>74</v>
      </c>
      <c r="D208" t="s">
        <v>20</v>
      </c>
      <c r="E208">
        <v>6.1068112857879404</v>
      </c>
      <c r="F208">
        <v>5</v>
      </c>
      <c r="G208">
        <v>1</v>
      </c>
      <c r="H208">
        <v>72.870799985572205</v>
      </c>
      <c r="I208">
        <v>72.159547839005995</v>
      </c>
      <c r="J208">
        <v>261.53350532037803</v>
      </c>
      <c r="K208">
        <v>78.279857661689604</v>
      </c>
      <c r="L208">
        <v>5.5107496609584503</v>
      </c>
      <c r="M208">
        <v>61.707073180042798</v>
      </c>
      <c r="N208">
        <v>6.9497260967213199</v>
      </c>
      <c r="O208">
        <v>60.314577069247697</v>
      </c>
      <c r="P208">
        <v>60.499573069858101</v>
      </c>
      <c r="Q208">
        <v>0</v>
      </c>
      <c r="R208">
        <v>1</v>
      </c>
      <c r="S208">
        <v>23.355636914530901</v>
      </c>
    </row>
    <row r="209" spans="1:19" x14ac:dyDescent="0.25">
      <c r="A209">
        <v>20</v>
      </c>
      <c r="B209">
        <v>181</v>
      </c>
      <c r="C209">
        <v>71</v>
      </c>
      <c r="D209" t="s">
        <v>21</v>
      </c>
      <c r="E209">
        <v>5</v>
      </c>
      <c r="F209">
        <v>10</v>
      </c>
      <c r="G209">
        <v>2</v>
      </c>
      <c r="H209">
        <v>75.273897719874299</v>
      </c>
      <c r="I209">
        <v>84.727102241669698</v>
      </c>
      <c r="J209">
        <v>231.05472389496899</v>
      </c>
      <c r="K209">
        <v>90.734826869875604</v>
      </c>
      <c r="L209">
        <v>6.3886129366458997</v>
      </c>
      <c r="M209">
        <v>93.861304680750393</v>
      </c>
      <c r="N209">
        <v>7.1487346884700997</v>
      </c>
      <c r="O209">
        <v>57.297071833595801</v>
      </c>
      <c r="P209">
        <v>81.171591505790403</v>
      </c>
      <c r="Q209">
        <v>1</v>
      </c>
      <c r="R209">
        <v>0</v>
      </c>
      <c r="S209">
        <v>21.672110130948301</v>
      </c>
    </row>
    <row r="210" spans="1:19" x14ac:dyDescent="0.25">
      <c r="A210">
        <v>18</v>
      </c>
      <c r="B210">
        <v>173</v>
      </c>
      <c r="C210">
        <v>53</v>
      </c>
      <c r="D210" t="s">
        <v>19</v>
      </c>
      <c r="E210">
        <v>9.7570230581506507</v>
      </c>
      <c r="F210">
        <v>33</v>
      </c>
      <c r="G210">
        <v>0</v>
      </c>
      <c r="H210">
        <v>73.691999468503298</v>
      </c>
      <c r="I210">
        <v>76.172413471502907</v>
      </c>
      <c r="J210">
        <v>244.31135846998399</v>
      </c>
      <c r="K210">
        <v>79.263902838076604</v>
      </c>
      <c r="L210">
        <v>6.1088653146366703</v>
      </c>
      <c r="M210">
        <v>83.194333461749196</v>
      </c>
      <c r="N210">
        <v>7.0801016762992397</v>
      </c>
      <c r="O210">
        <v>69.872656478429903</v>
      </c>
      <c r="P210">
        <v>74.774910623924299</v>
      </c>
      <c r="Q210">
        <v>0</v>
      </c>
      <c r="R210">
        <v>1</v>
      </c>
      <c r="S210">
        <v>17.708576965484902</v>
      </c>
    </row>
    <row r="211" spans="1:19" x14ac:dyDescent="0.25">
      <c r="A211">
        <v>22</v>
      </c>
      <c r="B211">
        <v>185</v>
      </c>
      <c r="C211">
        <v>64</v>
      </c>
      <c r="D211" t="s">
        <v>22</v>
      </c>
      <c r="E211">
        <v>9.0679637696170001</v>
      </c>
      <c r="F211">
        <v>33</v>
      </c>
      <c r="G211">
        <v>2</v>
      </c>
      <c r="H211">
        <v>70.291319210062497</v>
      </c>
      <c r="I211">
        <v>90.509754034539597</v>
      </c>
      <c r="J211">
        <v>246.462637428222</v>
      </c>
      <c r="K211">
        <v>85.3512035070477</v>
      </c>
      <c r="L211">
        <v>6.2921295717639296</v>
      </c>
      <c r="M211">
        <v>91.358536140536302</v>
      </c>
      <c r="N211">
        <v>7.7359948546666697</v>
      </c>
      <c r="O211">
        <v>43.256512415180403</v>
      </c>
      <c r="P211">
        <v>80.075543002012296</v>
      </c>
      <c r="Q211">
        <v>0</v>
      </c>
      <c r="R211">
        <v>0</v>
      </c>
      <c r="S211">
        <v>18.699780861943001</v>
      </c>
    </row>
    <row r="212" spans="1:19" x14ac:dyDescent="0.25">
      <c r="A212">
        <v>22</v>
      </c>
      <c r="B212">
        <v>167</v>
      </c>
      <c r="C212">
        <v>66</v>
      </c>
      <c r="D212" t="s">
        <v>21</v>
      </c>
      <c r="E212">
        <v>6.7160699210497201</v>
      </c>
      <c r="F212">
        <v>20</v>
      </c>
      <c r="G212">
        <v>2</v>
      </c>
      <c r="H212">
        <v>75.929580814382504</v>
      </c>
      <c r="I212">
        <v>79.374293585510003</v>
      </c>
      <c r="J212">
        <v>215.06072602167399</v>
      </c>
      <c r="K212">
        <v>92.587107131059895</v>
      </c>
      <c r="L212">
        <v>6.6496675259355902</v>
      </c>
      <c r="M212">
        <v>79.621598876181594</v>
      </c>
      <c r="N212">
        <v>7.6963540686110798</v>
      </c>
      <c r="O212">
        <v>62.550276076515701</v>
      </c>
      <c r="P212">
        <v>68.944705618083802</v>
      </c>
      <c r="Q212">
        <v>1</v>
      </c>
      <c r="R212">
        <v>0</v>
      </c>
      <c r="S212">
        <v>23.6652443615762</v>
      </c>
    </row>
    <row r="213" spans="1:19" x14ac:dyDescent="0.25">
      <c r="A213">
        <v>22</v>
      </c>
      <c r="B213">
        <v>174</v>
      </c>
      <c r="C213">
        <v>75</v>
      </c>
      <c r="D213" t="s">
        <v>19</v>
      </c>
      <c r="E213">
        <v>8.5650081830535694</v>
      </c>
      <c r="F213">
        <v>30</v>
      </c>
      <c r="G213">
        <v>2</v>
      </c>
      <c r="H213">
        <v>66.426389555061107</v>
      </c>
      <c r="I213">
        <v>78.283321078812193</v>
      </c>
      <c r="J213">
        <v>295.52187032601898</v>
      </c>
      <c r="K213">
        <v>77.675888259437201</v>
      </c>
      <c r="L213">
        <v>5.4804664606685103</v>
      </c>
      <c r="M213">
        <v>69.299248150224599</v>
      </c>
      <c r="N213">
        <v>8.1334929537172709</v>
      </c>
      <c r="O213">
        <v>72.751339426220895</v>
      </c>
      <c r="P213">
        <v>53.799611782240802</v>
      </c>
      <c r="Q213">
        <v>1</v>
      </c>
      <c r="R213">
        <v>1</v>
      </c>
      <c r="S213">
        <v>24.772096710265501</v>
      </c>
    </row>
    <row r="214" spans="1:19" x14ac:dyDescent="0.25">
      <c r="A214">
        <v>21</v>
      </c>
      <c r="B214">
        <v>184</v>
      </c>
      <c r="C214">
        <v>80</v>
      </c>
      <c r="D214" t="s">
        <v>20</v>
      </c>
      <c r="E214">
        <v>17.670755452303201</v>
      </c>
      <c r="F214">
        <v>14</v>
      </c>
      <c r="G214">
        <v>1</v>
      </c>
      <c r="H214">
        <v>63.117846441338898</v>
      </c>
      <c r="I214">
        <v>80.345379592873599</v>
      </c>
      <c r="J214">
        <v>248.012408369713</v>
      </c>
      <c r="K214">
        <v>70.911538827106696</v>
      </c>
      <c r="L214">
        <v>5.9964891749118499</v>
      </c>
      <c r="M214">
        <v>94.230898172347906</v>
      </c>
      <c r="N214">
        <v>7.1063496544890903</v>
      </c>
      <c r="O214">
        <v>58.188040763757598</v>
      </c>
      <c r="P214">
        <v>83.346977207875597</v>
      </c>
      <c r="Q214">
        <v>1</v>
      </c>
      <c r="R214">
        <v>1</v>
      </c>
      <c r="S214">
        <v>23.629489603024499</v>
      </c>
    </row>
    <row r="215" spans="1:19" x14ac:dyDescent="0.25">
      <c r="A215">
        <v>24</v>
      </c>
      <c r="B215">
        <v>177</v>
      </c>
      <c r="C215">
        <v>67</v>
      </c>
      <c r="D215" t="s">
        <v>21</v>
      </c>
      <c r="E215">
        <v>10.183081781702599</v>
      </c>
      <c r="F215">
        <v>25</v>
      </c>
      <c r="G215">
        <v>3</v>
      </c>
      <c r="H215">
        <v>65.268282808847701</v>
      </c>
      <c r="I215">
        <v>83.683316458467104</v>
      </c>
      <c r="J215">
        <v>228.83292592108401</v>
      </c>
      <c r="K215">
        <v>80.453919002736797</v>
      </c>
      <c r="L215">
        <v>5.7190601320944303</v>
      </c>
      <c r="M215">
        <v>75.799712221312404</v>
      </c>
      <c r="N215">
        <v>6.0130962655558502</v>
      </c>
      <c r="O215">
        <v>76.044753770563204</v>
      </c>
      <c r="P215">
        <v>75.303475716596196</v>
      </c>
      <c r="Q215">
        <v>1</v>
      </c>
      <c r="R215">
        <v>1</v>
      </c>
      <c r="S215">
        <v>21.385936352899801</v>
      </c>
    </row>
    <row r="216" spans="1:19" x14ac:dyDescent="0.25">
      <c r="A216">
        <v>20</v>
      </c>
      <c r="B216">
        <v>168</v>
      </c>
      <c r="C216">
        <v>77</v>
      </c>
      <c r="D216" t="s">
        <v>22</v>
      </c>
      <c r="E216">
        <v>13.8642791742844</v>
      </c>
      <c r="F216">
        <v>35</v>
      </c>
      <c r="G216">
        <v>0</v>
      </c>
      <c r="H216">
        <v>69.706980939621204</v>
      </c>
      <c r="I216">
        <v>75.1685302402758</v>
      </c>
      <c r="J216">
        <v>237.11562366430101</v>
      </c>
      <c r="K216">
        <v>81.413023358407699</v>
      </c>
      <c r="L216">
        <v>5.4805996745509997</v>
      </c>
      <c r="M216">
        <v>96.316898585908007</v>
      </c>
      <c r="N216">
        <v>7.9887171118345304</v>
      </c>
      <c r="O216">
        <v>56.029506585903199</v>
      </c>
      <c r="P216">
        <v>59.768511566072803</v>
      </c>
      <c r="Q216">
        <v>1</v>
      </c>
      <c r="R216">
        <v>1</v>
      </c>
      <c r="S216">
        <v>27.281746031746</v>
      </c>
    </row>
    <row r="217" spans="1:19" x14ac:dyDescent="0.25">
      <c r="A217">
        <v>18</v>
      </c>
      <c r="B217">
        <v>185</v>
      </c>
      <c r="C217">
        <v>67</v>
      </c>
      <c r="D217" t="s">
        <v>21</v>
      </c>
      <c r="E217">
        <v>8.4591294444635601</v>
      </c>
      <c r="F217">
        <v>25</v>
      </c>
      <c r="G217">
        <v>3</v>
      </c>
      <c r="H217">
        <v>75.503843310333906</v>
      </c>
      <c r="I217">
        <v>78.931520689645595</v>
      </c>
      <c r="J217">
        <v>251.25282008327301</v>
      </c>
      <c r="K217">
        <v>69.621798016045105</v>
      </c>
      <c r="L217">
        <v>6.4646981044395799</v>
      </c>
      <c r="M217">
        <v>78.686013397779703</v>
      </c>
      <c r="N217">
        <v>5.9922168239014599</v>
      </c>
      <c r="O217">
        <v>73.856810032460203</v>
      </c>
      <c r="P217">
        <v>63.020656523620602</v>
      </c>
      <c r="Q217">
        <v>0</v>
      </c>
      <c r="R217">
        <v>1</v>
      </c>
      <c r="S217">
        <v>19.576333089846599</v>
      </c>
    </row>
    <row r="218" spans="1:19" x14ac:dyDescent="0.25">
      <c r="A218">
        <v>23</v>
      </c>
      <c r="B218">
        <v>184</v>
      </c>
      <c r="C218">
        <v>59</v>
      </c>
      <c r="D218" t="s">
        <v>19</v>
      </c>
      <c r="E218">
        <v>7.7073377601788602</v>
      </c>
      <c r="F218">
        <v>20</v>
      </c>
      <c r="G218">
        <v>1</v>
      </c>
      <c r="H218">
        <v>75.729727466072504</v>
      </c>
      <c r="I218">
        <v>82.082675368701302</v>
      </c>
      <c r="J218">
        <v>255.453048470532</v>
      </c>
      <c r="K218">
        <v>91.204488913633597</v>
      </c>
      <c r="L218">
        <v>5.8893968476471104</v>
      </c>
      <c r="M218">
        <v>77.297316889718601</v>
      </c>
      <c r="N218">
        <v>7.1857206074625299</v>
      </c>
      <c r="O218">
        <v>42.071387115280999</v>
      </c>
      <c r="P218">
        <v>65.9408635247555</v>
      </c>
      <c r="Q218">
        <v>1</v>
      </c>
      <c r="R218">
        <v>0</v>
      </c>
      <c r="S218">
        <v>17.426748582230601</v>
      </c>
    </row>
    <row r="219" spans="1:19" x14ac:dyDescent="0.25">
      <c r="A219">
        <v>22</v>
      </c>
      <c r="B219">
        <v>181</v>
      </c>
      <c r="C219">
        <v>74</v>
      </c>
      <c r="D219" t="s">
        <v>20</v>
      </c>
      <c r="E219">
        <v>10.184767180394401</v>
      </c>
      <c r="F219">
        <v>10</v>
      </c>
      <c r="G219">
        <v>0</v>
      </c>
      <c r="H219">
        <v>79.988885458817705</v>
      </c>
      <c r="I219">
        <v>66.442961959393301</v>
      </c>
      <c r="J219">
        <v>281.54064256184199</v>
      </c>
      <c r="K219">
        <v>76.027761654197604</v>
      </c>
      <c r="L219">
        <v>5.36254739345208</v>
      </c>
      <c r="M219">
        <v>66.506018959514293</v>
      </c>
      <c r="N219">
        <v>7.4912125036931396</v>
      </c>
      <c r="O219">
        <v>53.511822944131197</v>
      </c>
      <c r="P219">
        <v>70.422415384237496</v>
      </c>
      <c r="Q219">
        <v>0</v>
      </c>
      <c r="R219">
        <v>1</v>
      </c>
      <c r="S219">
        <v>22.587833094227801</v>
      </c>
    </row>
    <row r="220" spans="1:19" x14ac:dyDescent="0.25">
      <c r="A220">
        <v>22</v>
      </c>
      <c r="B220">
        <v>180</v>
      </c>
      <c r="C220">
        <v>62</v>
      </c>
      <c r="D220" t="s">
        <v>21</v>
      </c>
      <c r="E220">
        <v>10.0656054986674</v>
      </c>
      <c r="F220">
        <v>37</v>
      </c>
      <c r="G220">
        <v>3</v>
      </c>
      <c r="H220">
        <v>67.675395825630204</v>
      </c>
      <c r="I220">
        <v>87.379544854993298</v>
      </c>
      <c r="J220">
        <v>256.76986192591801</v>
      </c>
      <c r="K220">
        <v>89.194467039192503</v>
      </c>
      <c r="L220">
        <v>5.4771082206351203</v>
      </c>
      <c r="M220">
        <v>90.585879962670006</v>
      </c>
      <c r="N220">
        <v>7.9907475912596002</v>
      </c>
      <c r="O220">
        <v>49.146713783893802</v>
      </c>
      <c r="P220">
        <v>65.030841361907093</v>
      </c>
      <c r="Q220">
        <v>1</v>
      </c>
      <c r="R220">
        <v>1</v>
      </c>
      <c r="S220">
        <v>19.1358024691358</v>
      </c>
    </row>
    <row r="221" spans="1:19" x14ac:dyDescent="0.25">
      <c r="A221">
        <v>23</v>
      </c>
      <c r="B221">
        <v>170</v>
      </c>
      <c r="C221">
        <v>77</v>
      </c>
      <c r="D221" t="s">
        <v>19</v>
      </c>
      <c r="E221">
        <v>10.4056396864293</v>
      </c>
      <c r="F221">
        <v>26</v>
      </c>
      <c r="G221">
        <v>0</v>
      </c>
      <c r="H221">
        <v>76.162515067320001</v>
      </c>
      <c r="I221">
        <v>86.913724465305705</v>
      </c>
      <c r="J221">
        <v>222.81198419480299</v>
      </c>
      <c r="K221">
        <v>91.181278332500895</v>
      </c>
      <c r="L221">
        <v>5.9352083531285098</v>
      </c>
      <c r="M221">
        <v>88.977393069635596</v>
      </c>
      <c r="N221">
        <v>7.4452568151725904</v>
      </c>
      <c r="O221">
        <v>36.926098371801402</v>
      </c>
      <c r="P221">
        <v>94.873396541444194</v>
      </c>
      <c r="Q221">
        <v>1</v>
      </c>
      <c r="R221">
        <v>0</v>
      </c>
      <c r="S221">
        <v>26.6435986159169</v>
      </c>
    </row>
    <row r="222" spans="1:19" x14ac:dyDescent="0.25">
      <c r="A222">
        <v>22</v>
      </c>
      <c r="B222">
        <v>189</v>
      </c>
      <c r="C222">
        <v>59</v>
      </c>
      <c r="D222" t="s">
        <v>22</v>
      </c>
      <c r="E222">
        <v>11.636256376359301</v>
      </c>
      <c r="F222">
        <v>13</v>
      </c>
      <c r="G222">
        <v>0</v>
      </c>
      <c r="H222">
        <v>72.218545154013796</v>
      </c>
      <c r="I222">
        <v>85.027163294504405</v>
      </c>
      <c r="J222">
        <v>238.14371900947501</v>
      </c>
      <c r="K222">
        <v>73.386582372287805</v>
      </c>
      <c r="L222">
        <v>5.9894979027400703</v>
      </c>
      <c r="M222">
        <v>84.372177985727205</v>
      </c>
      <c r="N222">
        <v>8.0648036402545298</v>
      </c>
      <c r="O222">
        <v>40.195413167816099</v>
      </c>
      <c r="P222">
        <v>83.747941436696905</v>
      </c>
      <c r="Q222">
        <v>1</v>
      </c>
      <c r="R222">
        <v>0</v>
      </c>
      <c r="S222">
        <v>16.5168948237731</v>
      </c>
    </row>
    <row r="223" spans="1:19" x14ac:dyDescent="0.25">
      <c r="A223">
        <v>24</v>
      </c>
      <c r="B223">
        <v>178</v>
      </c>
      <c r="C223">
        <v>92</v>
      </c>
      <c r="D223" t="s">
        <v>22</v>
      </c>
      <c r="E223">
        <v>9.2975066681173804</v>
      </c>
      <c r="F223">
        <v>31</v>
      </c>
      <c r="G223">
        <v>2</v>
      </c>
      <c r="H223">
        <v>71.913417667272796</v>
      </c>
      <c r="I223">
        <v>81.882622849651099</v>
      </c>
      <c r="J223">
        <v>250.865394078001</v>
      </c>
      <c r="K223">
        <v>70.212504651279303</v>
      </c>
      <c r="L223">
        <v>5.3227538896528399</v>
      </c>
      <c r="M223">
        <v>75.535294934651702</v>
      </c>
      <c r="N223">
        <v>6.9372430204709499</v>
      </c>
      <c r="O223">
        <v>55.870044247977098</v>
      </c>
      <c r="P223">
        <v>64.828402727467207</v>
      </c>
      <c r="Q223">
        <v>0</v>
      </c>
      <c r="R223">
        <v>1</v>
      </c>
      <c r="S223">
        <v>29.0367377856331</v>
      </c>
    </row>
    <row r="224" spans="1:19" x14ac:dyDescent="0.25">
      <c r="A224">
        <v>23</v>
      </c>
      <c r="B224">
        <v>193</v>
      </c>
      <c r="C224">
        <v>58</v>
      </c>
      <c r="D224" t="s">
        <v>20</v>
      </c>
      <c r="E224">
        <v>8.7193511521691995</v>
      </c>
      <c r="F224">
        <v>23</v>
      </c>
      <c r="G224">
        <v>1</v>
      </c>
      <c r="H224">
        <v>77.260899732123505</v>
      </c>
      <c r="I224">
        <v>91.527872633953706</v>
      </c>
      <c r="J224">
        <v>204.661172626927</v>
      </c>
      <c r="K224">
        <v>80.761918227238894</v>
      </c>
      <c r="L224">
        <v>6.0864287456860202</v>
      </c>
      <c r="M224">
        <v>86.534413940667804</v>
      </c>
      <c r="N224">
        <v>7.9301783871309102</v>
      </c>
      <c r="O224">
        <v>42.352255964019001</v>
      </c>
      <c r="P224">
        <v>80.697153621448706</v>
      </c>
      <c r="Q224">
        <v>1</v>
      </c>
      <c r="R224">
        <v>0</v>
      </c>
      <c r="S224">
        <v>15.570887809068701</v>
      </c>
    </row>
    <row r="225" spans="1:19" x14ac:dyDescent="0.25">
      <c r="A225">
        <v>19</v>
      </c>
      <c r="B225">
        <v>169</v>
      </c>
      <c r="C225">
        <v>70</v>
      </c>
      <c r="D225" t="s">
        <v>20</v>
      </c>
      <c r="E225">
        <v>10.641768089485501</v>
      </c>
      <c r="F225">
        <v>31</v>
      </c>
      <c r="G225">
        <v>3</v>
      </c>
      <c r="H225">
        <v>84.040374636801204</v>
      </c>
      <c r="I225">
        <v>73.0187761709076</v>
      </c>
      <c r="J225">
        <v>237.46233844912999</v>
      </c>
      <c r="K225">
        <v>85.451193634323403</v>
      </c>
      <c r="L225">
        <v>6.0278389148365203</v>
      </c>
      <c r="M225">
        <v>57.095413022155199</v>
      </c>
      <c r="N225">
        <v>7.5215253726240299</v>
      </c>
      <c r="O225">
        <v>46.967041981943801</v>
      </c>
      <c r="P225">
        <v>77.279737873401999</v>
      </c>
      <c r="Q225">
        <v>0</v>
      </c>
      <c r="R225">
        <v>1</v>
      </c>
      <c r="S225">
        <v>24.508945765204299</v>
      </c>
    </row>
    <row r="226" spans="1:19" x14ac:dyDescent="0.25">
      <c r="A226">
        <v>22</v>
      </c>
      <c r="B226">
        <v>160</v>
      </c>
      <c r="C226">
        <v>67</v>
      </c>
      <c r="D226" t="s">
        <v>20</v>
      </c>
      <c r="E226">
        <v>10.522221574481099</v>
      </c>
      <c r="F226">
        <v>26</v>
      </c>
      <c r="G226">
        <v>3</v>
      </c>
      <c r="H226">
        <v>70.008923475855298</v>
      </c>
      <c r="I226">
        <v>80.543331007744101</v>
      </c>
      <c r="J226">
        <v>254.89471859407399</v>
      </c>
      <c r="K226">
        <v>75.4394668082344</v>
      </c>
      <c r="L226">
        <v>5.7651082966159999</v>
      </c>
      <c r="M226">
        <v>75.805361770141801</v>
      </c>
      <c r="N226">
        <v>6.7340094468892104</v>
      </c>
      <c r="O226">
        <v>68.843368777137201</v>
      </c>
      <c r="P226">
        <v>54.128286542932798</v>
      </c>
      <c r="Q226">
        <v>0</v>
      </c>
      <c r="R226">
        <v>1</v>
      </c>
      <c r="S226">
        <v>26.171874999999901</v>
      </c>
    </row>
    <row r="227" spans="1:19" x14ac:dyDescent="0.25">
      <c r="A227">
        <v>18</v>
      </c>
      <c r="B227">
        <v>177</v>
      </c>
      <c r="C227">
        <v>85</v>
      </c>
      <c r="D227" t="s">
        <v>21</v>
      </c>
      <c r="E227">
        <v>6.3416090311081001</v>
      </c>
      <c r="F227">
        <v>15</v>
      </c>
      <c r="G227">
        <v>0</v>
      </c>
      <c r="H227">
        <v>73.324993584519206</v>
      </c>
      <c r="I227">
        <v>85.000508903409099</v>
      </c>
      <c r="J227">
        <v>241.12166795173599</v>
      </c>
      <c r="K227">
        <v>89.242527923528698</v>
      </c>
      <c r="L227">
        <v>6.0109365675062598</v>
      </c>
      <c r="M227">
        <v>93.256377517607106</v>
      </c>
      <c r="N227">
        <v>7.6549458492272304</v>
      </c>
      <c r="O227">
        <v>37.799481446416202</v>
      </c>
      <c r="P227">
        <v>74.5069144209819</v>
      </c>
      <c r="Q227">
        <v>0</v>
      </c>
      <c r="R227">
        <v>0</v>
      </c>
      <c r="S227">
        <v>27.131411790992299</v>
      </c>
    </row>
    <row r="228" spans="1:19" x14ac:dyDescent="0.25">
      <c r="A228">
        <v>19</v>
      </c>
      <c r="B228">
        <v>183</v>
      </c>
      <c r="C228">
        <v>105</v>
      </c>
      <c r="D228" t="s">
        <v>20</v>
      </c>
      <c r="E228">
        <v>9.7814408933950592</v>
      </c>
      <c r="F228">
        <v>21</v>
      </c>
      <c r="G228">
        <v>3</v>
      </c>
      <c r="H228">
        <v>73.661698804649504</v>
      </c>
      <c r="I228">
        <v>77.0005199966416</v>
      </c>
      <c r="J228">
        <v>271.91674448902802</v>
      </c>
      <c r="K228">
        <v>82.173804864640104</v>
      </c>
      <c r="L228">
        <v>5.7959757065947102</v>
      </c>
      <c r="M228">
        <v>73.962955778274207</v>
      </c>
      <c r="N228">
        <v>6.9581806448093602</v>
      </c>
      <c r="O228">
        <v>64.484009631003303</v>
      </c>
      <c r="P228">
        <v>73.969808525265094</v>
      </c>
      <c r="Q228">
        <v>0</v>
      </c>
      <c r="R228">
        <v>1</v>
      </c>
      <c r="S228">
        <v>31.3535787870644</v>
      </c>
    </row>
    <row r="229" spans="1:19" x14ac:dyDescent="0.25">
      <c r="A229">
        <v>22</v>
      </c>
      <c r="B229">
        <v>171</v>
      </c>
      <c r="C229">
        <v>59</v>
      </c>
      <c r="D229" t="s">
        <v>19</v>
      </c>
      <c r="E229">
        <v>9.6020374161081605</v>
      </c>
      <c r="F229">
        <v>13</v>
      </c>
      <c r="G229">
        <v>0</v>
      </c>
      <c r="H229">
        <v>77.193686214807897</v>
      </c>
      <c r="I229">
        <v>83.944945726717904</v>
      </c>
      <c r="J229">
        <v>212.30043726489001</v>
      </c>
      <c r="K229">
        <v>80.319073379479804</v>
      </c>
      <c r="L229">
        <v>6.3733277576953498</v>
      </c>
      <c r="M229">
        <v>76.030693026665105</v>
      </c>
      <c r="N229">
        <v>7.4254495273279399</v>
      </c>
      <c r="O229">
        <v>39.722789513865798</v>
      </c>
      <c r="P229">
        <v>77.988931646181499</v>
      </c>
      <c r="Q229">
        <v>1</v>
      </c>
      <c r="R229">
        <v>0</v>
      </c>
      <c r="S229">
        <v>20.1771485243322</v>
      </c>
    </row>
    <row r="230" spans="1:19" x14ac:dyDescent="0.25">
      <c r="A230">
        <v>19</v>
      </c>
      <c r="B230">
        <v>180</v>
      </c>
      <c r="C230">
        <v>86</v>
      </c>
      <c r="D230" t="s">
        <v>22</v>
      </c>
      <c r="E230">
        <v>5.9016839523588898</v>
      </c>
      <c r="F230">
        <v>6</v>
      </c>
      <c r="G230">
        <v>0</v>
      </c>
      <c r="H230">
        <v>78.1716433891213</v>
      </c>
      <c r="I230">
        <v>85.191730265217899</v>
      </c>
      <c r="J230">
        <v>249.14612908547801</v>
      </c>
      <c r="K230">
        <v>88.076672336962403</v>
      </c>
      <c r="L230">
        <v>6.1001232290127696</v>
      </c>
      <c r="M230">
        <v>89.4085659709678</v>
      </c>
      <c r="N230">
        <v>7.52489436837398</v>
      </c>
      <c r="O230">
        <v>55.686287772914199</v>
      </c>
      <c r="P230">
        <v>68.793505245154194</v>
      </c>
      <c r="Q230">
        <v>0</v>
      </c>
      <c r="R230">
        <v>0</v>
      </c>
      <c r="S230">
        <v>26.543209876543202</v>
      </c>
    </row>
    <row r="231" spans="1:19" x14ac:dyDescent="0.25">
      <c r="A231">
        <v>18</v>
      </c>
      <c r="B231">
        <v>180</v>
      </c>
      <c r="C231">
        <v>74</v>
      </c>
      <c r="D231" t="s">
        <v>20</v>
      </c>
      <c r="E231">
        <v>9.4773903402922492</v>
      </c>
      <c r="F231">
        <v>9</v>
      </c>
      <c r="G231">
        <v>1</v>
      </c>
      <c r="H231">
        <v>84.580966196744299</v>
      </c>
      <c r="I231">
        <v>75.165480664709904</v>
      </c>
      <c r="J231">
        <v>254.72279413174601</v>
      </c>
      <c r="K231">
        <v>79.025165338783196</v>
      </c>
      <c r="L231">
        <v>5.2405495649575702</v>
      </c>
      <c r="M231">
        <v>66.980079263098503</v>
      </c>
      <c r="N231">
        <v>6.5857606952396699</v>
      </c>
      <c r="O231">
        <v>65.309990504869305</v>
      </c>
      <c r="P231">
        <v>62.543485540634897</v>
      </c>
      <c r="Q231">
        <v>0</v>
      </c>
      <c r="R231">
        <v>1</v>
      </c>
      <c r="S231">
        <v>22.839506172839499</v>
      </c>
    </row>
    <row r="232" spans="1:19" x14ac:dyDescent="0.25">
      <c r="A232">
        <v>19</v>
      </c>
      <c r="B232">
        <v>179</v>
      </c>
      <c r="C232">
        <v>66</v>
      </c>
      <c r="D232" t="s">
        <v>19</v>
      </c>
      <c r="E232">
        <v>12.8636598555911</v>
      </c>
      <c r="F232">
        <v>5</v>
      </c>
      <c r="G232">
        <v>3</v>
      </c>
      <c r="H232">
        <v>76.544080731854805</v>
      </c>
      <c r="I232">
        <v>81.121909393303099</v>
      </c>
      <c r="J232">
        <v>241.99572616176999</v>
      </c>
      <c r="K232">
        <v>90.797391203491898</v>
      </c>
      <c r="L232">
        <v>5.8002005041334197</v>
      </c>
      <c r="M232">
        <v>82.383767289108405</v>
      </c>
      <c r="N232">
        <v>7.86214627455103</v>
      </c>
      <c r="O232">
        <v>46.148665467891099</v>
      </c>
      <c r="P232">
        <v>74.956583255443306</v>
      </c>
      <c r="Q232">
        <v>1</v>
      </c>
      <c r="R232">
        <v>0</v>
      </c>
      <c r="S232">
        <v>20.598608033457101</v>
      </c>
    </row>
    <row r="233" spans="1:19" x14ac:dyDescent="0.25">
      <c r="A233">
        <v>20</v>
      </c>
      <c r="B233">
        <v>175</v>
      </c>
      <c r="C233">
        <v>58</v>
      </c>
      <c r="D233" t="s">
        <v>20</v>
      </c>
      <c r="E233">
        <v>10.8540083154128</v>
      </c>
      <c r="F233">
        <v>33</v>
      </c>
      <c r="G233">
        <v>3</v>
      </c>
      <c r="H233">
        <v>76.540523481719504</v>
      </c>
      <c r="I233">
        <v>75.990037491328593</v>
      </c>
      <c r="J233">
        <v>258.21344383953999</v>
      </c>
      <c r="K233">
        <v>83.351402478622305</v>
      </c>
      <c r="L233">
        <v>5.4833374356016602</v>
      </c>
      <c r="M233">
        <v>68.095852445343496</v>
      </c>
      <c r="N233">
        <v>7.0855107808215596</v>
      </c>
      <c r="O233">
        <v>63.469544487717997</v>
      </c>
      <c r="P233">
        <v>66.873224864540603</v>
      </c>
      <c r="Q233">
        <v>1</v>
      </c>
      <c r="R233">
        <v>1</v>
      </c>
      <c r="S233">
        <v>18.938775510204</v>
      </c>
    </row>
    <row r="234" spans="1:19" x14ac:dyDescent="0.25">
      <c r="A234">
        <v>22</v>
      </c>
      <c r="B234">
        <v>167</v>
      </c>
      <c r="C234">
        <v>71</v>
      </c>
      <c r="D234" t="s">
        <v>20</v>
      </c>
      <c r="E234">
        <v>9.5858429816981996</v>
      </c>
      <c r="F234">
        <v>9</v>
      </c>
      <c r="G234">
        <v>2</v>
      </c>
      <c r="H234">
        <v>75.329694952870099</v>
      </c>
      <c r="I234">
        <v>65.440925432467594</v>
      </c>
      <c r="J234">
        <v>244.56091537576901</v>
      </c>
      <c r="K234">
        <v>80.572843663480199</v>
      </c>
      <c r="L234">
        <v>5.4510118100198497</v>
      </c>
      <c r="M234">
        <v>68.390109189914895</v>
      </c>
      <c r="N234">
        <v>7.0570342822902603</v>
      </c>
      <c r="O234">
        <v>63.324602425124603</v>
      </c>
      <c r="P234">
        <v>71.790932860475294</v>
      </c>
      <c r="Q234">
        <v>0</v>
      </c>
      <c r="R234">
        <v>1</v>
      </c>
      <c r="S234">
        <v>25.458065904119898</v>
      </c>
    </row>
    <row r="235" spans="1:19" x14ac:dyDescent="0.25">
      <c r="A235">
        <v>20</v>
      </c>
      <c r="B235">
        <v>168</v>
      </c>
      <c r="C235">
        <v>86</v>
      </c>
      <c r="D235" t="s">
        <v>21</v>
      </c>
      <c r="E235">
        <v>9.3128287793623699</v>
      </c>
      <c r="F235">
        <v>10</v>
      </c>
      <c r="G235">
        <v>3</v>
      </c>
      <c r="H235">
        <v>67.7592468556808</v>
      </c>
      <c r="I235">
        <v>83.665049875036999</v>
      </c>
      <c r="J235">
        <v>273.75213760311402</v>
      </c>
      <c r="K235">
        <v>84.3506160478032</v>
      </c>
      <c r="L235">
        <v>6.0877209431266301</v>
      </c>
      <c r="M235">
        <v>83.943012083562195</v>
      </c>
      <c r="N235">
        <v>6.7497658390022197</v>
      </c>
      <c r="O235">
        <v>65.095837585440705</v>
      </c>
      <c r="P235">
        <v>70.525493328643705</v>
      </c>
      <c r="Q235">
        <v>0</v>
      </c>
      <c r="R235">
        <v>1</v>
      </c>
      <c r="S235">
        <v>30.470521541950099</v>
      </c>
    </row>
    <row r="236" spans="1:19" x14ac:dyDescent="0.25">
      <c r="A236">
        <v>22</v>
      </c>
      <c r="B236">
        <v>169</v>
      </c>
      <c r="C236">
        <v>65</v>
      </c>
      <c r="D236" t="s">
        <v>21</v>
      </c>
      <c r="E236">
        <v>7.52573096736488</v>
      </c>
      <c r="F236">
        <v>14</v>
      </c>
      <c r="G236">
        <v>1</v>
      </c>
      <c r="H236">
        <v>72.229035703608403</v>
      </c>
      <c r="I236">
        <v>77.301605884888204</v>
      </c>
      <c r="J236">
        <v>215.51627080839901</v>
      </c>
      <c r="K236">
        <v>89.422077827069202</v>
      </c>
      <c r="L236">
        <v>5.8087830217361498</v>
      </c>
      <c r="M236">
        <v>82.125218147590601</v>
      </c>
      <c r="N236">
        <v>8.1063165698929698</v>
      </c>
      <c r="O236">
        <v>55.748373197021401</v>
      </c>
      <c r="P236">
        <v>58.102807890535999</v>
      </c>
      <c r="Q236">
        <v>1</v>
      </c>
      <c r="R236">
        <v>1</v>
      </c>
      <c r="S236">
        <v>22.758306781975399</v>
      </c>
    </row>
    <row r="237" spans="1:19" x14ac:dyDescent="0.25">
      <c r="A237">
        <v>22</v>
      </c>
      <c r="B237">
        <v>174</v>
      </c>
      <c r="C237">
        <v>45</v>
      </c>
      <c r="D237" t="s">
        <v>21</v>
      </c>
      <c r="E237">
        <v>11.375041655706299</v>
      </c>
      <c r="F237">
        <v>22</v>
      </c>
      <c r="G237">
        <v>2</v>
      </c>
      <c r="H237">
        <v>72.266299918246403</v>
      </c>
      <c r="I237">
        <v>70.348262766588107</v>
      </c>
      <c r="J237">
        <v>246.58881321803099</v>
      </c>
      <c r="K237">
        <v>87.663680818352603</v>
      </c>
      <c r="L237">
        <v>5.6779997513208098</v>
      </c>
      <c r="M237">
        <v>69.067585325261803</v>
      </c>
      <c r="N237">
        <v>6.9982069235306499</v>
      </c>
      <c r="O237">
        <v>79.311898476979806</v>
      </c>
      <c r="P237">
        <v>74.024344583440495</v>
      </c>
      <c r="Q237">
        <v>0</v>
      </c>
      <c r="R237">
        <v>1</v>
      </c>
      <c r="S237">
        <v>14.863258026159301</v>
      </c>
    </row>
    <row r="238" spans="1:19" x14ac:dyDescent="0.25">
      <c r="A238">
        <v>20</v>
      </c>
      <c r="B238">
        <v>182</v>
      </c>
      <c r="C238">
        <v>68</v>
      </c>
      <c r="D238" t="s">
        <v>19</v>
      </c>
      <c r="E238">
        <v>7.4490438769089602</v>
      </c>
      <c r="F238">
        <v>7</v>
      </c>
      <c r="G238">
        <v>1</v>
      </c>
      <c r="H238">
        <v>83.391678382110499</v>
      </c>
      <c r="I238">
        <v>73.435517942592497</v>
      </c>
      <c r="J238">
        <v>194.85460002352099</v>
      </c>
      <c r="K238">
        <v>91.976021636915405</v>
      </c>
      <c r="L238">
        <v>6.4392397396693299</v>
      </c>
      <c r="M238">
        <v>83.921073229357503</v>
      </c>
      <c r="N238">
        <v>8.4947462588818095</v>
      </c>
      <c r="O238">
        <v>52.1998460851486</v>
      </c>
      <c r="P238">
        <v>78.501706342384196</v>
      </c>
      <c r="Q238">
        <v>1</v>
      </c>
      <c r="R238">
        <v>0</v>
      </c>
      <c r="S238">
        <v>20.528921627822701</v>
      </c>
    </row>
    <row r="239" spans="1:19" x14ac:dyDescent="0.25">
      <c r="A239">
        <v>18</v>
      </c>
      <c r="B239">
        <v>182</v>
      </c>
      <c r="C239">
        <v>87</v>
      </c>
      <c r="D239" t="s">
        <v>19</v>
      </c>
      <c r="E239">
        <v>17.978884552665502</v>
      </c>
      <c r="F239">
        <v>6</v>
      </c>
      <c r="G239">
        <v>2</v>
      </c>
      <c r="H239">
        <v>72.110783382025701</v>
      </c>
      <c r="I239">
        <v>78.0054954074416</v>
      </c>
      <c r="J239">
        <v>275.42543845487</v>
      </c>
      <c r="K239">
        <v>77.413282328987407</v>
      </c>
      <c r="L239">
        <v>5.8387841578054802</v>
      </c>
      <c r="M239">
        <v>62.266140782683102</v>
      </c>
      <c r="N239">
        <v>6.70090271221527</v>
      </c>
      <c r="O239">
        <v>61.840451025035698</v>
      </c>
      <c r="P239">
        <v>60.884654230614103</v>
      </c>
      <c r="Q239">
        <v>0</v>
      </c>
      <c r="R239">
        <v>1</v>
      </c>
      <c r="S239">
        <v>26.264943847361401</v>
      </c>
    </row>
    <row r="240" spans="1:19" x14ac:dyDescent="0.25">
      <c r="A240">
        <v>21</v>
      </c>
      <c r="B240">
        <v>172</v>
      </c>
      <c r="C240">
        <v>82</v>
      </c>
      <c r="D240" t="s">
        <v>22</v>
      </c>
      <c r="E240">
        <v>9.80705825547955</v>
      </c>
      <c r="F240">
        <v>21</v>
      </c>
      <c r="G240">
        <v>2</v>
      </c>
      <c r="H240">
        <v>65.7803976647441</v>
      </c>
      <c r="I240">
        <v>70.453507004998102</v>
      </c>
      <c r="J240">
        <v>264.80172319562803</v>
      </c>
      <c r="K240">
        <v>73.308568204392202</v>
      </c>
      <c r="L240">
        <v>6.0737781487416402</v>
      </c>
      <c r="M240">
        <v>75.030121543368693</v>
      </c>
      <c r="N240">
        <v>8.3785418822290705</v>
      </c>
      <c r="O240">
        <v>64.740796009486104</v>
      </c>
      <c r="P240">
        <v>75.195487240585194</v>
      </c>
      <c r="Q240">
        <v>0</v>
      </c>
      <c r="R240">
        <v>1</v>
      </c>
      <c r="S240">
        <v>27.717685235262302</v>
      </c>
    </row>
    <row r="241" spans="1:19" x14ac:dyDescent="0.25">
      <c r="A241">
        <v>23</v>
      </c>
      <c r="B241">
        <v>168</v>
      </c>
      <c r="C241">
        <v>65</v>
      </c>
      <c r="D241" t="s">
        <v>20</v>
      </c>
      <c r="E241">
        <v>9.27082378240884</v>
      </c>
      <c r="F241">
        <v>9</v>
      </c>
      <c r="G241">
        <v>3</v>
      </c>
      <c r="H241">
        <v>77.036172390966897</v>
      </c>
      <c r="I241">
        <v>73.382684906006702</v>
      </c>
      <c r="J241">
        <v>252.47533327980801</v>
      </c>
      <c r="K241">
        <v>71.854083673349706</v>
      </c>
      <c r="L241">
        <v>5.4117834821247799</v>
      </c>
      <c r="M241">
        <v>65.908221553863598</v>
      </c>
      <c r="N241">
        <v>7.0424628884638398</v>
      </c>
      <c r="O241">
        <v>46.866824085140699</v>
      </c>
      <c r="P241">
        <v>76.721747168133504</v>
      </c>
      <c r="Q241">
        <v>1</v>
      </c>
      <c r="R241">
        <v>1</v>
      </c>
      <c r="S241">
        <v>23.030045351473898</v>
      </c>
    </row>
    <row r="242" spans="1:19" x14ac:dyDescent="0.25">
      <c r="A242">
        <v>19</v>
      </c>
      <c r="B242">
        <v>180</v>
      </c>
      <c r="C242">
        <v>86</v>
      </c>
      <c r="D242" t="s">
        <v>21</v>
      </c>
      <c r="E242">
        <v>11.367291621675299</v>
      </c>
      <c r="F242">
        <v>12</v>
      </c>
      <c r="G242">
        <v>1</v>
      </c>
      <c r="H242">
        <v>91.908881570819503</v>
      </c>
      <c r="I242">
        <v>84.709257771459704</v>
      </c>
      <c r="J242">
        <v>222.068860045115</v>
      </c>
      <c r="K242">
        <v>82.493448223942593</v>
      </c>
      <c r="L242">
        <v>5.5844920844582404</v>
      </c>
      <c r="M242">
        <v>81.199847918682394</v>
      </c>
      <c r="N242">
        <v>7.6348572383907403</v>
      </c>
      <c r="O242">
        <v>38.3582970942456</v>
      </c>
      <c r="P242">
        <v>78.661174201968393</v>
      </c>
      <c r="Q242">
        <v>1</v>
      </c>
      <c r="R242">
        <v>0</v>
      </c>
      <c r="S242">
        <v>26.543209876543202</v>
      </c>
    </row>
    <row r="243" spans="1:19" x14ac:dyDescent="0.25">
      <c r="A243">
        <v>19</v>
      </c>
      <c r="B243">
        <v>183</v>
      </c>
      <c r="C243">
        <v>71</v>
      </c>
      <c r="D243" t="s">
        <v>22</v>
      </c>
      <c r="E243">
        <v>7.32255613146563</v>
      </c>
      <c r="F243">
        <v>5</v>
      </c>
      <c r="G243">
        <v>1</v>
      </c>
      <c r="H243">
        <v>73.145135969957593</v>
      </c>
      <c r="I243">
        <v>80.304625193074102</v>
      </c>
      <c r="J243">
        <v>255.53330034809301</v>
      </c>
      <c r="K243">
        <v>91.916569686551895</v>
      </c>
      <c r="L243">
        <v>5.59897890609966</v>
      </c>
      <c r="M243">
        <v>91.104625920987701</v>
      </c>
      <c r="N243">
        <v>7.1429115549067896</v>
      </c>
      <c r="O243">
        <v>55.718852223230598</v>
      </c>
      <c r="P243">
        <v>86.605045014809093</v>
      </c>
      <c r="Q243">
        <v>1</v>
      </c>
      <c r="R243">
        <v>0</v>
      </c>
      <c r="S243">
        <v>21.200991370300599</v>
      </c>
    </row>
    <row r="244" spans="1:19" x14ac:dyDescent="0.25">
      <c r="A244">
        <v>22</v>
      </c>
      <c r="B244">
        <v>188</v>
      </c>
      <c r="C244">
        <v>76</v>
      </c>
      <c r="D244" t="s">
        <v>20</v>
      </c>
      <c r="E244">
        <v>8.2613319148331001</v>
      </c>
      <c r="F244">
        <v>39</v>
      </c>
      <c r="G244">
        <v>1</v>
      </c>
      <c r="H244">
        <v>63.574815590281297</v>
      </c>
      <c r="I244">
        <v>79.464214335448503</v>
      </c>
      <c r="J244">
        <v>257.68532616431497</v>
      </c>
      <c r="K244">
        <v>87.308645979477305</v>
      </c>
      <c r="L244">
        <v>5.8995214242798699</v>
      </c>
      <c r="M244">
        <v>74.931994246005999</v>
      </c>
      <c r="N244">
        <v>7.9345817489032804</v>
      </c>
      <c r="O244">
        <v>66.6853274528779</v>
      </c>
      <c r="P244">
        <v>75.334918503855306</v>
      </c>
      <c r="Q244">
        <v>1</v>
      </c>
      <c r="R244">
        <v>0</v>
      </c>
      <c r="S244">
        <v>21.5029425079221</v>
      </c>
    </row>
    <row r="245" spans="1:19" x14ac:dyDescent="0.25">
      <c r="A245">
        <v>23</v>
      </c>
      <c r="B245">
        <v>167</v>
      </c>
      <c r="C245">
        <v>75</v>
      </c>
      <c r="D245" t="s">
        <v>20</v>
      </c>
      <c r="E245">
        <v>6.7296267468241897</v>
      </c>
      <c r="F245">
        <v>20</v>
      </c>
      <c r="G245">
        <v>0</v>
      </c>
      <c r="H245">
        <v>69.492709692025201</v>
      </c>
      <c r="I245">
        <v>71.193307216999898</v>
      </c>
      <c r="J245">
        <v>243.94400719414199</v>
      </c>
      <c r="K245">
        <v>82.3697665407947</v>
      </c>
      <c r="L245">
        <v>6.4452943789266399</v>
      </c>
      <c r="M245">
        <v>81.081418217759406</v>
      </c>
      <c r="N245">
        <v>8.2116452206860799</v>
      </c>
      <c r="O245">
        <v>54.027854507148099</v>
      </c>
      <c r="P245">
        <v>74.579823407710293</v>
      </c>
      <c r="Q245">
        <v>1</v>
      </c>
      <c r="R245">
        <v>0</v>
      </c>
      <c r="S245">
        <v>26.892323138154801</v>
      </c>
    </row>
    <row r="246" spans="1:19" x14ac:dyDescent="0.25">
      <c r="A246">
        <v>19</v>
      </c>
      <c r="B246">
        <v>187</v>
      </c>
      <c r="C246">
        <v>66</v>
      </c>
      <c r="D246" t="s">
        <v>21</v>
      </c>
      <c r="E246">
        <v>10.699012877611301</v>
      </c>
      <c r="F246">
        <v>35</v>
      </c>
      <c r="G246">
        <v>2</v>
      </c>
      <c r="H246">
        <v>83.893991027093804</v>
      </c>
      <c r="I246">
        <v>73.861143671303196</v>
      </c>
      <c r="J246">
        <v>249.191059306357</v>
      </c>
      <c r="K246">
        <v>80.196831527940901</v>
      </c>
      <c r="L246">
        <v>5.3220440544798899</v>
      </c>
      <c r="M246">
        <v>78.411137582383702</v>
      </c>
      <c r="N246">
        <v>7.3715306191660899</v>
      </c>
      <c r="O246">
        <v>65.182292662869699</v>
      </c>
      <c r="P246">
        <v>79.383163871696198</v>
      </c>
      <c r="Q246">
        <v>0</v>
      </c>
      <c r="R246">
        <v>1</v>
      </c>
      <c r="S246">
        <v>18.873859704309499</v>
      </c>
    </row>
    <row r="247" spans="1:19" x14ac:dyDescent="0.25">
      <c r="A247">
        <v>24</v>
      </c>
      <c r="B247">
        <v>166</v>
      </c>
      <c r="C247">
        <v>73</v>
      </c>
      <c r="D247" t="s">
        <v>21</v>
      </c>
      <c r="E247">
        <v>5.4415056836854703</v>
      </c>
      <c r="F247">
        <v>26</v>
      </c>
      <c r="G247">
        <v>0</v>
      </c>
      <c r="H247">
        <v>69.778590193457802</v>
      </c>
      <c r="I247">
        <v>80.574771160636402</v>
      </c>
      <c r="J247">
        <v>217.03824981411901</v>
      </c>
      <c r="K247">
        <v>85.4100598318294</v>
      </c>
      <c r="L247">
        <v>6.1477010964768803</v>
      </c>
      <c r="M247">
        <v>96.650281970939503</v>
      </c>
      <c r="N247">
        <v>8.0140453505494698</v>
      </c>
      <c r="O247">
        <v>38.563023306879202</v>
      </c>
      <c r="P247">
        <v>68.567973915512994</v>
      </c>
      <c r="Q247">
        <v>1</v>
      </c>
      <c r="R247">
        <v>0</v>
      </c>
      <c r="S247">
        <v>26.491508201480599</v>
      </c>
    </row>
    <row r="248" spans="1:19" x14ac:dyDescent="0.25">
      <c r="A248">
        <v>21</v>
      </c>
      <c r="B248">
        <v>169</v>
      </c>
      <c r="C248">
        <v>56</v>
      </c>
      <c r="D248" t="s">
        <v>19</v>
      </c>
      <c r="E248">
        <v>10.873452071449501</v>
      </c>
      <c r="F248">
        <v>15</v>
      </c>
      <c r="G248">
        <v>2</v>
      </c>
      <c r="H248">
        <v>81.125544630617199</v>
      </c>
      <c r="I248">
        <v>74.053138714211897</v>
      </c>
      <c r="J248">
        <v>269.82712333314601</v>
      </c>
      <c r="K248">
        <v>86.5631934404812</v>
      </c>
      <c r="L248">
        <v>5.5653902407831701</v>
      </c>
      <c r="M248">
        <v>75.0343422611856</v>
      </c>
      <c r="N248">
        <v>5.6071464076790596</v>
      </c>
      <c r="O248">
        <v>52.967353544074598</v>
      </c>
      <c r="P248">
        <v>74.265544639591596</v>
      </c>
      <c r="Q248">
        <v>0</v>
      </c>
      <c r="R248">
        <v>1</v>
      </c>
      <c r="S248">
        <v>19.607156612163401</v>
      </c>
    </row>
    <row r="249" spans="1:19" x14ac:dyDescent="0.25">
      <c r="A249">
        <v>19</v>
      </c>
      <c r="B249">
        <v>179</v>
      </c>
      <c r="C249">
        <v>67</v>
      </c>
      <c r="D249" t="s">
        <v>21</v>
      </c>
      <c r="E249">
        <v>8.0787191164780694</v>
      </c>
      <c r="F249">
        <v>37</v>
      </c>
      <c r="G249">
        <v>2</v>
      </c>
      <c r="H249">
        <v>63.627500427303801</v>
      </c>
      <c r="I249">
        <v>66.750661976636493</v>
      </c>
      <c r="J249">
        <v>250.858722693982</v>
      </c>
      <c r="K249">
        <v>80.505610358449204</v>
      </c>
      <c r="L249">
        <v>6.3256254755171</v>
      </c>
      <c r="M249">
        <v>70.441965868294105</v>
      </c>
      <c r="N249">
        <v>7.2568163342302299</v>
      </c>
      <c r="O249">
        <v>53.737569773138397</v>
      </c>
      <c r="P249">
        <v>75.246727706407896</v>
      </c>
      <c r="Q249">
        <v>0</v>
      </c>
      <c r="R249">
        <v>1</v>
      </c>
      <c r="S249">
        <v>20.910708155176099</v>
      </c>
    </row>
    <row r="250" spans="1:19" x14ac:dyDescent="0.25">
      <c r="A250">
        <v>20</v>
      </c>
      <c r="B250">
        <v>174</v>
      </c>
      <c r="C250">
        <v>78</v>
      </c>
      <c r="D250" t="s">
        <v>20</v>
      </c>
      <c r="E250">
        <v>14.266649748421401</v>
      </c>
      <c r="F250">
        <v>13</v>
      </c>
      <c r="G250">
        <v>1</v>
      </c>
      <c r="H250">
        <v>74.951256347069005</v>
      </c>
      <c r="I250">
        <v>78.002038391327204</v>
      </c>
      <c r="J250">
        <v>279.92760773241599</v>
      </c>
      <c r="K250">
        <v>76.286820249174795</v>
      </c>
      <c r="L250">
        <v>5.7515682181268204</v>
      </c>
      <c r="M250">
        <v>68.505776135379307</v>
      </c>
      <c r="N250">
        <v>7.4302306227879198</v>
      </c>
      <c r="O250">
        <v>82.816270399963699</v>
      </c>
      <c r="P250">
        <v>66.3605533577649</v>
      </c>
      <c r="Q250">
        <v>0</v>
      </c>
      <c r="R250">
        <v>1</v>
      </c>
      <c r="S250">
        <v>25.7629805786761</v>
      </c>
    </row>
    <row r="251" spans="1:19" x14ac:dyDescent="0.25">
      <c r="A251">
        <v>23</v>
      </c>
      <c r="B251">
        <v>174</v>
      </c>
      <c r="C251">
        <v>58</v>
      </c>
      <c r="D251" t="s">
        <v>20</v>
      </c>
      <c r="E251">
        <v>6.44724961805671</v>
      </c>
      <c r="F251">
        <v>22</v>
      </c>
      <c r="G251">
        <v>3</v>
      </c>
      <c r="H251">
        <v>76.478911133575593</v>
      </c>
      <c r="I251">
        <v>78.188613498884095</v>
      </c>
      <c r="J251">
        <v>256.09082771611997</v>
      </c>
      <c r="K251">
        <v>82.601215259571305</v>
      </c>
      <c r="L251">
        <v>5.6235686273772396</v>
      </c>
      <c r="M251">
        <v>82.403731323553302</v>
      </c>
      <c r="N251">
        <v>6.5748962386015304</v>
      </c>
      <c r="O251">
        <v>54.347842015476303</v>
      </c>
      <c r="P251">
        <v>79.538163656830704</v>
      </c>
      <c r="Q251">
        <v>1</v>
      </c>
      <c r="R251">
        <v>1</v>
      </c>
      <c r="S251">
        <v>19.157088122605298</v>
      </c>
    </row>
    <row r="252" spans="1:19" x14ac:dyDescent="0.25">
      <c r="A252">
        <v>21</v>
      </c>
      <c r="B252">
        <v>177</v>
      </c>
      <c r="C252">
        <v>68</v>
      </c>
      <c r="D252" t="s">
        <v>21</v>
      </c>
      <c r="E252">
        <v>9.1480073614055701</v>
      </c>
      <c r="F252">
        <v>14</v>
      </c>
      <c r="G252">
        <v>2</v>
      </c>
      <c r="H252">
        <v>76.665972176071094</v>
      </c>
      <c r="I252">
        <v>91.196986848557302</v>
      </c>
      <c r="J252">
        <v>232.99593816184199</v>
      </c>
      <c r="K252">
        <v>83.616066891237793</v>
      </c>
      <c r="L252">
        <v>5.7672542231414399</v>
      </c>
      <c r="M252">
        <v>67.100301880332594</v>
      </c>
      <c r="N252">
        <v>8.2687355590311906</v>
      </c>
      <c r="O252">
        <v>48.697087421045197</v>
      </c>
      <c r="P252">
        <v>89.572758218718803</v>
      </c>
      <c r="Q252">
        <v>0</v>
      </c>
      <c r="R252">
        <v>0</v>
      </c>
      <c r="S252">
        <v>21.7051294327938</v>
      </c>
    </row>
    <row r="253" spans="1:19" x14ac:dyDescent="0.25">
      <c r="A253">
        <v>23</v>
      </c>
      <c r="B253">
        <v>170</v>
      </c>
      <c r="C253">
        <v>55</v>
      </c>
      <c r="D253" t="s">
        <v>20</v>
      </c>
      <c r="E253">
        <v>7.5138341224802101</v>
      </c>
      <c r="F253">
        <v>27</v>
      </c>
      <c r="G253">
        <v>1</v>
      </c>
      <c r="H253">
        <v>69.715276303642597</v>
      </c>
      <c r="I253">
        <v>86.4545729064493</v>
      </c>
      <c r="J253">
        <v>203.48667466576799</v>
      </c>
      <c r="K253">
        <v>81.738627723433098</v>
      </c>
      <c r="L253">
        <v>6.2269238331608996</v>
      </c>
      <c r="M253">
        <v>80.251480914504299</v>
      </c>
      <c r="N253">
        <v>7.2020058471541901</v>
      </c>
      <c r="O253">
        <v>38.734381245290301</v>
      </c>
      <c r="P253">
        <v>79.772627798413794</v>
      </c>
      <c r="Q253">
        <v>0</v>
      </c>
      <c r="R253">
        <v>0</v>
      </c>
      <c r="S253">
        <v>19.031141868512101</v>
      </c>
    </row>
    <row r="254" spans="1:19" x14ac:dyDescent="0.25">
      <c r="A254">
        <v>24</v>
      </c>
      <c r="B254">
        <v>186</v>
      </c>
      <c r="C254">
        <v>83</v>
      </c>
      <c r="D254" t="s">
        <v>22</v>
      </c>
      <c r="E254">
        <v>9.2325257293342293</v>
      </c>
      <c r="F254">
        <v>28</v>
      </c>
      <c r="G254">
        <v>2</v>
      </c>
      <c r="H254">
        <v>76.182896748120001</v>
      </c>
      <c r="I254">
        <v>72.729326715286803</v>
      </c>
      <c r="J254">
        <v>261.49784951962198</v>
      </c>
      <c r="K254">
        <v>81.928803297978902</v>
      </c>
      <c r="L254">
        <v>5.5679469125166099</v>
      </c>
      <c r="M254">
        <v>72.699889847656493</v>
      </c>
      <c r="N254">
        <v>7.3854224602579297</v>
      </c>
      <c r="O254">
        <v>61.105032189639701</v>
      </c>
      <c r="P254">
        <v>76.517296940362996</v>
      </c>
      <c r="Q254">
        <v>0</v>
      </c>
      <c r="R254">
        <v>1</v>
      </c>
      <c r="S254">
        <v>23.991212856977601</v>
      </c>
    </row>
    <row r="255" spans="1:19" x14ac:dyDescent="0.25">
      <c r="A255">
        <v>24</v>
      </c>
      <c r="B255">
        <v>185</v>
      </c>
      <c r="C255">
        <v>70</v>
      </c>
      <c r="D255" t="s">
        <v>21</v>
      </c>
      <c r="E255">
        <v>8.5677013898302103</v>
      </c>
      <c r="F255">
        <v>24</v>
      </c>
      <c r="G255">
        <v>2</v>
      </c>
      <c r="H255">
        <v>74.425421632716606</v>
      </c>
      <c r="I255">
        <v>80.005134404160501</v>
      </c>
      <c r="J255">
        <v>240.39068352503301</v>
      </c>
      <c r="K255">
        <v>77.137556771816506</v>
      </c>
      <c r="L255">
        <v>5.6953379532148203</v>
      </c>
      <c r="M255">
        <v>89.118241625137699</v>
      </c>
      <c r="N255">
        <v>7.1091407137246803</v>
      </c>
      <c r="O255">
        <v>49.123003199950197</v>
      </c>
      <c r="P255">
        <v>78.966168853893393</v>
      </c>
      <c r="Q255">
        <v>0</v>
      </c>
      <c r="R255">
        <v>1</v>
      </c>
      <c r="S255">
        <v>20.452885317750098</v>
      </c>
    </row>
    <row r="256" spans="1:19" x14ac:dyDescent="0.25">
      <c r="A256">
        <v>20</v>
      </c>
      <c r="B256">
        <v>181</v>
      </c>
      <c r="C256">
        <v>78</v>
      </c>
      <c r="D256" t="s">
        <v>22</v>
      </c>
      <c r="E256">
        <v>11.461882538767</v>
      </c>
      <c r="F256">
        <v>36</v>
      </c>
      <c r="G256">
        <v>3</v>
      </c>
      <c r="H256">
        <v>81.606412696779302</v>
      </c>
      <c r="I256">
        <v>85.561791347607695</v>
      </c>
      <c r="J256">
        <v>216.94758250877101</v>
      </c>
      <c r="K256">
        <v>95.473310608877199</v>
      </c>
      <c r="L256">
        <v>6.4835788879959004</v>
      </c>
      <c r="M256">
        <v>66.524564525347401</v>
      </c>
      <c r="N256">
        <v>9.0208968753313705</v>
      </c>
      <c r="O256">
        <v>47.360509343236103</v>
      </c>
      <c r="P256">
        <v>68.172369504797302</v>
      </c>
      <c r="Q256">
        <v>0</v>
      </c>
      <c r="R256">
        <v>0</v>
      </c>
      <c r="S256">
        <v>23.808797045267202</v>
      </c>
    </row>
    <row r="257" spans="1:19" x14ac:dyDescent="0.25">
      <c r="A257">
        <v>21</v>
      </c>
      <c r="B257">
        <v>182</v>
      </c>
      <c r="C257">
        <v>69</v>
      </c>
      <c r="D257" t="s">
        <v>22</v>
      </c>
      <c r="E257">
        <v>6.9477236213423401</v>
      </c>
      <c r="F257">
        <v>28</v>
      </c>
      <c r="G257">
        <v>0</v>
      </c>
      <c r="H257">
        <v>68.960343647749696</v>
      </c>
      <c r="I257">
        <v>83.249373674388707</v>
      </c>
      <c r="J257">
        <v>257.86050839584999</v>
      </c>
      <c r="K257">
        <v>75.813264091668202</v>
      </c>
      <c r="L257">
        <v>5.9921526171071804</v>
      </c>
      <c r="M257">
        <v>76.294136596992502</v>
      </c>
      <c r="N257">
        <v>6.1060893945656503</v>
      </c>
      <c r="O257">
        <v>50.644512060253199</v>
      </c>
      <c r="P257">
        <v>77.799906440842804</v>
      </c>
      <c r="Q257">
        <v>0</v>
      </c>
      <c r="R257">
        <v>1</v>
      </c>
      <c r="S257">
        <v>20.8308175341142</v>
      </c>
    </row>
    <row r="258" spans="1:19" x14ac:dyDescent="0.25">
      <c r="A258">
        <v>18</v>
      </c>
      <c r="B258">
        <v>177</v>
      </c>
      <c r="C258">
        <v>85</v>
      </c>
      <c r="D258" t="s">
        <v>22</v>
      </c>
      <c r="E258">
        <v>10.0142430281154</v>
      </c>
      <c r="F258">
        <v>20</v>
      </c>
      <c r="G258">
        <v>1</v>
      </c>
      <c r="H258">
        <v>70.827508458793204</v>
      </c>
      <c r="I258">
        <v>75.273411007435897</v>
      </c>
      <c r="J258">
        <v>246.87506484899299</v>
      </c>
      <c r="K258">
        <v>92.454310942191498</v>
      </c>
      <c r="L258">
        <v>5.2593605171570399</v>
      </c>
      <c r="M258">
        <v>70.260128411488793</v>
      </c>
      <c r="N258">
        <v>6.9455376430274498</v>
      </c>
      <c r="O258">
        <v>59.569085935852598</v>
      </c>
      <c r="P258">
        <v>66.654159775908397</v>
      </c>
      <c r="Q258">
        <v>1</v>
      </c>
      <c r="R258">
        <v>1</v>
      </c>
      <c r="S258">
        <v>27.131411790992299</v>
      </c>
    </row>
    <row r="259" spans="1:19" x14ac:dyDescent="0.25">
      <c r="A259">
        <v>20</v>
      </c>
      <c r="B259">
        <v>171</v>
      </c>
      <c r="C259">
        <v>58</v>
      </c>
      <c r="D259" t="s">
        <v>21</v>
      </c>
      <c r="E259">
        <v>6.1257642246130004</v>
      </c>
      <c r="F259">
        <v>9</v>
      </c>
      <c r="G259">
        <v>1</v>
      </c>
      <c r="H259">
        <v>86.258926494094993</v>
      </c>
      <c r="I259">
        <v>95.377299834233597</v>
      </c>
      <c r="J259">
        <v>242.74867042893601</v>
      </c>
      <c r="K259">
        <v>83.383919516414593</v>
      </c>
      <c r="L259">
        <v>6.5699619147692703</v>
      </c>
      <c r="M259">
        <v>89.122561293195801</v>
      </c>
      <c r="N259">
        <v>8.4752888607775194</v>
      </c>
      <c r="O259">
        <v>34.915041129636897</v>
      </c>
      <c r="P259">
        <v>70.735271785155106</v>
      </c>
      <c r="Q259">
        <v>0</v>
      </c>
      <c r="R259">
        <v>0</v>
      </c>
      <c r="S259">
        <v>19.835162956123199</v>
      </c>
    </row>
    <row r="260" spans="1:19" x14ac:dyDescent="0.25">
      <c r="A260">
        <v>24</v>
      </c>
      <c r="B260">
        <v>178</v>
      </c>
      <c r="C260">
        <v>76</v>
      </c>
      <c r="D260" t="s">
        <v>22</v>
      </c>
      <c r="E260">
        <v>9.8868387327815803</v>
      </c>
      <c r="F260">
        <v>10</v>
      </c>
      <c r="G260">
        <v>1</v>
      </c>
      <c r="H260">
        <v>71.273713497461202</v>
      </c>
      <c r="I260">
        <v>69.346958100937599</v>
      </c>
      <c r="J260">
        <v>249.82328646216999</v>
      </c>
      <c r="K260">
        <v>85.632365932312396</v>
      </c>
      <c r="L260">
        <v>5.4277857476434601</v>
      </c>
      <c r="M260">
        <v>71.111623352766301</v>
      </c>
      <c r="N260">
        <v>7.33836108241149</v>
      </c>
      <c r="O260">
        <v>46.305322991239102</v>
      </c>
      <c r="P260">
        <v>60.123194897614901</v>
      </c>
      <c r="Q260">
        <v>1</v>
      </c>
      <c r="R260">
        <v>1</v>
      </c>
      <c r="S260">
        <v>23.986870344653401</v>
      </c>
    </row>
    <row r="261" spans="1:19" x14ac:dyDescent="0.25">
      <c r="A261">
        <v>18</v>
      </c>
      <c r="B261">
        <v>186</v>
      </c>
      <c r="C261">
        <v>79</v>
      </c>
      <c r="D261" t="s">
        <v>21</v>
      </c>
      <c r="E261">
        <v>13.1310815459449</v>
      </c>
      <c r="F261">
        <v>20</v>
      </c>
      <c r="G261">
        <v>5</v>
      </c>
      <c r="H261">
        <v>62.876994582313102</v>
      </c>
      <c r="I261">
        <v>76.662630769550404</v>
      </c>
      <c r="J261">
        <v>281.508269643088</v>
      </c>
      <c r="K261">
        <v>79.158311981802498</v>
      </c>
      <c r="L261">
        <v>5.7327812815897898</v>
      </c>
      <c r="M261">
        <v>82.135917917812606</v>
      </c>
      <c r="N261">
        <v>5.6762899031393701</v>
      </c>
      <c r="O261">
        <v>68.109196864864998</v>
      </c>
      <c r="P261">
        <v>77.9886997608792</v>
      </c>
      <c r="Q261">
        <v>0</v>
      </c>
      <c r="R261">
        <v>1</v>
      </c>
      <c r="S261">
        <v>22.835009827725699</v>
      </c>
    </row>
    <row r="262" spans="1:19" x14ac:dyDescent="0.25">
      <c r="A262">
        <v>22</v>
      </c>
      <c r="B262">
        <v>185</v>
      </c>
      <c r="C262">
        <v>81</v>
      </c>
      <c r="D262" t="s">
        <v>21</v>
      </c>
      <c r="E262">
        <v>5</v>
      </c>
      <c r="F262">
        <v>12</v>
      </c>
      <c r="G262">
        <v>1</v>
      </c>
      <c r="H262">
        <v>74.983406961414204</v>
      </c>
      <c r="I262">
        <v>72.670010483118205</v>
      </c>
      <c r="J262">
        <v>298.66647376501697</v>
      </c>
      <c r="K262">
        <v>84.465660012657395</v>
      </c>
      <c r="L262">
        <v>5.6383311200892896</v>
      </c>
      <c r="M262">
        <v>76.179352053948705</v>
      </c>
      <c r="N262">
        <v>8.6822696372211698</v>
      </c>
      <c r="O262">
        <v>63.174486110750799</v>
      </c>
      <c r="P262">
        <v>73.427059689122999</v>
      </c>
      <c r="Q262">
        <v>0</v>
      </c>
      <c r="R262">
        <v>1</v>
      </c>
      <c r="S262">
        <v>23.6669101533966</v>
      </c>
    </row>
    <row r="263" spans="1:19" x14ac:dyDescent="0.25">
      <c r="A263">
        <v>22</v>
      </c>
      <c r="B263">
        <v>180</v>
      </c>
      <c r="C263">
        <v>76</v>
      </c>
      <c r="D263" t="s">
        <v>21</v>
      </c>
      <c r="E263">
        <v>10.700781813413199</v>
      </c>
      <c r="F263">
        <v>9</v>
      </c>
      <c r="G263">
        <v>0</v>
      </c>
      <c r="H263">
        <v>70.265316177316706</v>
      </c>
      <c r="I263">
        <v>73.988600766716999</v>
      </c>
      <c r="J263">
        <v>240.16788199085701</v>
      </c>
      <c r="K263">
        <v>78.291563049999695</v>
      </c>
      <c r="L263">
        <v>5.7510851783075703</v>
      </c>
      <c r="M263">
        <v>76.416262582082794</v>
      </c>
      <c r="N263">
        <v>7.5346574952880196</v>
      </c>
      <c r="O263">
        <v>69.084702823657295</v>
      </c>
      <c r="P263">
        <v>73.534352809323593</v>
      </c>
      <c r="Q263">
        <v>0</v>
      </c>
      <c r="R263">
        <v>1</v>
      </c>
      <c r="S263">
        <v>23.456790123456699</v>
      </c>
    </row>
    <row r="264" spans="1:19" x14ac:dyDescent="0.25">
      <c r="A264">
        <v>23</v>
      </c>
      <c r="B264">
        <v>183</v>
      </c>
      <c r="C264">
        <v>69</v>
      </c>
      <c r="D264" t="s">
        <v>22</v>
      </c>
      <c r="E264">
        <v>14.7556196392984</v>
      </c>
      <c r="F264">
        <v>13</v>
      </c>
      <c r="G264">
        <v>0</v>
      </c>
      <c r="H264">
        <v>72.771062874003206</v>
      </c>
      <c r="I264">
        <v>76.576127976919594</v>
      </c>
      <c r="J264">
        <v>225.66298574272699</v>
      </c>
      <c r="K264">
        <v>80.429179407709995</v>
      </c>
      <c r="L264">
        <v>5.7123077226127004</v>
      </c>
      <c r="M264">
        <v>86.922043938718701</v>
      </c>
      <c r="N264">
        <v>6.7735462857574102</v>
      </c>
      <c r="O264">
        <v>55.851100587616003</v>
      </c>
      <c r="P264">
        <v>74.154544825204496</v>
      </c>
      <c r="Q264">
        <v>1</v>
      </c>
      <c r="R264">
        <v>0</v>
      </c>
      <c r="S264">
        <v>20.603780345785101</v>
      </c>
    </row>
    <row r="265" spans="1:19" x14ac:dyDescent="0.25">
      <c r="A265">
        <v>22</v>
      </c>
      <c r="B265">
        <v>180</v>
      </c>
      <c r="C265">
        <v>66</v>
      </c>
      <c r="D265" t="s">
        <v>19</v>
      </c>
      <c r="E265">
        <v>8.0355278174574991</v>
      </c>
      <c r="F265">
        <v>24</v>
      </c>
      <c r="G265">
        <v>1</v>
      </c>
      <c r="H265">
        <v>83.643289878514295</v>
      </c>
      <c r="I265">
        <v>85.025159194850403</v>
      </c>
      <c r="J265">
        <v>261.99392423760901</v>
      </c>
      <c r="K265">
        <v>83.658857249568101</v>
      </c>
      <c r="L265">
        <v>6.1924965515544796</v>
      </c>
      <c r="M265">
        <v>92.683221472844494</v>
      </c>
      <c r="N265">
        <v>6.9423248505528301</v>
      </c>
      <c r="O265">
        <v>39.045054113920102</v>
      </c>
      <c r="P265">
        <v>93.931968053896995</v>
      </c>
      <c r="Q265">
        <v>1</v>
      </c>
      <c r="R265">
        <v>0</v>
      </c>
      <c r="S265">
        <v>20.370370370370299</v>
      </c>
    </row>
    <row r="266" spans="1:19" x14ac:dyDescent="0.25">
      <c r="A266">
        <v>22</v>
      </c>
      <c r="B266">
        <v>189</v>
      </c>
      <c r="C266">
        <v>76</v>
      </c>
      <c r="D266" t="s">
        <v>21</v>
      </c>
      <c r="E266">
        <v>7.6182401491042802</v>
      </c>
      <c r="F266">
        <v>38</v>
      </c>
      <c r="G266">
        <v>1</v>
      </c>
      <c r="H266">
        <v>75.6055722313681</v>
      </c>
      <c r="I266">
        <v>76.660179245997398</v>
      </c>
      <c r="J266">
        <v>264.96636886711502</v>
      </c>
      <c r="K266">
        <v>83.352910404751995</v>
      </c>
      <c r="L266">
        <v>6.0339306166718796</v>
      </c>
      <c r="M266">
        <v>90.046896965726901</v>
      </c>
      <c r="N266">
        <v>7.3053138910756497</v>
      </c>
      <c r="O266">
        <v>48.388266877689503</v>
      </c>
      <c r="P266">
        <v>86.025978026594103</v>
      </c>
      <c r="Q266">
        <v>1</v>
      </c>
      <c r="R266">
        <v>0</v>
      </c>
      <c r="S266">
        <v>21.276000111978899</v>
      </c>
    </row>
    <row r="267" spans="1:19" x14ac:dyDescent="0.25">
      <c r="A267">
        <v>21</v>
      </c>
      <c r="B267">
        <v>172</v>
      </c>
      <c r="C267">
        <v>71</v>
      </c>
      <c r="D267" t="s">
        <v>22</v>
      </c>
      <c r="E267">
        <v>7.0954264218935297</v>
      </c>
      <c r="F267">
        <v>34</v>
      </c>
      <c r="G267">
        <v>2</v>
      </c>
      <c r="H267">
        <v>80.365864532669704</v>
      </c>
      <c r="I267">
        <v>69.974463848217496</v>
      </c>
      <c r="J267">
        <v>242.91280933444699</v>
      </c>
      <c r="K267">
        <v>79.088095766795604</v>
      </c>
      <c r="L267">
        <v>5.7621370363688804</v>
      </c>
      <c r="M267">
        <v>74.895291621694994</v>
      </c>
      <c r="N267">
        <v>7.4233402311948504</v>
      </c>
      <c r="O267">
        <v>71.676564172921005</v>
      </c>
      <c r="P267">
        <v>55.200060329200497</v>
      </c>
      <c r="Q267">
        <v>1</v>
      </c>
      <c r="R267">
        <v>1</v>
      </c>
      <c r="S267">
        <v>23.999459167117301</v>
      </c>
    </row>
    <row r="268" spans="1:19" x14ac:dyDescent="0.25">
      <c r="A268">
        <v>19</v>
      </c>
      <c r="B268">
        <v>181</v>
      </c>
      <c r="C268">
        <v>56</v>
      </c>
      <c r="D268" t="s">
        <v>21</v>
      </c>
      <c r="E268">
        <v>10.6422204244141</v>
      </c>
      <c r="F268">
        <v>39</v>
      </c>
      <c r="G268">
        <v>5</v>
      </c>
      <c r="H268">
        <v>81.257576317614607</v>
      </c>
      <c r="I268">
        <v>66.802015448360095</v>
      </c>
      <c r="J268">
        <v>237.44409399434599</v>
      </c>
      <c r="K268">
        <v>71.263303363097805</v>
      </c>
      <c r="L268">
        <v>5.6847822568549997</v>
      </c>
      <c r="M268">
        <v>74.789072049383293</v>
      </c>
      <c r="N268">
        <v>7.5086798788783504</v>
      </c>
      <c r="O268">
        <v>79.236906793102605</v>
      </c>
      <c r="P268">
        <v>68.807818459661604</v>
      </c>
      <c r="Q268">
        <v>1</v>
      </c>
      <c r="R268">
        <v>1</v>
      </c>
      <c r="S268">
        <v>17.0934953145508</v>
      </c>
    </row>
    <row r="269" spans="1:19" x14ac:dyDescent="0.25">
      <c r="A269">
        <v>24</v>
      </c>
      <c r="B269">
        <v>180</v>
      </c>
      <c r="C269">
        <v>79</v>
      </c>
      <c r="D269" t="s">
        <v>22</v>
      </c>
      <c r="E269">
        <v>7.3663406711247204</v>
      </c>
      <c r="F269">
        <v>36</v>
      </c>
      <c r="G269">
        <v>3</v>
      </c>
      <c r="H269">
        <v>82.271683084035899</v>
      </c>
      <c r="I269">
        <v>80.428912758072698</v>
      </c>
      <c r="J269">
        <v>249.389075438991</v>
      </c>
      <c r="K269">
        <v>73.369869953878904</v>
      </c>
      <c r="L269">
        <v>5.5961078037791703</v>
      </c>
      <c r="M269">
        <v>63.328770993427803</v>
      </c>
      <c r="N269">
        <v>7.60635362988255</v>
      </c>
      <c r="O269">
        <v>59.861962531051098</v>
      </c>
      <c r="P269">
        <v>70.295188430720501</v>
      </c>
      <c r="Q269">
        <v>0</v>
      </c>
      <c r="R269">
        <v>1</v>
      </c>
      <c r="S269">
        <v>24.382716049382701</v>
      </c>
    </row>
    <row r="270" spans="1:19" x14ac:dyDescent="0.25">
      <c r="A270">
        <v>22</v>
      </c>
      <c r="B270">
        <v>177</v>
      </c>
      <c r="C270">
        <v>61</v>
      </c>
      <c r="D270" t="s">
        <v>19</v>
      </c>
      <c r="E270">
        <v>10.821386818376499</v>
      </c>
      <c r="F270">
        <v>32</v>
      </c>
      <c r="G270">
        <v>0</v>
      </c>
      <c r="H270">
        <v>72.909605360756004</v>
      </c>
      <c r="I270">
        <v>80.805674714949802</v>
      </c>
      <c r="J270">
        <v>227.485276011715</v>
      </c>
      <c r="K270">
        <v>81.966583602963993</v>
      </c>
      <c r="L270">
        <v>6.1074784733435603</v>
      </c>
      <c r="M270">
        <v>93.323430625899505</v>
      </c>
      <c r="N270">
        <v>7.5881991752491498</v>
      </c>
      <c r="O270">
        <v>50.333317652205899</v>
      </c>
      <c r="P270">
        <v>87.786772387760607</v>
      </c>
      <c r="Q270">
        <v>0</v>
      </c>
      <c r="R270">
        <v>0</v>
      </c>
      <c r="S270">
        <v>19.470777873535699</v>
      </c>
    </row>
    <row r="271" spans="1:19" x14ac:dyDescent="0.25">
      <c r="A271">
        <v>23</v>
      </c>
      <c r="B271">
        <v>181</v>
      </c>
      <c r="C271">
        <v>78</v>
      </c>
      <c r="D271" t="s">
        <v>21</v>
      </c>
      <c r="E271">
        <v>15.277757286016101</v>
      </c>
      <c r="F271">
        <v>37</v>
      </c>
      <c r="G271">
        <v>1</v>
      </c>
      <c r="H271">
        <v>77.574150210609105</v>
      </c>
      <c r="I271">
        <v>81.041261136560706</v>
      </c>
      <c r="J271">
        <v>238.59369208574299</v>
      </c>
      <c r="K271">
        <v>88.726802555938207</v>
      </c>
      <c r="L271">
        <v>6.3070205151350498</v>
      </c>
      <c r="M271">
        <v>85.267911759723901</v>
      </c>
      <c r="N271">
        <v>8.7584871138327998</v>
      </c>
      <c r="O271">
        <v>56.578609401937797</v>
      </c>
      <c r="P271">
        <v>73.216900301504893</v>
      </c>
      <c r="Q271">
        <v>0</v>
      </c>
      <c r="R271">
        <v>0</v>
      </c>
      <c r="S271">
        <v>23.808797045267202</v>
      </c>
    </row>
    <row r="272" spans="1:19" x14ac:dyDescent="0.25">
      <c r="A272">
        <v>21</v>
      </c>
      <c r="B272">
        <v>176</v>
      </c>
      <c r="C272">
        <v>88</v>
      </c>
      <c r="D272" t="s">
        <v>22</v>
      </c>
      <c r="E272">
        <v>10.723172227418701</v>
      </c>
      <c r="F272">
        <v>26</v>
      </c>
      <c r="G272">
        <v>2</v>
      </c>
      <c r="H272">
        <v>74.600881683285394</v>
      </c>
      <c r="I272">
        <v>73.673692006812999</v>
      </c>
      <c r="J272">
        <v>267.10605483725197</v>
      </c>
      <c r="K272">
        <v>77.968837905170005</v>
      </c>
      <c r="L272">
        <v>5.8117776187917602</v>
      </c>
      <c r="M272">
        <v>83.763174047813195</v>
      </c>
      <c r="N272">
        <v>7.1290820762156297</v>
      </c>
      <c r="O272">
        <v>80.426577627917695</v>
      </c>
      <c r="P272">
        <v>61.935552841276703</v>
      </c>
      <c r="Q272">
        <v>1</v>
      </c>
      <c r="R272">
        <v>1</v>
      </c>
      <c r="S272">
        <v>28.409090909090899</v>
      </c>
    </row>
    <row r="273" spans="1:19" x14ac:dyDescent="0.25">
      <c r="A273">
        <v>23</v>
      </c>
      <c r="B273">
        <v>174</v>
      </c>
      <c r="C273">
        <v>58</v>
      </c>
      <c r="D273" t="s">
        <v>20</v>
      </c>
      <c r="E273">
        <v>10.8287176895962</v>
      </c>
      <c r="F273">
        <v>15</v>
      </c>
      <c r="G273">
        <v>1</v>
      </c>
      <c r="H273">
        <v>88.216998714976597</v>
      </c>
      <c r="I273">
        <v>82.129972057235193</v>
      </c>
      <c r="J273">
        <v>283.43264008035601</v>
      </c>
      <c r="K273">
        <v>68.499237352727505</v>
      </c>
      <c r="L273">
        <v>6.1132845582474102</v>
      </c>
      <c r="M273">
        <v>79.394894159032305</v>
      </c>
      <c r="N273">
        <v>8.0411404737841892</v>
      </c>
      <c r="O273">
        <v>71.391733717883696</v>
      </c>
      <c r="P273">
        <v>63.531468617843601</v>
      </c>
      <c r="Q273">
        <v>1</v>
      </c>
      <c r="R273">
        <v>1</v>
      </c>
      <c r="S273">
        <v>19.157088122605298</v>
      </c>
    </row>
    <row r="274" spans="1:19" x14ac:dyDescent="0.25">
      <c r="A274">
        <v>19</v>
      </c>
      <c r="B274">
        <v>184</v>
      </c>
      <c r="C274">
        <v>68</v>
      </c>
      <c r="D274" t="s">
        <v>22</v>
      </c>
      <c r="E274">
        <v>13.3665402215941</v>
      </c>
      <c r="F274">
        <v>6</v>
      </c>
      <c r="G274">
        <v>2</v>
      </c>
      <c r="H274">
        <v>74.827148827686798</v>
      </c>
      <c r="I274">
        <v>84.638513729617003</v>
      </c>
      <c r="J274">
        <v>253.34599746360399</v>
      </c>
      <c r="K274">
        <v>85.725996195058698</v>
      </c>
      <c r="L274">
        <v>5.8693182877708798</v>
      </c>
      <c r="M274">
        <v>99.552821285117304</v>
      </c>
      <c r="N274">
        <v>6.8267267145133497</v>
      </c>
      <c r="O274">
        <v>46.571367718584497</v>
      </c>
      <c r="P274">
        <v>75.855961174668806</v>
      </c>
      <c r="Q274">
        <v>1</v>
      </c>
      <c r="R274">
        <v>0</v>
      </c>
      <c r="S274">
        <v>20.085066162570801</v>
      </c>
    </row>
    <row r="275" spans="1:19" x14ac:dyDescent="0.25">
      <c r="A275">
        <v>24</v>
      </c>
      <c r="B275">
        <v>182</v>
      </c>
      <c r="C275">
        <v>81</v>
      </c>
      <c r="D275" t="s">
        <v>21</v>
      </c>
      <c r="E275">
        <v>11.871356568126499</v>
      </c>
      <c r="F275">
        <v>15</v>
      </c>
      <c r="G275">
        <v>1</v>
      </c>
      <c r="H275">
        <v>75.703249995121396</v>
      </c>
      <c r="I275">
        <v>70.692745022499196</v>
      </c>
      <c r="J275">
        <v>265.032759074095</v>
      </c>
      <c r="K275">
        <v>76.186685957820103</v>
      </c>
      <c r="L275">
        <v>5.9580170027988801</v>
      </c>
      <c r="M275">
        <v>71.477245092467797</v>
      </c>
      <c r="N275">
        <v>6.8474123773431401</v>
      </c>
      <c r="O275">
        <v>48.366684240150903</v>
      </c>
      <c r="P275">
        <v>68.335340260253204</v>
      </c>
      <c r="Q275">
        <v>0</v>
      </c>
      <c r="R275">
        <v>1</v>
      </c>
      <c r="S275">
        <v>24.453568409612298</v>
      </c>
    </row>
    <row r="276" spans="1:19" x14ac:dyDescent="0.25">
      <c r="A276">
        <v>20</v>
      </c>
      <c r="B276">
        <v>185</v>
      </c>
      <c r="C276">
        <v>69</v>
      </c>
      <c r="D276" t="s">
        <v>21</v>
      </c>
      <c r="E276">
        <v>9.3681410237640801</v>
      </c>
      <c r="F276">
        <v>34</v>
      </c>
      <c r="G276">
        <v>2</v>
      </c>
      <c r="H276">
        <v>74.919268093102204</v>
      </c>
      <c r="I276">
        <v>83.883472965174306</v>
      </c>
      <c r="J276">
        <v>242.53417376943</v>
      </c>
      <c r="K276">
        <v>88.396692826934199</v>
      </c>
      <c r="L276">
        <v>5.7793159263426803</v>
      </c>
      <c r="M276">
        <v>85.054837046624897</v>
      </c>
      <c r="N276">
        <v>7.5800991918672596</v>
      </c>
      <c r="O276">
        <v>58.448929344199797</v>
      </c>
      <c r="P276">
        <v>78.863013999106897</v>
      </c>
      <c r="Q276">
        <v>1</v>
      </c>
      <c r="R276">
        <v>0</v>
      </c>
      <c r="S276">
        <v>20.160701241782299</v>
      </c>
    </row>
    <row r="277" spans="1:19" x14ac:dyDescent="0.25">
      <c r="A277">
        <v>21</v>
      </c>
      <c r="B277">
        <v>163</v>
      </c>
      <c r="C277">
        <v>69</v>
      </c>
      <c r="D277" t="s">
        <v>20</v>
      </c>
      <c r="E277">
        <v>8.4348943955324902</v>
      </c>
      <c r="F277">
        <v>18</v>
      </c>
      <c r="G277">
        <v>1</v>
      </c>
      <c r="H277">
        <v>66.302354226874797</v>
      </c>
      <c r="I277">
        <v>76.825858099956505</v>
      </c>
      <c r="J277">
        <v>251.56387838052501</v>
      </c>
      <c r="K277">
        <v>89.061054182714699</v>
      </c>
      <c r="L277">
        <v>5.6598321758240902</v>
      </c>
      <c r="M277">
        <v>75.900121605081907</v>
      </c>
      <c r="N277">
        <v>8.4551167610110198</v>
      </c>
      <c r="O277">
        <v>59.673611215691999</v>
      </c>
      <c r="P277">
        <v>71.711979617587502</v>
      </c>
      <c r="Q277">
        <v>1</v>
      </c>
      <c r="R277">
        <v>1</v>
      </c>
      <c r="S277">
        <v>25.970115548195199</v>
      </c>
    </row>
    <row r="278" spans="1:19" x14ac:dyDescent="0.25">
      <c r="A278">
        <v>19</v>
      </c>
      <c r="B278">
        <v>183</v>
      </c>
      <c r="C278">
        <v>63</v>
      </c>
      <c r="D278" t="s">
        <v>19</v>
      </c>
      <c r="E278">
        <v>6.8524750364985998</v>
      </c>
      <c r="F278">
        <v>38</v>
      </c>
      <c r="G278">
        <v>0</v>
      </c>
      <c r="H278">
        <v>77.822579787151398</v>
      </c>
      <c r="I278">
        <v>74.7820217664772</v>
      </c>
      <c r="J278">
        <v>225.77339592059801</v>
      </c>
      <c r="K278">
        <v>87.975373859680801</v>
      </c>
      <c r="L278">
        <v>6.1149780660154196</v>
      </c>
      <c r="M278">
        <v>75.198460603193595</v>
      </c>
      <c r="N278">
        <v>7.4979192886448303</v>
      </c>
      <c r="O278">
        <v>41.125533275108999</v>
      </c>
      <c r="P278">
        <v>83.986876580460105</v>
      </c>
      <c r="Q278">
        <v>1</v>
      </c>
      <c r="R278">
        <v>0</v>
      </c>
      <c r="S278">
        <v>18.812147272238601</v>
      </c>
    </row>
    <row r="279" spans="1:19" x14ac:dyDescent="0.25">
      <c r="A279">
        <v>20</v>
      </c>
      <c r="B279">
        <v>179</v>
      </c>
      <c r="C279">
        <v>61</v>
      </c>
      <c r="D279" t="s">
        <v>22</v>
      </c>
      <c r="E279">
        <v>9.3238669923100499</v>
      </c>
      <c r="F279">
        <v>14</v>
      </c>
      <c r="G279">
        <v>1</v>
      </c>
      <c r="H279">
        <v>85.615269955461798</v>
      </c>
      <c r="I279">
        <v>76.811309424765597</v>
      </c>
      <c r="J279">
        <v>223.33779476382301</v>
      </c>
      <c r="K279">
        <v>92.276937907821505</v>
      </c>
      <c r="L279">
        <v>6.6910517795054298</v>
      </c>
      <c r="M279">
        <v>100</v>
      </c>
      <c r="N279">
        <v>8.2086753178910303</v>
      </c>
      <c r="O279">
        <v>50.9899765822787</v>
      </c>
      <c r="P279">
        <v>75.323590917547605</v>
      </c>
      <c r="Q279">
        <v>0</v>
      </c>
      <c r="R279">
        <v>0</v>
      </c>
      <c r="S279">
        <v>19.038107424861799</v>
      </c>
    </row>
    <row r="280" spans="1:19" x14ac:dyDescent="0.25">
      <c r="A280">
        <v>18</v>
      </c>
      <c r="B280">
        <v>171</v>
      </c>
      <c r="C280">
        <v>75</v>
      </c>
      <c r="D280" t="s">
        <v>22</v>
      </c>
      <c r="E280">
        <v>8.0483261888716893</v>
      </c>
      <c r="F280">
        <v>19</v>
      </c>
      <c r="G280">
        <v>3</v>
      </c>
      <c r="H280">
        <v>78.835376158663394</v>
      </c>
      <c r="I280">
        <v>74.2299247197071</v>
      </c>
      <c r="J280">
        <v>267.081668666209</v>
      </c>
      <c r="K280">
        <v>86.919462502464199</v>
      </c>
      <c r="L280">
        <v>5.86271390738208</v>
      </c>
      <c r="M280">
        <v>71.763241138684094</v>
      </c>
      <c r="N280">
        <v>7.2756620603537501</v>
      </c>
      <c r="O280">
        <v>62.382453807378198</v>
      </c>
      <c r="P280">
        <v>68.633951168372604</v>
      </c>
      <c r="Q280">
        <v>1</v>
      </c>
      <c r="R280">
        <v>1</v>
      </c>
      <c r="S280">
        <v>25.648917615676599</v>
      </c>
    </row>
    <row r="281" spans="1:19" x14ac:dyDescent="0.25">
      <c r="A281">
        <v>22</v>
      </c>
      <c r="B281">
        <v>164</v>
      </c>
      <c r="C281">
        <v>82</v>
      </c>
      <c r="D281" t="s">
        <v>22</v>
      </c>
      <c r="E281">
        <v>5.71181933746821</v>
      </c>
      <c r="F281">
        <v>22</v>
      </c>
      <c r="G281">
        <v>0</v>
      </c>
      <c r="H281">
        <v>79.852150969432202</v>
      </c>
      <c r="I281">
        <v>79.070871392030796</v>
      </c>
      <c r="J281">
        <v>226.93288707866</v>
      </c>
      <c r="K281">
        <v>72.6469140490954</v>
      </c>
      <c r="L281">
        <v>5.9343272541482204</v>
      </c>
      <c r="M281">
        <v>80.165339056544298</v>
      </c>
      <c r="N281">
        <v>8.3858549623052898</v>
      </c>
      <c r="O281">
        <v>47.273588440249</v>
      </c>
      <c r="P281">
        <v>80.255237281777497</v>
      </c>
      <c r="Q281">
        <v>0</v>
      </c>
      <c r="R281">
        <v>0</v>
      </c>
      <c r="S281">
        <v>30.487804878048699</v>
      </c>
    </row>
    <row r="282" spans="1:19" x14ac:dyDescent="0.25">
      <c r="A282">
        <v>20</v>
      </c>
      <c r="B282">
        <v>172</v>
      </c>
      <c r="C282">
        <v>75</v>
      </c>
      <c r="D282" t="s">
        <v>22</v>
      </c>
      <c r="E282">
        <v>6.41618766230446</v>
      </c>
      <c r="F282">
        <v>10</v>
      </c>
      <c r="G282">
        <v>0</v>
      </c>
      <c r="H282">
        <v>87.388477143387405</v>
      </c>
      <c r="I282">
        <v>77.571253070052705</v>
      </c>
      <c r="J282">
        <v>221.81609266431801</v>
      </c>
      <c r="K282">
        <v>82.645357970152503</v>
      </c>
      <c r="L282">
        <v>6.1134721126002596</v>
      </c>
      <c r="M282">
        <v>75.304396495864907</v>
      </c>
      <c r="N282">
        <v>8.1716178875255299</v>
      </c>
      <c r="O282">
        <v>51.182690899049597</v>
      </c>
      <c r="P282">
        <v>83.367448971283096</v>
      </c>
      <c r="Q282">
        <v>0</v>
      </c>
      <c r="R282">
        <v>0</v>
      </c>
      <c r="S282">
        <v>25.351541373715499</v>
      </c>
    </row>
    <row r="283" spans="1:19" x14ac:dyDescent="0.25">
      <c r="A283">
        <v>21</v>
      </c>
      <c r="B283">
        <v>193</v>
      </c>
      <c r="C283">
        <v>77</v>
      </c>
      <c r="D283" t="s">
        <v>20</v>
      </c>
      <c r="E283">
        <v>8.4679480305272694</v>
      </c>
      <c r="F283">
        <v>19</v>
      </c>
      <c r="G283">
        <v>2</v>
      </c>
      <c r="H283">
        <v>71.255750793161297</v>
      </c>
      <c r="I283">
        <v>70.288468671925202</v>
      </c>
      <c r="J283">
        <v>245.727864316726</v>
      </c>
      <c r="K283">
        <v>72.081505332613602</v>
      </c>
      <c r="L283">
        <v>5.9493711565421297</v>
      </c>
      <c r="M283">
        <v>73.208144323936693</v>
      </c>
      <c r="N283">
        <v>5.1853114665158797</v>
      </c>
      <c r="O283">
        <v>55.716034077544698</v>
      </c>
      <c r="P283">
        <v>76.580367143515204</v>
      </c>
      <c r="Q283">
        <v>0</v>
      </c>
      <c r="R283">
        <v>1</v>
      </c>
      <c r="S283">
        <v>20.6716958844532</v>
      </c>
    </row>
    <row r="284" spans="1:19" x14ac:dyDescent="0.25">
      <c r="A284">
        <v>20</v>
      </c>
      <c r="B284">
        <v>170</v>
      </c>
      <c r="C284">
        <v>79</v>
      </c>
      <c r="D284" t="s">
        <v>22</v>
      </c>
      <c r="E284">
        <v>7.1722429593876198</v>
      </c>
      <c r="F284">
        <v>36</v>
      </c>
      <c r="G284">
        <v>2</v>
      </c>
      <c r="H284">
        <v>61.371971656055599</v>
      </c>
      <c r="I284">
        <v>79.509752788133099</v>
      </c>
      <c r="J284">
        <v>259.22435628388098</v>
      </c>
      <c r="K284">
        <v>61.3659360267485</v>
      </c>
      <c r="L284">
        <v>6.1752752608881503</v>
      </c>
      <c r="M284">
        <v>69.1004184531498</v>
      </c>
      <c r="N284">
        <v>7.1941502801651396</v>
      </c>
      <c r="O284">
        <v>65.491733968877298</v>
      </c>
      <c r="P284">
        <v>77.634741492295802</v>
      </c>
      <c r="Q284">
        <v>0</v>
      </c>
      <c r="R284">
        <v>1</v>
      </c>
      <c r="S284">
        <v>27.335640138408301</v>
      </c>
    </row>
    <row r="285" spans="1:19" x14ac:dyDescent="0.25">
      <c r="A285">
        <v>21</v>
      </c>
      <c r="B285">
        <v>177</v>
      </c>
      <c r="C285">
        <v>71</v>
      </c>
      <c r="D285" t="s">
        <v>21</v>
      </c>
      <c r="E285">
        <v>7.6204608339989699</v>
      </c>
      <c r="F285">
        <v>5</v>
      </c>
      <c r="G285">
        <v>3</v>
      </c>
      <c r="H285">
        <v>70.311793021682902</v>
      </c>
      <c r="I285">
        <v>82.008946842403702</v>
      </c>
      <c r="J285">
        <v>236.92137619831499</v>
      </c>
      <c r="K285">
        <v>87.371556806962701</v>
      </c>
      <c r="L285">
        <v>6.3833801563187</v>
      </c>
      <c r="M285">
        <v>68.674083701074906</v>
      </c>
      <c r="N285">
        <v>7.0143745859356796</v>
      </c>
      <c r="O285">
        <v>36.430290182237201</v>
      </c>
      <c r="P285">
        <v>83.362032678674595</v>
      </c>
      <c r="Q285">
        <v>1</v>
      </c>
      <c r="R285">
        <v>0</v>
      </c>
      <c r="S285">
        <v>22.662708672475901</v>
      </c>
    </row>
    <row r="286" spans="1:19" x14ac:dyDescent="0.25">
      <c r="A286">
        <v>24</v>
      </c>
      <c r="B286">
        <v>175</v>
      </c>
      <c r="C286">
        <v>69</v>
      </c>
      <c r="D286" t="s">
        <v>20</v>
      </c>
      <c r="E286">
        <v>9.6510454409243494</v>
      </c>
      <c r="F286">
        <v>30</v>
      </c>
      <c r="G286">
        <v>2</v>
      </c>
      <c r="H286">
        <v>80.399809155370306</v>
      </c>
      <c r="I286">
        <v>81.606784911377702</v>
      </c>
      <c r="J286">
        <v>250.805325165569</v>
      </c>
      <c r="K286">
        <v>77.718237230064204</v>
      </c>
      <c r="L286">
        <v>5.9297861524800402</v>
      </c>
      <c r="M286">
        <v>69.072331129067095</v>
      </c>
      <c r="N286">
        <v>7.68908374029506</v>
      </c>
      <c r="O286">
        <v>34.398711740440199</v>
      </c>
      <c r="P286">
        <v>72.968328451159607</v>
      </c>
      <c r="Q286">
        <v>1</v>
      </c>
      <c r="R286">
        <v>0</v>
      </c>
      <c r="S286">
        <v>22.530612244897899</v>
      </c>
    </row>
    <row r="287" spans="1:19" x14ac:dyDescent="0.25">
      <c r="A287">
        <v>23</v>
      </c>
      <c r="B287">
        <v>165</v>
      </c>
      <c r="C287">
        <v>60</v>
      </c>
      <c r="D287" t="s">
        <v>20</v>
      </c>
      <c r="E287">
        <v>10.5895386991454</v>
      </c>
      <c r="F287">
        <v>13</v>
      </c>
      <c r="G287">
        <v>4</v>
      </c>
      <c r="H287">
        <v>74.906822360607094</v>
      </c>
      <c r="I287">
        <v>66.543258407293806</v>
      </c>
      <c r="J287">
        <v>247.910310483187</v>
      </c>
      <c r="K287">
        <v>70.333294331868899</v>
      </c>
      <c r="L287">
        <v>6.0839206113288302</v>
      </c>
      <c r="M287">
        <v>71.231931657522907</v>
      </c>
      <c r="N287">
        <v>6.7286293608366696</v>
      </c>
      <c r="O287">
        <v>45.062572723542203</v>
      </c>
      <c r="P287">
        <v>56.666411595642302</v>
      </c>
      <c r="Q287">
        <v>0</v>
      </c>
      <c r="R287">
        <v>1</v>
      </c>
      <c r="S287">
        <v>22.0385674931129</v>
      </c>
    </row>
    <row r="288" spans="1:19" x14ac:dyDescent="0.25">
      <c r="A288">
        <v>19</v>
      </c>
      <c r="B288">
        <v>174</v>
      </c>
      <c r="C288">
        <v>87</v>
      </c>
      <c r="D288" t="s">
        <v>20</v>
      </c>
      <c r="E288">
        <v>6.7758036141894102</v>
      </c>
      <c r="F288">
        <v>10</v>
      </c>
      <c r="G288">
        <v>1</v>
      </c>
      <c r="H288">
        <v>75.565914734831793</v>
      </c>
      <c r="I288">
        <v>83.083867185977894</v>
      </c>
      <c r="J288">
        <v>242.759176425433</v>
      </c>
      <c r="K288">
        <v>86.502787469183801</v>
      </c>
      <c r="L288">
        <v>6.4317913759141199</v>
      </c>
      <c r="M288">
        <v>77.118311562956293</v>
      </c>
      <c r="N288">
        <v>7.7156231749777398</v>
      </c>
      <c r="O288">
        <v>56.600916985626299</v>
      </c>
      <c r="P288">
        <v>88.7418770045972</v>
      </c>
      <c r="Q288">
        <v>0</v>
      </c>
      <c r="R288">
        <v>0</v>
      </c>
      <c r="S288">
        <v>28.735632183907999</v>
      </c>
    </row>
    <row r="289" spans="1:19" x14ac:dyDescent="0.25">
      <c r="A289">
        <v>24</v>
      </c>
      <c r="B289">
        <v>181</v>
      </c>
      <c r="C289">
        <v>82</v>
      </c>
      <c r="D289" t="s">
        <v>22</v>
      </c>
      <c r="E289">
        <v>8.8380656546268792</v>
      </c>
      <c r="F289">
        <v>14</v>
      </c>
      <c r="G289">
        <v>0</v>
      </c>
      <c r="H289">
        <v>64.915423637132093</v>
      </c>
      <c r="I289">
        <v>75.582143634811104</v>
      </c>
      <c r="J289">
        <v>255.53624838497399</v>
      </c>
      <c r="K289">
        <v>79.664840796660798</v>
      </c>
      <c r="L289">
        <v>5.8016741941432803</v>
      </c>
      <c r="M289">
        <v>56.625998304472802</v>
      </c>
      <c r="N289">
        <v>7.1897737291686301</v>
      </c>
      <c r="O289">
        <v>53.107495537002301</v>
      </c>
      <c r="P289">
        <v>75.290234640894795</v>
      </c>
      <c r="Q289">
        <v>1</v>
      </c>
      <c r="R289">
        <v>1</v>
      </c>
      <c r="S289">
        <v>25.0297609963065</v>
      </c>
    </row>
    <row r="290" spans="1:19" x14ac:dyDescent="0.25">
      <c r="A290">
        <v>21</v>
      </c>
      <c r="B290">
        <v>187</v>
      </c>
      <c r="C290">
        <v>76</v>
      </c>
      <c r="D290" t="s">
        <v>19</v>
      </c>
      <c r="E290">
        <v>5.3966067038232204</v>
      </c>
      <c r="F290">
        <v>13</v>
      </c>
      <c r="G290">
        <v>4</v>
      </c>
      <c r="H290">
        <v>74.976140705017301</v>
      </c>
      <c r="I290">
        <v>74.862672096011806</v>
      </c>
      <c r="J290">
        <v>245.37201029352599</v>
      </c>
      <c r="K290">
        <v>74.699187234009898</v>
      </c>
      <c r="L290">
        <v>5.7899603426323196</v>
      </c>
      <c r="M290">
        <v>67.057373035677998</v>
      </c>
      <c r="N290">
        <v>6.1830425082222096</v>
      </c>
      <c r="O290">
        <v>56.178577654079398</v>
      </c>
      <c r="P290">
        <v>69.3924933354876</v>
      </c>
      <c r="Q290">
        <v>0</v>
      </c>
      <c r="R290">
        <v>1</v>
      </c>
      <c r="S290">
        <v>21.733535417083701</v>
      </c>
    </row>
    <row r="291" spans="1:19" x14ac:dyDescent="0.25">
      <c r="A291">
        <v>21</v>
      </c>
      <c r="B291">
        <v>178</v>
      </c>
      <c r="C291">
        <v>65</v>
      </c>
      <c r="D291" t="s">
        <v>19</v>
      </c>
      <c r="E291">
        <v>13.307166901219301</v>
      </c>
      <c r="F291">
        <v>18</v>
      </c>
      <c r="G291">
        <v>5</v>
      </c>
      <c r="H291">
        <v>78.044684396058301</v>
      </c>
      <c r="I291">
        <v>64.868637608054399</v>
      </c>
      <c r="J291">
        <v>249.74370957560399</v>
      </c>
      <c r="K291">
        <v>74.012032173830093</v>
      </c>
      <c r="L291">
        <v>5.6249825429623899</v>
      </c>
      <c r="M291">
        <v>79.185268090363707</v>
      </c>
      <c r="N291">
        <v>8.0698806979510795</v>
      </c>
      <c r="O291">
        <v>54.116665249738503</v>
      </c>
      <c r="P291">
        <v>79.796230922877498</v>
      </c>
      <c r="Q291">
        <v>0</v>
      </c>
      <c r="R291">
        <v>1</v>
      </c>
      <c r="S291">
        <v>20.515086478979899</v>
      </c>
    </row>
    <row r="292" spans="1:19" x14ac:dyDescent="0.25">
      <c r="A292">
        <v>20</v>
      </c>
      <c r="B292">
        <v>172</v>
      </c>
      <c r="C292">
        <v>67</v>
      </c>
      <c r="D292" t="s">
        <v>22</v>
      </c>
      <c r="E292">
        <v>10.175688015930101</v>
      </c>
      <c r="F292">
        <v>22</v>
      </c>
      <c r="G292">
        <v>1</v>
      </c>
      <c r="H292">
        <v>78.136460998569106</v>
      </c>
      <c r="I292">
        <v>73.071840012365897</v>
      </c>
      <c r="J292">
        <v>231.86188368329601</v>
      </c>
      <c r="K292">
        <v>90.443764905737595</v>
      </c>
      <c r="L292">
        <v>6.1091523789275097</v>
      </c>
      <c r="M292">
        <v>69.679130214604399</v>
      </c>
      <c r="N292">
        <v>8.1981866122251201</v>
      </c>
      <c r="O292">
        <v>77.993895723750299</v>
      </c>
      <c r="P292">
        <v>83.341715316743603</v>
      </c>
      <c r="Q292">
        <v>1</v>
      </c>
      <c r="R292">
        <v>0</v>
      </c>
      <c r="S292">
        <v>22.6473769605192</v>
      </c>
    </row>
    <row r="293" spans="1:19" x14ac:dyDescent="0.25">
      <c r="A293">
        <v>21</v>
      </c>
      <c r="B293">
        <v>171</v>
      </c>
      <c r="C293">
        <v>60</v>
      </c>
      <c r="D293" t="s">
        <v>21</v>
      </c>
      <c r="E293">
        <v>9.1078974250244897</v>
      </c>
      <c r="F293">
        <v>29</v>
      </c>
      <c r="G293">
        <v>0</v>
      </c>
      <c r="H293">
        <v>81.382544155244204</v>
      </c>
      <c r="I293">
        <v>78.823340662737394</v>
      </c>
      <c r="J293">
        <v>287.63869462195902</v>
      </c>
      <c r="K293">
        <v>92.190609372982195</v>
      </c>
      <c r="L293">
        <v>6.2836476105089298</v>
      </c>
      <c r="M293">
        <v>77.964576855434402</v>
      </c>
      <c r="N293">
        <v>7.5624659755656003</v>
      </c>
      <c r="O293">
        <v>40.910962460268003</v>
      </c>
      <c r="P293">
        <v>80.343560732043201</v>
      </c>
      <c r="Q293">
        <v>0</v>
      </c>
      <c r="R293">
        <v>0</v>
      </c>
      <c r="S293">
        <v>20.519134092541201</v>
      </c>
    </row>
    <row r="294" spans="1:19" x14ac:dyDescent="0.25">
      <c r="A294">
        <v>18</v>
      </c>
      <c r="B294">
        <v>178</v>
      </c>
      <c r="C294">
        <v>75</v>
      </c>
      <c r="D294" t="s">
        <v>20</v>
      </c>
      <c r="E294">
        <v>10.938383623524199</v>
      </c>
      <c r="F294">
        <v>10</v>
      </c>
      <c r="G294">
        <v>3</v>
      </c>
      <c r="H294">
        <v>66.353274076710704</v>
      </c>
      <c r="I294">
        <v>77.266636870341799</v>
      </c>
      <c r="J294">
        <v>188.377190636226</v>
      </c>
      <c r="K294">
        <v>85.423297072921301</v>
      </c>
      <c r="L294">
        <v>5.1719993946791103</v>
      </c>
      <c r="M294">
        <v>75.095788187169504</v>
      </c>
      <c r="N294">
        <v>6.5425169020629701</v>
      </c>
      <c r="O294">
        <v>67.706618376057307</v>
      </c>
      <c r="P294">
        <v>68.742705983568896</v>
      </c>
      <c r="Q294">
        <v>1</v>
      </c>
      <c r="R294">
        <v>1</v>
      </c>
      <c r="S294">
        <v>23.671253629592201</v>
      </c>
    </row>
    <row r="295" spans="1:19" x14ac:dyDescent="0.25">
      <c r="A295">
        <v>22</v>
      </c>
      <c r="B295">
        <v>181</v>
      </c>
      <c r="C295">
        <v>79</v>
      </c>
      <c r="D295" t="s">
        <v>22</v>
      </c>
      <c r="E295">
        <v>9.5573631972652002</v>
      </c>
      <c r="F295">
        <v>34</v>
      </c>
      <c r="G295">
        <v>2</v>
      </c>
      <c r="H295">
        <v>84.744045403219801</v>
      </c>
      <c r="I295">
        <v>85.752228234044907</v>
      </c>
      <c r="J295">
        <v>264.36432822430697</v>
      </c>
      <c r="K295">
        <v>94.4980611142676</v>
      </c>
      <c r="L295">
        <v>6.6561609533399002</v>
      </c>
      <c r="M295">
        <v>89.381860611592103</v>
      </c>
      <c r="N295">
        <v>8.8485875231089697</v>
      </c>
      <c r="O295">
        <v>72.819316431777395</v>
      </c>
      <c r="P295">
        <v>84.203663851816998</v>
      </c>
      <c r="Q295">
        <v>1</v>
      </c>
      <c r="R295">
        <v>0</v>
      </c>
      <c r="S295">
        <v>24.114038033027001</v>
      </c>
    </row>
    <row r="296" spans="1:19" x14ac:dyDescent="0.25">
      <c r="A296">
        <v>20</v>
      </c>
      <c r="B296">
        <v>180</v>
      </c>
      <c r="C296">
        <v>92</v>
      </c>
      <c r="D296" t="s">
        <v>21</v>
      </c>
      <c r="E296">
        <v>5</v>
      </c>
      <c r="F296">
        <v>38</v>
      </c>
      <c r="G296">
        <v>1</v>
      </c>
      <c r="H296">
        <v>81.199881335777803</v>
      </c>
      <c r="I296">
        <v>83.890489063787996</v>
      </c>
      <c r="J296">
        <v>226.61658869711599</v>
      </c>
      <c r="K296">
        <v>90.132654762391894</v>
      </c>
      <c r="L296">
        <v>6.26966937893412</v>
      </c>
      <c r="M296">
        <v>91.888969578243405</v>
      </c>
      <c r="N296">
        <v>8.2884619483314506</v>
      </c>
      <c r="O296">
        <v>57.707838844686002</v>
      </c>
      <c r="P296">
        <v>75.560091488897001</v>
      </c>
      <c r="Q296">
        <v>1</v>
      </c>
      <c r="R296">
        <v>0</v>
      </c>
      <c r="S296">
        <v>28.395061728395</v>
      </c>
    </row>
    <row r="297" spans="1:19" x14ac:dyDescent="0.25">
      <c r="A297">
        <v>19</v>
      </c>
      <c r="B297">
        <v>181</v>
      </c>
      <c r="C297">
        <v>74</v>
      </c>
      <c r="D297" t="s">
        <v>21</v>
      </c>
      <c r="E297">
        <v>11.6805838492097</v>
      </c>
      <c r="F297">
        <v>27</v>
      </c>
      <c r="G297">
        <v>2</v>
      </c>
      <c r="H297">
        <v>71.303955256446798</v>
      </c>
      <c r="I297">
        <v>69.776174756677705</v>
      </c>
      <c r="J297">
        <v>250.770711184829</v>
      </c>
      <c r="K297">
        <v>88.060436615220397</v>
      </c>
      <c r="L297">
        <v>6.52391059630044</v>
      </c>
      <c r="M297">
        <v>86.421080891377301</v>
      </c>
      <c r="N297">
        <v>5.8844347506626598</v>
      </c>
      <c r="O297">
        <v>65.884761753990304</v>
      </c>
      <c r="P297">
        <v>54.311707797334897</v>
      </c>
      <c r="Q297">
        <v>0</v>
      </c>
      <c r="R297">
        <v>1</v>
      </c>
      <c r="S297">
        <v>22.587833094227801</v>
      </c>
    </row>
    <row r="298" spans="1:19" x14ac:dyDescent="0.25">
      <c r="A298">
        <v>23</v>
      </c>
      <c r="B298">
        <v>173</v>
      </c>
      <c r="C298">
        <v>82</v>
      </c>
      <c r="D298" t="s">
        <v>19</v>
      </c>
      <c r="E298">
        <v>7.5852641569053096</v>
      </c>
      <c r="F298">
        <v>30</v>
      </c>
      <c r="G298">
        <v>1</v>
      </c>
      <c r="H298">
        <v>65.443824836603397</v>
      </c>
      <c r="I298">
        <v>80.049705717915799</v>
      </c>
      <c r="J298">
        <v>258.68848876916798</v>
      </c>
      <c r="K298">
        <v>79.496955537979801</v>
      </c>
      <c r="L298">
        <v>5.5977135296760503</v>
      </c>
      <c r="M298">
        <v>71.796743325916594</v>
      </c>
      <c r="N298">
        <v>7.1304184620894597</v>
      </c>
      <c r="O298">
        <v>59.818533180691801</v>
      </c>
      <c r="P298">
        <v>68.883079156758697</v>
      </c>
      <c r="Q298">
        <v>0</v>
      </c>
      <c r="R298">
        <v>1</v>
      </c>
      <c r="S298">
        <v>27.3981756824484</v>
      </c>
    </row>
    <row r="299" spans="1:19" x14ac:dyDescent="0.25">
      <c r="A299">
        <v>21</v>
      </c>
      <c r="B299">
        <v>168</v>
      </c>
      <c r="C299">
        <v>78</v>
      </c>
      <c r="D299" t="s">
        <v>19</v>
      </c>
      <c r="E299">
        <v>7.9568500722248698</v>
      </c>
      <c r="F299">
        <v>28</v>
      </c>
      <c r="G299">
        <v>2</v>
      </c>
      <c r="H299">
        <v>71.602239887945601</v>
      </c>
      <c r="I299">
        <v>87.588998733229502</v>
      </c>
      <c r="J299">
        <v>258.618759571792</v>
      </c>
      <c r="K299">
        <v>83.319166749028994</v>
      </c>
      <c r="L299">
        <v>5.7035414683192602</v>
      </c>
      <c r="M299">
        <v>80.495578352701003</v>
      </c>
      <c r="N299">
        <v>7.8184376070378701</v>
      </c>
      <c r="O299">
        <v>76.719686508842202</v>
      </c>
      <c r="P299">
        <v>71.559763415985103</v>
      </c>
      <c r="Q299">
        <v>0</v>
      </c>
      <c r="R299">
        <v>1</v>
      </c>
      <c r="S299">
        <v>27.636054421768701</v>
      </c>
    </row>
    <row r="300" spans="1:19" x14ac:dyDescent="0.25">
      <c r="A300">
        <v>23</v>
      </c>
      <c r="B300">
        <v>182</v>
      </c>
      <c r="C300">
        <v>86</v>
      </c>
      <c r="D300" t="s">
        <v>19</v>
      </c>
      <c r="E300">
        <v>7.9919519078673096</v>
      </c>
      <c r="F300">
        <v>37</v>
      </c>
      <c r="G300">
        <v>0</v>
      </c>
      <c r="H300">
        <v>61.525433266040601</v>
      </c>
      <c r="I300">
        <v>69.4652894144877</v>
      </c>
      <c r="J300">
        <v>279.51858300090902</v>
      </c>
      <c r="K300">
        <v>77.148754316523593</v>
      </c>
      <c r="L300">
        <v>5.8319139823982296</v>
      </c>
      <c r="M300">
        <v>67.584402246405304</v>
      </c>
      <c r="N300">
        <v>7.9515184575763804</v>
      </c>
      <c r="O300">
        <v>61.714511526989597</v>
      </c>
      <c r="P300">
        <v>63.107177041411198</v>
      </c>
      <c r="Q300">
        <v>1</v>
      </c>
      <c r="R300">
        <v>1</v>
      </c>
      <c r="S300">
        <v>25.963047941069899</v>
      </c>
    </row>
    <row r="301" spans="1:19" x14ac:dyDescent="0.25">
      <c r="A301">
        <v>24</v>
      </c>
      <c r="B301">
        <v>180</v>
      </c>
      <c r="C301">
        <v>80</v>
      </c>
      <c r="D301" t="s">
        <v>19</v>
      </c>
      <c r="E301">
        <v>10.736387447770401</v>
      </c>
      <c r="F301">
        <v>31</v>
      </c>
      <c r="G301">
        <v>1</v>
      </c>
      <c r="H301">
        <v>89.074722974574001</v>
      </c>
      <c r="I301">
        <v>79.915550801354698</v>
      </c>
      <c r="J301">
        <v>242.374915008583</v>
      </c>
      <c r="K301">
        <v>86.3886500467883</v>
      </c>
      <c r="L301">
        <v>6.2475898537004904</v>
      </c>
      <c r="M301">
        <v>85.931639439687103</v>
      </c>
      <c r="N301">
        <v>7.2512519439394199</v>
      </c>
      <c r="O301">
        <v>57.854187797952498</v>
      </c>
      <c r="P301">
        <v>79.414940015733293</v>
      </c>
      <c r="Q301">
        <v>1</v>
      </c>
      <c r="R301">
        <v>0</v>
      </c>
      <c r="S301">
        <v>24.691358024691301</v>
      </c>
    </row>
    <row r="302" spans="1:19" x14ac:dyDescent="0.25">
      <c r="A302">
        <v>20</v>
      </c>
      <c r="B302">
        <v>183</v>
      </c>
      <c r="C302">
        <v>60</v>
      </c>
      <c r="D302" t="s">
        <v>22</v>
      </c>
      <c r="E302">
        <v>8.6363642423974607</v>
      </c>
      <c r="F302">
        <v>33</v>
      </c>
      <c r="G302">
        <v>4</v>
      </c>
      <c r="H302">
        <v>66.138999638082097</v>
      </c>
      <c r="I302">
        <v>85.717781408882701</v>
      </c>
      <c r="J302">
        <v>290.98782273840499</v>
      </c>
      <c r="K302">
        <v>77.819106264364606</v>
      </c>
      <c r="L302">
        <v>6.0479758926185001</v>
      </c>
      <c r="M302">
        <v>70.7137181569272</v>
      </c>
      <c r="N302">
        <v>8.7980452976185894</v>
      </c>
      <c r="O302">
        <v>55.634289022010698</v>
      </c>
      <c r="P302">
        <v>95.265867421723698</v>
      </c>
      <c r="Q302">
        <v>0</v>
      </c>
      <c r="R302">
        <v>1</v>
      </c>
      <c r="S302">
        <v>17.916330735465301</v>
      </c>
    </row>
    <row r="303" spans="1:19" x14ac:dyDescent="0.25">
      <c r="A303">
        <v>19</v>
      </c>
      <c r="B303">
        <v>177</v>
      </c>
      <c r="C303">
        <v>82</v>
      </c>
      <c r="D303" t="s">
        <v>22</v>
      </c>
      <c r="E303">
        <v>6.8139298564111597</v>
      </c>
      <c r="F303">
        <v>5</v>
      </c>
      <c r="G303">
        <v>1</v>
      </c>
      <c r="H303">
        <v>77.466647807585005</v>
      </c>
      <c r="I303">
        <v>77.443791972208501</v>
      </c>
      <c r="J303">
        <v>233.432795478477</v>
      </c>
      <c r="K303">
        <v>72.951579703917304</v>
      </c>
      <c r="L303">
        <v>6.1993280746256598</v>
      </c>
      <c r="M303">
        <v>74.291385470546999</v>
      </c>
      <c r="N303">
        <v>6.8393768920211899</v>
      </c>
      <c r="O303">
        <v>66.919864723029605</v>
      </c>
      <c r="P303">
        <v>70.629583799019301</v>
      </c>
      <c r="Q303">
        <v>0</v>
      </c>
      <c r="R303">
        <v>0</v>
      </c>
      <c r="S303">
        <v>26.173832551310198</v>
      </c>
    </row>
    <row r="304" spans="1:19" x14ac:dyDescent="0.25">
      <c r="A304">
        <v>20</v>
      </c>
      <c r="B304">
        <v>184</v>
      </c>
      <c r="C304">
        <v>80</v>
      </c>
      <c r="D304" t="s">
        <v>20</v>
      </c>
      <c r="E304">
        <v>11.960885538849899</v>
      </c>
      <c r="F304">
        <v>16</v>
      </c>
      <c r="G304">
        <v>2</v>
      </c>
      <c r="H304">
        <v>84.521479695962299</v>
      </c>
      <c r="I304">
        <v>72.564895682023007</v>
      </c>
      <c r="J304">
        <v>202.79276302696201</v>
      </c>
      <c r="K304">
        <v>91.915074311784295</v>
      </c>
      <c r="L304">
        <v>6.0561366469455704</v>
      </c>
      <c r="M304">
        <v>87.7081943109945</v>
      </c>
      <c r="N304">
        <v>7.8990634904483903</v>
      </c>
      <c r="O304">
        <v>44.978540240160001</v>
      </c>
      <c r="P304">
        <v>61.029943491271197</v>
      </c>
      <c r="Q304">
        <v>1</v>
      </c>
      <c r="R304">
        <v>0</v>
      </c>
      <c r="S304">
        <v>23.629489603024499</v>
      </c>
    </row>
    <row r="305" spans="1:19" x14ac:dyDescent="0.25">
      <c r="A305">
        <v>19</v>
      </c>
      <c r="B305">
        <v>180</v>
      </c>
      <c r="C305">
        <v>72</v>
      </c>
      <c r="D305" t="s">
        <v>22</v>
      </c>
      <c r="E305">
        <v>10.6716671140488</v>
      </c>
      <c r="F305">
        <v>7</v>
      </c>
      <c r="G305">
        <v>2</v>
      </c>
      <c r="H305">
        <v>83.339645143831206</v>
      </c>
      <c r="I305">
        <v>84.748132423089103</v>
      </c>
      <c r="J305">
        <v>251.87886988576599</v>
      </c>
      <c r="K305">
        <v>86.738352163254902</v>
      </c>
      <c r="L305">
        <v>6.3801471686756797</v>
      </c>
      <c r="M305">
        <v>73.126321435834896</v>
      </c>
      <c r="N305">
        <v>7.5747600514712898</v>
      </c>
      <c r="O305">
        <v>50.586653913604302</v>
      </c>
      <c r="P305">
        <v>77.636949193849503</v>
      </c>
      <c r="Q305">
        <v>0</v>
      </c>
      <c r="R305">
        <v>0</v>
      </c>
      <c r="S305">
        <v>22.2222222222222</v>
      </c>
    </row>
    <row r="306" spans="1:19" x14ac:dyDescent="0.25">
      <c r="A306">
        <v>23</v>
      </c>
      <c r="B306">
        <v>177</v>
      </c>
      <c r="C306">
        <v>71</v>
      </c>
      <c r="D306" t="s">
        <v>22</v>
      </c>
      <c r="E306">
        <v>7.9617595346401204</v>
      </c>
      <c r="F306">
        <v>34</v>
      </c>
      <c r="G306">
        <v>2</v>
      </c>
      <c r="H306">
        <v>81.488427591419196</v>
      </c>
      <c r="I306">
        <v>92.634969709407898</v>
      </c>
      <c r="J306">
        <v>232.903777783924</v>
      </c>
      <c r="K306">
        <v>83.934678327953904</v>
      </c>
      <c r="L306">
        <v>6.6547561786437699</v>
      </c>
      <c r="M306">
        <v>77.813572086428806</v>
      </c>
      <c r="N306">
        <v>7.6272905621559204</v>
      </c>
      <c r="O306">
        <v>39.923693252320703</v>
      </c>
      <c r="P306">
        <v>50.628963030266199</v>
      </c>
      <c r="Q306">
        <v>1</v>
      </c>
      <c r="R306">
        <v>0</v>
      </c>
      <c r="S306">
        <v>22.662708672475901</v>
      </c>
    </row>
    <row r="307" spans="1:19" x14ac:dyDescent="0.25">
      <c r="A307">
        <v>21</v>
      </c>
      <c r="B307">
        <v>177</v>
      </c>
      <c r="C307">
        <v>72</v>
      </c>
      <c r="D307" t="s">
        <v>19</v>
      </c>
      <c r="E307">
        <v>5</v>
      </c>
      <c r="F307">
        <v>26</v>
      </c>
      <c r="G307">
        <v>0</v>
      </c>
      <c r="H307">
        <v>80.606712697442504</v>
      </c>
      <c r="I307">
        <v>77.110052173788901</v>
      </c>
      <c r="J307">
        <v>299.41870407455298</v>
      </c>
      <c r="K307">
        <v>84.654034816683094</v>
      </c>
      <c r="L307">
        <v>5.9092701360379998</v>
      </c>
      <c r="M307">
        <v>74.741944771666496</v>
      </c>
      <c r="N307">
        <v>8.1357057961515693</v>
      </c>
      <c r="O307">
        <v>48.310604723591297</v>
      </c>
      <c r="P307">
        <v>73.428110093621797</v>
      </c>
      <c r="Q307">
        <v>0</v>
      </c>
      <c r="R307">
        <v>0</v>
      </c>
      <c r="S307">
        <v>22.98190175237</v>
      </c>
    </row>
    <row r="308" spans="1:19" x14ac:dyDescent="0.25">
      <c r="A308">
        <v>23</v>
      </c>
      <c r="B308">
        <v>177</v>
      </c>
      <c r="C308">
        <v>73</v>
      </c>
      <c r="D308" t="s">
        <v>20</v>
      </c>
      <c r="E308">
        <v>9.4632300417536008</v>
      </c>
      <c r="F308">
        <v>34</v>
      </c>
      <c r="G308">
        <v>3</v>
      </c>
      <c r="H308">
        <v>78.835327065098397</v>
      </c>
      <c r="I308">
        <v>89.981847702584204</v>
      </c>
      <c r="J308">
        <v>229.05151440145701</v>
      </c>
      <c r="K308">
        <v>92.2841907407267</v>
      </c>
      <c r="L308">
        <v>5.9029465896037703</v>
      </c>
      <c r="M308">
        <v>86.8404422381833</v>
      </c>
      <c r="N308">
        <v>7.5350897185395596</v>
      </c>
      <c r="O308">
        <v>52.776479818904903</v>
      </c>
      <c r="P308">
        <v>85.890581507801798</v>
      </c>
      <c r="Q308">
        <v>1</v>
      </c>
      <c r="R308">
        <v>0</v>
      </c>
      <c r="S308">
        <v>23.301094832263999</v>
      </c>
    </row>
    <row r="309" spans="1:19" x14ac:dyDescent="0.25">
      <c r="A309">
        <v>19</v>
      </c>
      <c r="B309">
        <v>200</v>
      </c>
      <c r="C309">
        <v>60</v>
      </c>
      <c r="D309" t="s">
        <v>22</v>
      </c>
      <c r="E309">
        <v>6.8810168482771301</v>
      </c>
      <c r="F309">
        <v>33</v>
      </c>
      <c r="G309">
        <v>1</v>
      </c>
      <c r="H309">
        <v>75.317210837048293</v>
      </c>
      <c r="I309">
        <v>72.839552095816998</v>
      </c>
      <c r="J309">
        <v>262.70113296966798</v>
      </c>
      <c r="K309">
        <v>73.910289390368206</v>
      </c>
      <c r="L309">
        <v>5.68574087957413</v>
      </c>
      <c r="M309">
        <v>71.671750921165597</v>
      </c>
      <c r="N309">
        <v>6.8307464502120396</v>
      </c>
      <c r="O309">
        <v>70.168750001885499</v>
      </c>
      <c r="P309">
        <v>56.063908876170302</v>
      </c>
      <c r="Q309">
        <v>1</v>
      </c>
      <c r="R309">
        <v>1</v>
      </c>
      <c r="S309">
        <v>15</v>
      </c>
    </row>
    <row r="310" spans="1:19" x14ac:dyDescent="0.25">
      <c r="A310">
        <v>24</v>
      </c>
      <c r="B310">
        <v>188</v>
      </c>
      <c r="C310">
        <v>62</v>
      </c>
      <c r="D310" t="s">
        <v>22</v>
      </c>
      <c r="E310">
        <v>9.4365173823570494</v>
      </c>
      <c r="F310">
        <v>26</v>
      </c>
      <c r="G310">
        <v>1</v>
      </c>
      <c r="H310">
        <v>71.039359794385106</v>
      </c>
      <c r="I310">
        <v>82.278910870489</v>
      </c>
      <c r="J310">
        <v>218.40518719365201</v>
      </c>
      <c r="K310">
        <v>79.3191613033122</v>
      </c>
      <c r="L310">
        <v>5.7094807417622704</v>
      </c>
      <c r="M310">
        <v>69.1999500980194</v>
      </c>
      <c r="N310">
        <v>7.5689469905201801</v>
      </c>
      <c r="O310">
        <v>39.864946473394397</v>
      </c>
      <c r="P310">
        <v>64.659393695879004</v>
      </c>
      <c r="Q310">
        <v>1</v>
      </c>
      <c r="R310">
        <v>0</v>
      </c>
      <c r="S310">
        <v>17.5418741511996</v>
      </c>
    </row>
    <row r="311" spans="1:19" x14ac:dyDescent="0.25">
      <c r="A311">
        <v>21</v>
      </c>
      <c r="B311">
        <v>185</v>
      </c>
      <c r="C311">
        <v>78</v>
      </c>
      <c r="D311" t="s">
        <v>22</v>
      </c>
      <c r="E311">
        <v>10.513509852604001</v>
      </c>
      <c r="F311">
        <v>13</v>
      </c>
      <c r="G311">
        <v>2</v>
      </c>
      <c r="H311">
        <v>70.342065727020596</v>
      </c>
      <c r="I311">
        <v>73.425482873702705</v>
      </c>
      <c r="J311">
        <v>256.85059435879998</v>
      </c>
      <c r="K311">
        <v>85.4327340208593</v>
      </c>
      <c r="L311">
        <v>5.4386429027686303</v>
      </c>
      <c r="M311">
        <v>79.237971733399505</v>
      </c>
      <c r="N311">
        <v>5.8995664653650701</v>
      </c>
      <c r="O311">
        <v>75.928005191403798</v>
      </c>
      <c r="P311">
        <v>63.636832337105297</v>
      </c>
      <c r="Q311">
        <v>0</v>
      </c>
      <c r="R311">
        <v>1</v>
      </c>
      <c r="S311">
        <v>22.790357925493002</v>
      </c>
    </row>
    <row r="312" spans="1:19" x14ac:dyDescent="0.25">
      <c r="A312">
        <v>24</v>
      </c>
      <c r="B312">
        <v>189</v>
      </c>
      <c r="C312">
        <v>75</v>
      </c>
      <c r="D312" t="s">
        <v>22</v>
      </c>
      <c r="E312">
        <v>6.8102112111256297</v>
      </c>
      <c r="F312">
        <v>32</v>
      </c>
      <c r="G312">
        <v>2</v>
      </c>
      <c r="H312">
        <v>71.592754287943393</v>
      </c>
      <c r="I312">
        <v>68.137814728091001</v>
      </c>
      <c r="J312">
        <v>252.851246569137</v>
      </c>
      <c r="K312">
        <v>75.735189172564105</v>
      </c>
      <c r="L312">
        <v>5.44798169969983</v>
      </c>
      <c r="M312">
        <v>92.840673125408898</v>
      </c>
      <c r="N312">
        <v>5.7063589995355901</v>
      </c>
      <c r="O312">
        <v>63.545760589286701</v>
      </c>
      <c r="P312">
        <v>64.602468064446697</v>
      </c>
      <c r="Q312">
        <v>1</v>
      </c>
      <c r="R312">
        <v>1</v>
      </c>
      <c r="S312">
        <v>20.996052742084402</v>
      </c>
    </row>
    <row r="313" spans="1:19" x14ac:dyDescent="0.25">
      <c r="A313">
        <v>19</v>
      </c>
      <c r="B313">
        <v>168</v>
      </c>
      <c r="C313">
        <v>81</v>
      </c>
      <c r="D313" t="s">
        <v>22</v>
      </c>
      <c r="E313">
        <v>10.588042872779001</v>
      </c>
      <c r="F313">
        <v>21</v>
      </c>
      <c r="G313">
        <v>2</v>
      </c>
      <c r="H313">
        <v>75.002701395967094</v>
      </c>
      <c r="I313">
        <v>79.267726775971099</v>
      </c>
      <c r="J313">
        <v>244.965382258582</v>
      </c>
      <c r="K313">
        <v>78.360563291400595</v>
      </c>
      <c r="L313">
        <v>5.9769632848152998</v>
      </c>
      <c r="M313">
        <v>66.477721643936505</v>
      </c>
      <c r="N313">
        <v>6.7079998895716502</v>
      </c>
      <c r="O313">
        <v>55.7989279654008</v>
      </c>
      <c r="P313">
        <v>64.397470639681899</v>
      </c>
      <c r="Q313">
        <v>0</v>
      </c>
      <c r="R313">
        <v>1</v>
      </c>
      <c r="S313">
        <v>28.6989795918367</v>
      </c>
    </row>
    <row r="314" spans="1:19" x14ac:dyDescent="0.25">
      <c r="A314">
        <v>19</v>
      </c>
      <c r="B314">
        <v>165</v>
      </c>
      <c r="C314">
        <v>55</v>
      </c>
      <c r="D314" t="s">
        <v>21</v>
      </c>
      <c r="E314">
        <v>7.6549688832168901</v>
      </c>
      <c r="F314">
        <v>28</v>
      </c>
      <c r="G314">
        <v>3</v>
      </c>
      <c r="H314">
        <v>76.648141914937099</v>
      </c>
      <c r="I314">
        <v>80.572839656671604</v>
      </c>
      <c r="J314">
        <v>223.953602319944</v>
      </c>
      <c r="K314">
        <v>83.622085702280998</v>
      </c>
      <c r="L314">
        <v>6.1527652772897898</v>
      </c>
      <c r="M314">
        <v>81.557828531586395</v>
      </c>
      <c r="N314">
        <v>8.1451005815370898</v>
      </c>
      <c r="O314">
        <v>27.669353032265299</v>
      </c>
      <c r="P314">
        <v>87.656469442309003</v>
      </c>
      <c r="Q314">
        <v>1</v>
      </c>
      <c r="R314">
        <v>0</v>
      </c>
      <c r="S314">
        <v>20.202020202020201</v>
      </c>
    </row>
    <row r="315" spans="1:19" x14ac:dyDescent="0.25">
      <c r="A315">
        <v>20</v>
      </c>
      <c r="B315">
        <v>179</v>
      </c>
      <c r="C315">
        <v>46</v>
      </c>
      <c r="D315" t="s">
        <v>22</v>
      </c>
      <c r="E315">
        <v>12.713236805739299</v>
      </c>
      <c r="F315">
        <v>39</v>
      </c>
      <c r="G315">
        <v>0</v>
      </c>
      <c r="H315">
        <v>65.052012499034902</v>
      </c>
      <c r="I315">
        <v>88.897157576124201</v>
      </c>
      <c r="J315">
        <v>230.600784635341</v>
      </c>
      <c r="K315">
        <v>92.463354155204797</v>
      </c>
      <c r="L315">
        <v>6.0250293272403503</v>
      </c>
      <c r="M315">
        <v>72.302567265089294</v>
      </c>
      <c r="N315">
        <v>7.6158964609651401</v>
      </c>
      <c r="O315">
        <v>47.246797009278197</v>
      </c>
      <c r="P315">
        <v>71.1096905316803</v>
      </c>
      <c r="Q315">
        <v>1</v>
      </c>
      <c r="R315">
        <v>0</v>
      </c>
      <c r="S315">
        <v>14.356605599076101</v>
      </c>
    </row>
    <row r="316" spans="1:19" x14ac:dyDescent="0.25">
      <c r="A316">
        <v>19</v>
      </c>
      <c r="B316">
        <v>173</v>
      </c>
      <c r="C316">
        <v>63</v>
      </c>
      <c r="D316" t="s">
        <v>19</v>
      </c>
      <c r="E316">
        <v>7.5230754401147202</v>
      </c>
      <c r="F316">
        <v>23</v>
      </c>
      <c r="G316">
        <v>1</v>
      </c>
      <c r="H316">
        <v>70.774313296463305</v>
      </c>
      <c r="I316">
        <v>82.362370193408097</v>
      </c>
      <c r="J316">
        <v>219.27288046905801</v>
      </c>
      <c r="K316">
        <v>87.349863171571101</v>
      </c>
      <c r="L316">
        <v>5.7799032428992696</v>
      </c>
      <c r="M316">
        <v>82.632259289266102</v>
      </c>
      <c r="N316">
        <v>8.6159882575212201</v>
      </c>
      <c r="O316">
        <v>45.113986534560297</v>
      </c>
      <c r="P316">
        <v>78.864559022133193</v>
      </c>
      <c r="Q316">
        <v>1</v>
      </c>
      <c r="R316">
        <v>0</v>
      </c>
      <c r="S316">
        <v>21.0498179023689</v>
      </c>
    </row>
    <row r="317" spans="1:19" x14ac:dyDescent="0.25">
      <c r="A317">
        <v>18</v>
      </c>
      <c r="B317">
        <v>183</v>
      </c>
      <c r="C317">
        <v>64</v>
      </c>
      <c r="D317" t="s">
        <v>20</v>
      </c>
      <c r="E317">
        <v>7.2974927310739597</v>
      </c>
      <c r="F317">
        <v>12</v>
      </c>
      <c r="G317">
        <v>1</v>
      </c>
      <c r="H317">
        <v>68.572188213458105</v>
      </c>
      <c r="I317">
        <v>78.1819097721188</v>
      </c>
      <c r="J317">
        <v>243.96797687916001</v>
      </c>
      <c r="K317">
        <v>77.632294085799899</v>
      </c>
      <c r="L317">
        <v>5.9600410876407999</v>
      </c>
      <c r="M317">
        <v>93.941864852208099</v>
      </c>
      <c r="N317">
        <v>7.2112006062223504</v>
      </c>
      <c r="O317">
        <v>58.367036042947603</v>
      </c>
      <c r="P317">
        <v>60.452262113245901</v>
      </c>
      <c r="Q317">
        <v>1</v>
      </c>
      <c r="R317">
        <v>1</v>
      </c>
      <c r="S317">
        <v>19.110752784496398</v>
      </c>
    </row>
    <row r="318" spans="1:19" x14ac:dyDescent="0.25">
      <c r="A318">
        <v>20</v>
      </c>
      <c r="B318">
        <v>181</v>
      </c>
      <c r="C318">
        <v>70</v>
      </c>
      <c r="D318" t="s">
        <v>21</v>
      </c>
      <c r="E318">
        <v>13.244275138805</v>
      </c>
      <c r="F318">
        <v>5</v>
      </c>
      <c r="G318">
        <v>1</v>
      </c>
      <c r="H318">
        <v>73.038091823358599</v>
      </c>
      <c r="I318">
        <v>77.348437319809406</v>
      </c>
      <c r="J318">
        <v>246.68044020880501</v>
      </c>
      <c r="K318">
        <v>87.627341891672401</v>
      </c>
      <c r="L318">
        <v>5.8508881399759796</v>
      </c>
      <c r="M318">
        <v>74.772593416006004</v>
      </c>
      <c r="N318">
        <v>7.6092799192327103</v>
      </c>
      <c r="O318">
        <v>52.807855095085401</v>
      </c>
      <c r="P318">
        <v>67.601906357705403</v>
      </c>
      <c r="Q318">
        <v>0</v>
      </c>
      <c r="R318">
        <v>0</v>
      </c>
      <c r="S318">
        <v>21.366869143188499</v>
      </c>
    </row>
    <row r="319" spans="1:19" x14ac:dyDescent="0.25">
      <c r="A319">
        <v>23</v>
      </c>
      <c r="B319">
        <v>184</v>
      </c>
      <c r="C319">
        <v>78</v>
      </c>
      <c r="D319" t="s">
        <v>22</v>
      </c>
      <c r="E319">
        <v>11.931220260141901</v>
      </c>
      <c r="F319">
        <v>18</v>
      </c>
      <c r="G319">
        <v>0</v>
      </c>
      <c r="H319">
        <v>66.320867022348096</v>
      </c>
      <c r="I319">
        <v>79.220699636174999</v>
      </c>
      <c r="J319">
        <v>270.67833178637102</v>
      </c>
      <c r="K319">
        <v>81.943917826931994</v>
      </c>
      <c r="L319">
        <v>6.0367505260321899</v>
      </c>
      <c r="M319">
        <v>87.103191048075601</v>
      </c>
      <c r="N319">
        <v>8.4276850654259299</v>
      </c>
      <c r="O319">
        <v>52.201630524330199</v>
      </c>
      <c r="P319">
        <v>77.796803487389099</v>
      </c>
      <c r="Q319">
        <v>1</v>
      </c>
      <c r="R319">
        <v>0</v>
      </c>
      <c r="S319">
        <v>23.038752362948902</v>
      </c>
    </row>
    <row r="320" spans="1:19" x14ac:dyDescent="0.25">
      <c r="A320">
        <v>24</v>
      </c>
      <c r="B320">
        <v>172</v>
      </c>
      <c r="C320">
        <v>64</v>
      </c>
      <c r="D320" t="s">
        <v>20</v>
      </c>
      <c r="E320">
        <v>7.5520366776984504</v>
      </c>
      <c r="F320">
        <v>19</v>
      </c>
      <c r="G320">
        <v>4</v>
      </c>
      <c r="H320">
        <v>71.550229113915407</v>
      </c>
      <c r="I320">
        <v>70.569239619813104</v>
      </c>
      <c r="J320">
        <v>241.47181426361601</v>
      </c>
      <c r="K320">
        <v>74.206796833422302</v>
      </c>
      <c r="L320">
        <v>5.92055416764354</v>
      </c>
      <c r="M320">
        <v>73.603648283608706</v>
      </c>
      <c r="N320">
        <v>7.9551619340707997</v>
      </c>
      <c r="O320">
        <v>68.6899592207713</v>
      </c>
      <c r="P320">
        <v>64.171705378989003</v>
      </c>
      <c r="Q320">
        <v>0</v>
      </c>
      <c r="R320">
        <v>1</v>
      </c>
      <c r="S320">
        <v>21.633315305570498</v>
      </c>
    </row>
    <row r="321" spans="1:19" x14ac:dyDescent="0.25">
      <c r="A321">
        <v>24</v>
      </c>
      <c r="B321">
        <v>178</v>
      </c>
      <c r="C321">
        <v>53</v>
      </c>
      <c r="D321" t="s">
        <v>22</v>
      </c>
      <c r="E321">
        <v>6.1887977301119399</v>
      </c>
      <c r="F321">
        <v>11</v>
      </c>
      <c r="G321">
        <v>1</v>
      </c>
      <c r="H321">
        <v>66.735453284245395</v>
      </c>
      <c r="I321">
        <v>70.550361015534705</v>
      </c>
      <c r="J321">
        <v>249.742087467223</v>
      </c>
      <c r="K321">
        <v>88.063126671459997</v>
      </c>
      <c r="L321">
        <v>6.2047878044750098</v>
      </c>
      <c r="M321">
        <v>89.808598447434306</v>
      </c>
      <c r="N321">
        <v>7.76265150474633</v>
      </c>
      <c r="O321">
        <v>45.001819213928201</v>
      </c>
      <c r="P321">
        <v>69.464324859787297</v>
      </c>
      <c r="Q321">
        <v>1</v>
      </c>
      <c r="R321">
        <v>0</v>
      </c>
      <c r="S321">
        <v>16.727685898245099</v>
      </c>
    </row>
    <row r="322" spans="1:19" x14ac:dyDescent="0.25">
      <c r="A322">
        <v>21</v>
      </c>
      <c r="B322">
        <v>191</v>
      </c>
      <c r="C322">
        <v>83</v>
      </c>
      <c r="D322" t="s">
        <v>20</v>
      </c>
      <c r="E322">
        <v>8.5390548434647293</v>
      </c>
      <c r="F322">
        <v>17</v>
      </c>
      <c r="G322">
        <v>0</v>
      </c>
      <c r="H322">
        <v>69.926713704995095</v>
      </c>
      <c r="I322">
        <v>86.040617376470806</v>
      </c>
      <c r="J322">
        <v>281.86776528477901</v>
      </c>
      <c r="K322">
        <v>78.082512343984803</v>
      </c>
      <c r="L322">
        <v>5.4578798325492901</v>
      </c>
      <c r="M322">
        <v>82.846695135929195</v>
      </c>
      <c r="N322">
        <v>6.5130302903523898</v>
      </c>
      <c r="O322">
        <v>49.101157020552897</v>
      </c>
      <c r="P322">
        <v>69.286106631851098</v>
      </c>
      <c r="Q322">
        <v>1</v>
      </c>
      <c r="R322">
        <v>0</v>
      </c>
      <c r="S322">
        <v>22.751569310051799</v>
      </c>
    </row>
    <row r="323" spans="1:19" x14ac:dyDescent="0.25">
      <c r="A323">
        <v>24</v>
      </c>
      <c r="B323">
        <v>176</v>
      </c>
      <c r="C323">
        <v>67</v>
      </c>
      <c r="D323" t="s">
        <v>19</v>
      </c>
      <c r="E323">
        <v>6.3540371332575498</v>
      </c>
      <c r="F323">
        <v>17</v>
      </c>
      <c r="G323">
        <v>0</v>
      </c>
      <c r="H323">
        <v>64.301371282212102</v>
      </c>
      <c r="I323">
        <v>69.348344894742695</v>
      </c>
      <c r="J323">
        <v>248.06136350052401</v>
      </c>
      <c r="K323">
        <v>78.414399089834802</v>
      </c>
      <c r="L323">
        <v>5.9088843717871997</v>
      </c>
      <c r="M323">
        <v>79.896846257140595</v>
      </c>
      <c r="N323">
        <v>6.4093199211707503</v>
      </c>
      <c r="O323">
        <v>55.158350119735999</v>
      </c>
      <c r="P323">
        <v>77.263593007659793</v>
      </c>
      <c r="Q323">
        <v>1</v>
      </c>
      <c r="R323">
        <v>1</v>
      </c>
      <c r="S323">
        <v>21.6296487603305</v>
      </c>
    </row>
    <row r="324" spans="1:19" x14ac:dyDescent="0.25">
      <c r="A324">
        <v>19</v>
      </c>
      <c r="B324">
        <v>179</v>
      </c>
      <c r="C324">
        <v>69</v>
      </c>
      <c r="D324" t="s">
        <v>22</v>
      </c>
      <c r="E324">
        <v>13.2752043335173</v>
      </c>
      <c r="F324">
        <v>18</v>
      </c>
      <c r="G324">
        <v>1</v>
      </c>
      <c r="H324">
        <v>63.0234487959342</v>
      </c>
      <c r="I324">
        <v>83.063915176490497</v>
      </c>
      <c r="J324">
        <v>247.631863529089</v>
      </c>
      <c r="K324">
        <v>91.101118062564595</v>
      </c>
      <c r="L324">
        <v>5.8446552497019102</v>
      </c>
      <c r="M324">
        <v>79.446097922970694</v>
      </c>
      <c r="N324">
        <v>8.5617136416228892</v>
      </c>
      <c r="O324">
        <v>45.440641122216697</v>
      </c>
      <c r="P324">
        <v>86.665026508320807</v>
      </c>
      <c r="Q324">
        <v>1</v>
      </c>
      <c r="R324">
        <v>0</v>
      </c>
      <c r="S324">
        <v>21.534908398614199</v>
      </c>
    </row>
    <row r="325" spans="1:19" x14ac:dyDescent="0.25">
      <c r="A325">
        <v>23</v>
      </c>
      <c r="B325">
        <v>170</v>
      </c>
      <c r="C325">
        <v>83</v>
      </c>
      <c r="D325" t="s">
        <v>21</v>
      </c>
      <c r="E325">
        <v>10.9916356357285</v>
      </c>
      <c r="F325">
        <v>10</v>
      </c>
      <c r="G325">
        <v>1</v>
      </c>
      <c r="H325">
        <v>70.5243467838241</v>
      </c>
      <c r="I325">
        <v>74.778417543542005</v>
      </c>
      <c r="J325">
        <v>221.13854249914499</v>
      </c>
      <c r="K325">
        <v>85.233491490590296</v>
      </c>
      <c r="L325">
        <v>6.0544926711607401</v>
      </c>
      <c r="M325">
        <v>86.141796796381996</v>
      </c>
      <c r="N325">
        <v>7.3580802328382298</v>
      </c>
      <c r="O325">
        <v>64.774612721436796</v>
      </c>
      <c r="P325">
        <v>78.618421411731404</v>
      </c>
      <c r="Q325">
        <v>1</v>
      </c>
      <c r="R325">
        <v>0</v>
      </c>
      <c r="S325">
        <v>28.719723183391</v>
      </c>
    </row>
    <row r="326" spans="1:19" x14ac:dyDescent="0.25">
      <c r="A326">
        <v>19</v>
      </c>
      <c r="B326">
        <v>166</v>
      </c>
      <c r="C326">
        <v>70</v>
      </c>
      <c r="D326" t="s">
        <v>20</v>
      </c>
      <c r="E326">
        <v>11.4573509271557</v>
      </c>
      <c r="F326">
        <v>11</v>
      </c>
      <c r="G326">
        <v>2</v>
      </c>
      <c r="H326">
        <v>69.818900839537804</v>
      </c>
      <c r="I326">
        <v>85.555561767028806</v>
      </c>
      <c r="J326">
        <v>263.26730014901</v>
      </c>
      <c r="K326">
        <v>68.477831162706295</v>
      </c>
      <c r="L326">
        <v>5.1839626141682098</v>
      </c>
      <c r="M326">
        <v>74.717544038507299</v>
      </c>
      <c r="N326">
        <v>6.3703743527318801</v>
      </c>
      <c r="O326">
        <v>57.204568922741203</v>
      </c>
      <c r="P326">
        <v>62.262638509751199</v>
      </c>
      <c r="Q326">
        <v>0</v>
      </c>
      <c r="R326">
        <v>1</v>
      </c>
      <c r="S326">
        <v>25.402816083611501</v>
      </c>
    </row>
    <row r="327" spans="1:19" x14ac:dyDescent="0.25">
      <c r="A327">
        <v>19</v>
      </c>
      <c r="B327">
        <v>182</v>
      </c>
      <c r="C327">
        <v>66</v>
      </c>
      <c r="D327" t="s">
        <v>19</v>
      </c>
      <c r="E327">
        <v>12.2921823538507</v>
      </c>
      <c r="F327">
        <v>22</v>
      </c>
      <c r="G327">
        <v>3</v>
      </c>
      <c r="H327">
        <v>62.8892606118728</v>
      </c>
      <c r="I327">
        <v>83.388795398637797</v>
      </c>
      <c r="J327">
        <v>262.475021904909</v>
      </c>
      <c r="K327">
        <v>81.683369916069694</v>
      </c>
      <c r="L327">
        <v>5.9008977802509603</v>
      </c>
      <c r="M327">
        <v>77.520025076065807</v>
      </c>
      <c r="N327">
        <v>6.7417284807753299</v>
      </c>
      <c r="O327">
        <v>59.719523992762397</v>
      </c>
      <c r="P327">
        <v>77.183088532480596</v>
      </c>
      <c r="Q327">
        <v>0</v>
      </c>
      <c r="R327">
        <v>1</v>
      </c>
      <c r="S327">
        <v>19.9251298152397</v>
      </c>
    </row>
    <row r="328" spans="1:19" x14ac:dyDescent="0.25">
      <c r="A328">
        <v>22</v>
      </c>
      <c r="B328">
        <v>179</v>
      </c>
      <c r="C328">
        <v>85</v>
      </c>
      <c r="D328" t="s">
        <v>19</v>
      </c>
      <c r="E328">
        <v>12.018801152745899</v>
      </c>
      <c r="F328">
        <v>16</v>
      </c>
      <c r="G328">
        <v>0</v>
      </c>
      <c r="H328">
        <v>74.873318566815499</v>
      </c>
      <c r="I328">
        <v>75.253201467834302</v>
      </c>
      <c r="J328">
        <v>271.48327535157</v>
      </c>
      <c r="K328">
        <v>83.3716942196274</v>
      </c>
      <c r="L328">
        <v>6.17127465050861</v>
      </c>
      <c r="M328">
        <v>78.044968653735197</v>
      </c>
      <c r="N328">
        <v>5.83445491563098</v>
      </c>
      <c r="O328">
        <v>58.575453799162098</v>
      </c>
      <c r="P328">
        <v>69.359364237970198</v>
      </c>
      <c r="Q328">
        <v>0</v>
      </c>
      <c r="R328">
        <v>1</v>
      </c>
      <c r="S328">
        <v>26.528510346118999</v>
      </c>
    </row>
    <row r="329" spans="1:19" x14ac:dyDescent="0.25">
      <c r="A329">
        <v>23</v>
      </c>
      <c r="B329">
        <v>184</v>
      </c>
      <c r="C329">
        <v>90</v>
      </c>
      <c r="D329" t="s">
        <v>22</v>
      </c>
      <c r="E329">
        <v>12.041351885214</v>
      </c>
      <c r="F329">
        <v>7</v>
      </c>
      <c r="G329">
        <v>3</v>
      </c>
      <c r="H329">
        <v>72.349590497621506</v>
      </c>
      <c r="I329">
        <v>79.678091925346394</v>
      </c>
      <c r="J329">
        <v>275.46322405159702</v>
      </c>
      <c r="K329">
        <v>72.146523643971094</v>
      </c>
      <c r="L329">
        <v>5.7316339835458701</v>
      </c>
      <c r="M329">
        <v>85.602269985987405</v>
      </c>
      <c r="N329">
        <v>7.9366621482570601</v>
      </c>
      <c r="O329">
        <v>71.243084323048905</v>
      </c>
      <c r="P329">
        <v>75.445329093566798</v>
      </c>
      <c r="Q329">
        <v>0</v>
      </c>
      <c r="R329">
        <v>1</v>
      </c>
      <c r="S329">
        <v>26.5831758034026</v>
      </c>
    </row>
    <row r="330" spans="1:19" x14ac:dyDescent="0.25">
      <c r="A330">
        <v>24</v>
      </c>
      <c r="B330">
        <v>173</v>
      </c>
      <c r="C330">
        <v>88</v>
      </c>
      <c r="D330" t="s">
        <v>19</v>
      </c>
      <c r="E330">
        <v>9.6850594099202105</v>
      </c>
      <c r="F330">
        <v>26</v>
      </c>
      <c r="G330">
        <v>1</v>
      </c>
      <c r="H330">
        <v>61.589831952571302</v>
      </c>
      <c r="I330">
        <v>85.325361906175999</v>
      </c>
      <c r="J330">
        <v>214.20561388714401</v>
      </c>
      <c r="K330">
        <v>76.100020006494205</v>
      </c>
      <c r="L330">
        <v>6.1075930294722198</v>
      </c>
      <c r="M330">
        <v>77.736103733948895</v>
      </c>
      <c r="N330">
        <v>8.6434606098897699</v>
      </c>
      <c r="O330">
        <v>56.618770130974298</v>
      </c>
      <c r="P330">
        <v>80.425611239704395</v>
      </c>
      <c r="Q330">
        <v>1</v>
      </c>
      <c r="R330">
        <v>0</v>
      </c>
      <c r="S330">
        <v>29.402920244578802</v>
      </c>
    </row>
    <row r="331" spans="1:19" x14ac:dyDescent="0.25">
      <c r="A331">
        <v>20</v>
      </c>
      <c r="B331">
        <v>178</v>
      </c>
      <c r="C331">
        <v>61</v>
      </c>
      <c r="D331" t="s">
        <v>20</v>
      </c>
      <c r="E331">
        <v>7.1425955175804896</v>
      </c>
      <c r="F331">
        <v>17</v>
      </c>
      <c r="G331">
        <v>0</v>
      </c>
      <c r="H331">
        <v>75.480765747411297</v>
      </c>
      <c r="I331">
        <v>94.661724915029097</v>
      </c>
      <c r="J331">
        <v>277.21418192106103</v>
      </c>
      <c r="K331">
        <v>79.9192353501832</v>
      </c>
      <c r="L331">
        <v>6.05657412429019</v>
      </c>
      <c r="M331">
        <v>82.931418886595907</v>
      </c>
      <c r="N331">
        <v>7.3108565895165496</v>
      </c>
      <c r="O331">
        <v>50.2935596835881</v>
      </c>
      <c r="P331">
        <v>87.624539299191099</v>
      </c>
      <c r="Q331">
        <v>0</v>
      </c>
      <c r="R331">
        <v>0</v>
      </c>
      <c r="S331">
        <v>19.252619618735</v>
      </c>
    </row>
    <row r="332" spans="1:19" x14ac:dyDescent="0.25">
      <c r="A332">
        <v>24</v>
      </c>
      <c r="B332">
        <v>179</v>
      </c>
      <c r="C332">
        <v>82</v>
      </c>
      <c r="D332" t="s">
        <v>22</v>
      </c>
      <c r="E332">
        <v>7.2640943942151699</v>
      </c>
      <c r="F332">
        <v>38</v>
      </c>
      <c r="G332">
        <v>3</v>
      </c>
      <c r="H332">
        <v>70.0851577793389</v>
      </c>
      <c r="I332">
        <v>78.693192268984305</v>
      </c>
      <c r="J332">
        <v>254.03905353070601</v>
      </c>
      <c r="K332">
        <v>77.683795429642998</v>
      </c>
      <c r="L332">
        <v>5.4443430460012596</v>
      </c>
      <c r="M332">
        <v>68.692261351286504</v>
      </c>
      <c r="N332">
        <v>6.3943857710797696</v>
      </c>
      <c r="O332">
        <v>77.568195485352902</v>
      </c>
      <c r="P332">
        <v>62.373913933620202</v>
      </c>
      <c r="Q332">
        <v>0</v>
      </c>
      <c r="R332">
        <v>1</v>
      </c>
      <c r="S332">
        <v>25.592209980961801</v>
      </c>
    </row>
    <row r="333" spans="1:19" x14ac:dyDescent="0.25">
      <c r="A333">
        <v>19</v>
      </c>
      <c r="B333">
        <v>173</v>
      </c>
      <c r="C333">
        <v>77</v>
      </c>
      <c r="D333" t="s">
        <v>22</v>
      </c>
      <c r="E333">
        <v>9.1201940668961505</v>
      </c>
      <c r="F333">
        <v>35</v>
      </c>
      <c r="G333">
        <v>1</v>
      </c>
      <c r="H333">
        <v>79.001151657765703</v>
      </c>
      <c r="I333">
        <v>87.710744536117204</v>
      </c>
      <c r="J333">
        <v>252.997147482272</v>
      </c>
      <c r="K333">
        <v>90.409021600568195</v>
      </c>
      <c r="L333">
        <v>6.5438797618058704</v>
      </c>
      <c r="M333">
        <v>87.905132531496093</v>
      </c>
      <c r="N333">
        <v>6.9782353910831896</v>
      </c>
      <c r="O333">
        <v>40.740929729909901</v>
      </c>
      <c r="P333">
        <v>90.3981396242296</v>
      </c>
      <c r="Q333">
        <v>0</v>
      </c>
      <c r="R333">
        <v>0</v>
      </c>
      <c r="S333">
        <v>25.727555214006401</v>
      </c>
    </row>
    <row r="334" spans="1:19" x14ac:dyDescent="0.25">
      <c r="A334">
        <v>22</v>
      </c>
      <c r="B334">
        <v>178</v>
      </c>
      <c r="C334">
        <v>57</v>
      </c>
      <c r="D334" t="s">
        <v>21</v>
      </c>
      <c r="E334">
        <v>12.240384612798101</v>
      </c>
      <c r="F334">
        <v>10</v>
      </c>
      <c r="G334">
        <v>1</v>
      </c>
      <c r="H334">
        <v>67.586133464978602</v>
      </c>
      <c r="I334">
        <v>84.841581135383095</v>
      </c>
      <c r="J334">
        <v>196.71599863585999</v>
      </c>
      <c r="K334">
        <v>75.459297201564794</v>
      </c>
      <c r="L334">
        <v>6.54387296109714</v>
      </c>
      <c r="M334">
        <v>73.987292238080002</v>
      </c>
      <c r="N334">
        <v>7.1847807977921097</v>
      </c>
      <c r="O334">
        <v>52.914360435091602</v>
      </c>
      <c r="P334">
        <v>78.171568801323303</v>
      </c>
      <c r="Q334">
        <v>1</v>
      </c>
      <c r="R334">
        <v>0</v>
      </c>
      <c r="S334">
        <v>17.990152758490002</v>
      </c>
    </row>
    <row r="335" spans="1:19" x14ac:dyDescent="0.25">
      <c r="A335">
        <v>19</v>
      </c>
      <c r="B335">
        <v>189</v>
      </c>
      <c r="C335">
        <v>92</v>
      </c>
      <c r="D335" t="s">
        <v>19</v>
      </c>
      <c r="E335">
        <v>12.876764316165</v>
      </c>
      <c r="F335">
        <v>20</v>
      </c>
      <c r="G335">
        <v>2</v>
      </c>
      <c r="H335">
        <v>86.017798596432002</v>
      </c>
      <c r="I335">
        <v>88.553423853221005</v>
      </c>
      <c r="J335">
        <v>246.40921387937101</v>
      </c>
      <c r="K335">
        <v>89.414927036339506</v>
      </c>
      <c r="L335">
        <v>5.9772543834896998</v>
      </c>
      <c r="M335">
        <v>78.311236522042805</v>
      </c>
      <c r="N335">
        <v>7.6237886293564001</v>
      </c>
      <c r="O335">
        <v>35.535462386755299</v>
      </c>
      <c r="P335">
        <v>72.610722215926103</v>
      </c>
      <c r="Q335">
        <v>1</v>
      </c>
      <c r="R335">
        <v>0</v>
      </c>
      <c r="S335">
        <v>25.7551580302903</v>
      </c>
    </row>
    <row r="336" spans="1:19" x14ac:dyDescent="0.25">
      <c r="A336">
        <v>21</v>
      </c>
      <c r="B336">
        <v>173</v>
      </c>
      <c r="C336">
        <v>82</v>
      </c>
      <c r="D336" t="s">
        <v>21</v>
      </c>
      <c r="E336">
        <v>10.4709815803374</v>
      </c>
      <c r="F336">
        <v>39</v>
      </c>
      <c r="G336">
        <v>2</v>
      </c>
      <c r="H336">
        <v>75.0474226604438</v>
      </c>
      <c r="I336">
        <v>79.876101621360704</v>
      </c>
      <c r="J336">
        <v>248.07751650731399</v>
      </c>
      <c r="K336">
        <v>84.743926840225399</v>
      </c>
      <c r="L336">
        <v>6.4585724373734097</v>
      </c>
      <c r="M336">
        <v>82.039066651873</v>
      </c>
      <c r="N336">
        <v>7.8914871607386496</v>
      </c>
      <c r="O336">
        <v>47.2639467815332</v>
      </c>
      <c r="P336">
        <v>69.887859822145899</v>
      </c>
      <c r="Q336">
        <v>1</v>
      </c>
      <c r="R336">
        <v>0</v>
      </c>
      <c r="S336">
        <v>27.3981756824484</v>
      </c>
    </row>
    <row r="337" spans="1:19" x14ac:dyDescent="0.25">
      <c r="A337">
        <v>22</v>
      </c>
      <c r="B337">
        <v>154</v>
      </c>
      <c r="C337">
        <v>86</v>
      </c>
      <c r="D337" t="s">
        <v>20</v>
      </c>
      <c r="E337">
        <v>9.4899395767139296</v>
      </c>
      <c r="F337">
        <v>19</v>
      </c>
      <c r="G337">
        <v>3</v>
      </c>
      <c r="H337">
        <v>72.384522988949101</v>
      </c>
      <c r="I337">
        <v>63.150681136206202</v>
      </c>
      <c r="J337">
        <v>239.66012926575999</v>
      </c>
      <c r="K337">
        <v>76.952746415221398</v>
      </c>
      <c r="L337">
        <v>5.5752165887738503</v>
      </c>
      <c r="M337">
        <v>71.121334503870798</v>
      </c>
      <c r="N337">
        <v>7.8204241587579402</v>
      </c>
      <c r="O337">
        <v>53.241533945715901</v>
      </c>
      <c r="P337">
        <v>77.986522087175999</v>
      </c>
      <c r="Q337">
        <v>0</v>
      </c>
      <c r="R337">
        <v>1</v>
      </c>
      <c r="S337">
        <v>36.262438859841403</v>
      </c>
    </row>
    <row r="338" spans="1:19" x14ac:dyDescent="0.25">
      <c r="A338">
        <v>24</v>
      </c>
      <c r="B338">
        <v>175</v>
      </c>
      <c r="C338">
        <v>71</v>
      </c>
      <c r="D338" t="s">
        <v>22</v>
      </c>
      <c r="E338">
        <v>5</v>
      </c>
      <c r="F338">
        <v>26</v>
      </c>
      <c r="G338">
        <v>0</v>
      </c>
      <c r="H338">
        <v>82.9205039349808</v>
      </c>
      <c r="I338">
        <v>84.600336931864206</v>
      </c>
      <c r="J338">
        <v>228.490585862617</v>
      </c>
      <c r="K338">
        <v>95.156538404775304</v>
      </c>
      <c r="L338">
        <v>5.6642507908672499</v>
      </c>
      <c r="M338">
        <v>84.891251689375494</v>
      </c>
      <c r="N338">
        <v>7.48618632771276</v>
      </c>
      <c r="O338">
        <v>45.742742158293602</v>
      </c>
      <c r="P338">
        <v>65.157243412112607</v>
      </c>
      <c r="Q338">
        <v>0</v>
      </c>
      <c r="R338">
        <v>0</v>
      </c>
      <c r="S338">
        <v>23.183673469387699</v>
      </c>
    </row>
    <row r="339" spans="1:19" x14ac:dyDescent="0.25">
      <c r="A339">
        <v>21</v>
      </c>
      <c r="B339">
        <v>165</v>
      </c>
      <c r="C339">
        <v>72</v>
      </c>
      <c r="D339" t="s">
        <v>20</v>
      </c>
      <c r="E339">
        <v>11.315650068876399</v>
      </c>
      <c r="F339">
        <v>17</v>
      </c>
      <c r="G339">
        <v>1</v>
      </c>
      <c r="H339">
        <v>82.740222178643407</v>
      </c>
      <c r="I339">
        <v>72.325100116387603</v>
      </c>
      <c r="J339">
        <v>266.833790922709</v>
      </c>
      <c r="K339">
        <v>69.302265943575804</v>
      </c>
      <c r="L339">
        <v>5.9368571264240204</v>
      </c>
      <c r="M339">
        <v>66.967348388804297</v>
      </c>
      <c r="N339">
        <v>6.5487020299295899</v>
      </c>
      <c r="O339">
        <v>53.042428186554098</v>
      </c>
      <c r="P339">
        <v>73.291137407573501</v>
      </c>
      <c r="Q339">
        <v>0</v>
      </c>
      <c r="R339">
        <v>1</v>
      </c>
      <c r="S339">
        <v>26.446280991735499</v>
      </c>
    </row>
    <row r="340" spans="1:19" x14ac:dyDescent="0.25">
      <c r="A340">
        <v>20</v>
      </c>
      <c r="B340">
        <v>179</v>
      </c>
      <c r="C340">
        <v>69</v>
      </c>
      <c r="D340" t="s">
        <v>22</v>
      </c>
      <c r="E340">
        <v>12.909412762053</v>
      </c>
      <c r="F340">
        <v>28</v>
      </c>
      <c r="G340">
        <v>3</v>
      </c>
      <c r="H340">
        <v>75.705950271440599</v>
      </c>
      <c r="I340">
        <v>87.530312746467501</v>
      </c>
      <c r="J340">
        <v>272.57765661723101</v>
      </c>
      <c r="K340">
        <v>76.228605890934404</v>
      </c>
      <c r="L340">
        <v>5.9938360884411299</v>
      </c>
      <c r="M340">
        <v>68.980152114444707</v>
      </c>
      <c r="N340">
        <v>7.0756978545820202</v>
      </c>
      <c r="O340">
        <v>65.5507706398664</v>
      </c>
      <c r="P340">
        <v>61.525016670057603</v>
      </c>
      <c r="Q340">
        <v>0</v>
      </c>
      <c r="R340">
        <v>1</v>
      </c>
      <c r="S340">
        <v>21.534908398614199</v>
      </c>
    </row>
    <row r="341" spans="1:19" x14ac:dyDescent="0.25">
      <c r="A341">
        <v>18</v>
      </c>
      <c r="B341">
        <v>169</v>
      </c>
      <c r="C341">
        <v>74</v>
      </c>
      <c r="D341" t="s">
        <v>19</v>
      </c>
      <c r="E341">
        <v>11.863260642842601</v>
      </c>
      <c r="F341">
        <v>34</v>
      </c>
      <c r="G341">
        <v>3</v>
      </c>
      <c r="H341">
        <v>75.939051394446693</v>
      </c>
      <c r="I341">
        <v>77.993126794358204</v>
      </c>
      <c r="J341">
        <v>251.343804770632</v>
      </c>
      <c r="K341">
        <v>90.387668460759301</v>
      </c>
      <c r="L341">
        <v>5.5323398625839104</v>
      </c>
      <c r="M341">
        <v>68.721022503468703</v>
      </c>
      <c r="N341">
        <v>6.8433178729189201</v>
      </c>
      <c r="O341">
        <v>32.775043714087502</v>
      </c>
      <c r="P341">
        <v>71.094585157642399</v>
      </c>
      <c r="Q341">
        <v>1</v>
      </c>
      <c r="R341">
        <v>1</v>
      </c>
      <c r="S341">
        <v>25.909456951787401</v>
      </c>
    </row>
    <row r="342" spans="1:19" x14ac:dyDescent="0.25">
      <c r="A342">
        <v>19</v>
      </c>
      <c r="B342">
        <v>175</v>
      </c>
      <c r="C342">
        <v>71</v>
      </c>
      <c r="D342" t="s">
        <v>19</v>
      </c>
      <c r="E342">
        <v>15.4804254495302</v>
      </c>
      <c r="F342">
        <v>16</v>
      </c>
      <c r="G342">
        <v>1</v>
      </c>
      <c r="H342">
        <v>64.181863599639399</v>
      </c>
      <c r="I342">
        <v>69.475825346754107</v>
      </c>
      <c r="J342">
        <v>275.628430681407</v>
      </c>
      <c r="K342">
        <v>86.262150701283005</v>
      </c>
      <c r="L342">
        <v>6.03952717922511</v>
      </c>
      <c r="M342">
        <v>85.373811915449807</v>
      </c>
      <c r="N342">
        <v>6.8433984819177001</v>
      </c>
      <c r="O342">
        <v>71.335527304013198</v>
      </c>
      <c r="P342">
        <v>79.230802629401097</v>
      </c>
      <c r="Q342">
        <v>1</v>
      </c>
      <c r="R342">
        <v>1</v>
      </c>
      <c r="S342">
        <v>23.183673469387699</v>
      </c>
    </row>
    <row r="343" spans="1:19" x14ac:dyDescent="0.25">
      <c r="A343">
        <v>23</v>
      </c>
      <c r="B343">
        <v>197</v>
      </c>
      <c r="C343">
        <v>60</v>
      </c>
      <c r="D343" t="s">
        <v>21</v>
      </c>
      <c r="E343">
        <v>12.2426124020205</v>
      </c>
      <c r="F343">
        <v>17</v>
      </c>
      <c r="G343">
        <v>1</v>
      </c>
      <c r="H343">
        <v>86.241341392512794</v>
      </c>
      <c r="I343">
        <v>80.449223429106098</v>
      </c>
      <c r="J343">
        <v>251.615159679513</v>
      </c>
      <c r="K343">
        <v>86.261875409000695</v>
      </c>
      <c r="L343">
        <v>6.0814443597125898</v>
      </c>
      <c r="M343">
        <v>80.872065517908894</v>
      </c>
      <c r="N343">
        <v>8.5204668622294193</v>
      </c>
      <c r="O343">
        <v>54.5863697026452</v>
      </c>
      <c r="P343">
        <v>79.738282841936098</v>
      </c>
      <c r="Q343">
        <v>1</v>
      </c>
      <c r="R343">
        <v>0</v>
      </c>
      <c r="S343">
        <v>15.4603313664356</v>
      </c>
    </row>
    <row r="344" spans="1:19" x14ac:dyDescent="0.25">
      <c r="A344">
        <v>22</v>
      </c>
      <c r="B344">
        <v>172</v>
      </c>
      <c r="C344">
        <v>83</v>
      </c>
      <c r="D344" t="s">
        <v>19</v>
      </c>
      <c r="E344">
        <v>9.6600620373882204</v>
      </c>
      <c r="F344">
        <v>13</v>
      </c>
      <c r="G344">
        <v>1</v>
      </c>
      <c r="H344">
        <v>85.193088428273199</v>
      </c>
      <c r="I344">
        <v>84.719539311518105</v>
      </c>
      <c r="J344">
        <v>251.94972490689099</v>
      </c>
      <c r="K344">
        <v>95.424805831223694</v>
      </c>
      <c r="L344">
        <v>6.0545965549752001</v>
      </c>
      <c r="M344">
        <v>77.757861081267905</v>
      </c>
      <c r="N344">
        <v>8.2857923435526004</v>
      </c>
      <c r="O344">
        <v>54.761561796919899</v>
      </c>
      <c r="P344">
        <v>73.821220988602505</v>
      </c>
      <c r="Q344">
        <v>1</v>
      </c>
      <c r="R344">
        <v>0</v>
      </c>
      <c r="S344">
        <v>28.055705786911801</v>
      </c>
    </row>
    <row r="345" spans="1:19" x14ac:dyDescent="0.25">
      <c r="A345">
        <v>23</v>
      </c>
      <c r="B345">
        <v>184</v>
      </c>
      <c r="C345">
        <v>65</v>
      </c>
      <c r="D345" t="s">
        <v>20</v>
      </c>
      <c r="E345">
        <v>8.7453537335330491</v>
      </c>
      <c r="F345">
        <v>31</v>
      </c>
      <c r="G345">
        <v>1</v>
      </c>
      <c r="H345">
        <v>75.105747886865302</v>
      </c>
      <c r="I345">
        <v>77.831920894737806</v>
      </c>
      <c r="J345">
        <v>249.805971222728</v>
      </c>
      <c r="K345">
        <v>82.759702876631394</v>
      </c>
      <c r="L345">
        <v>6.6843384579991998</v>
      </c>
      <c r="M345">
        <v>81.406392231120094</v>
      </c>
      <c r="N345">
        <v>9.0555824308488493</v>
      </c>
      <c r="O345">
        <v>45.137648174900797</v>
      </c>
      <c r="P345">
        <v>85.218044390928497</v>
      </c>
      <c r="Q345">
        <v>0</v>
      </c>
      <c r="R345">
        <v>0</v>
      </c>
      <c r="S345">
        <v>19.198960302457401</v>
      </c>
    </row>
    <row r="346" spans="1:19" x14ac:dyDescent="0.25">
      <c r="A346">
        <v>18</v>
      </c>
      <c r="B346">
        <v>185</v>
      </c>
      <c r="C346">
        <v>85</v>
      </c>
      <c r="D346" t="s">
        <v>22</v>
      </c>
      <c r="E346">
        <v>11.2375830285481</v>
      </c>
      <c r="F346">
        <v>16</v>
      </c>
      <c r="G346">
        <v>2</v>
      </c>
      <c r="H346">
        <v>82.025267955941104</v>
      </c>
      <c r="I346">
        <v>84.725624605914504</v>
      </c>
      <c r="J346">
        <v>218.46521960633299</v>
      </c>
      <c r="K346">
        <v>88.838318033157194</v>
      </c>
      <c r="L346">
        <v>6.13836340725305</v>
      </c>
      <c r="M346">
        <v>83.675397280721597</v>
      </c>
      <c r="N346">
        <v>7.48405946551593</v>
      </c>
      <c r="O346">
        <v>55.781860392781603</v>
      </c>
      <c r="P346">
        <v>97.673976984699493</v>
      </c>
      <c r="Q346">
        <v>0</v>
      </c>
      <c r="R346">
        <v>0</v>
      </c>
      <c r="S346">
        <v>24.835646457267998</v>
      </c>
    </row>
    <row r="347" spans="1:19" x14ac:dyDescent="0.25">
      <c r="A347">
        <v>19</v>
      </c>
      <c r="B347">
        <v>179</v>
      </c>
      <c r="C347">
        <v>74</v>
      </c>
      <c r="D347" t="s">
        <v>19</v>
      </c>
      <c r="E347">
        <v>10.474907863785299</v>
      </c>
      <c r="F347">
        <v>27</v>
      </c>
      <c r="G347">
        <v>2</v>
      </c>
      <c r="H347">
        <v>76.816575660883899</v>
      </c>
      <c r="I347">
        <v>79.782573230559606</v>
      </c>
      <c r="J347">
        <v>284.85660087723699</v>
      </c>
      <c r="K347">
        <v>86.130520674693003</v>
      </c>
      <c r="L347">
        <v>5.8907391100783197</v>
      </c>
      <c r="M347">
        <v>77.103251688057597</v>
      </c>
      <c r="N347">
        <v>7.4894618016133796</v>
      </c>
      <c r="O347">
        <v>60.419936121869902</v>
      </c>
      <c r="P347">
        <v>64.317805363232395</v>
      </c>
      <c r="Q347">
        <v>1</v>
      </c>
      <c r="R347">
        <v>1</v>
      </c>
      <c r="S347">
        <v>23.095409007209501</v>
      </c>
    </row>
    <row r="348" spans="1:19" x14ac:dyDescent="0.25">
      <c r="A348">
        <v>24</v>
      </c>
      <c r="B348">
        <v>187</v>
      </c>
      <c r="C348">
        <v>56</v>
      </c>
      <c r="D348" t="s">
        <v>22</v>
      </c>
      <c r="E348">
        <v>6.5804344319637504</v>
      </c>
      <c r="F348">
        <v>39</v>
      </c>
      <c r="G348">
        <v>2</v>
      </c>
      <c r="H348">
        <v>79.950460202393202</v>
      </c>
      <c r="I348">
        <v>82.971953610417003</v>
      </c>
      <c r="J348">
        <v>246.59961280667301</v>
      </c>
      <c r="K348">
        <v>84.775941114921196</v>
      </c>
      <c r="L348">
        <v>6.6849414392461197</v>
      </c>
      <c r="M348">
        <v>76.904493075873901</v>
      </c>
      <c r="N348">
        <v>8.3840043875355796</v>
      </c>
      <c r="O348">
        <v>49.8283615904543</v>
      </c>
      <c r="P348">
        <v>67.348337979129198</v>
      </c>
      <c r="Q348">
        <v>1</v>
      </c>
      <c r="R348">
        <v>0</v>
      </c>
      <c r="S348">
        <v>16.014183991535301</v>
      </c>
    </row>
    <row r="349" spans="1:19" x14ac:dyDescent="0.25">
      <c r="A349">
        <v>19</v>
      </c>
      <c r="B349">
        <v>180</v>
      </c>
      <c r="C349">
        <v>54</v>
      </c>
      <c r="D349" t="s">
        <v>22</v>
      </c>
      <c r="E349">
        <v>10.7283152903724</v>
      </c>
      <c r="F349">
        <v>9</v>
      </c>
      <c r="G349">
        <v>3</v>
      </c>
      <c r="H349">
        <v>73.029762288808897</v>
      </c>
      <c r="I349">
        <v>66.519855317185204</v>
      </c>
      <c r="J349">
        <v>250.41090986440699</v>
      </c>
      <c r="K349">
        <v>92.858136929423907</v>
      </c>
      <c r="L349">
        <v>5.8008208808332302</v>
      </c>
      <c r="M349">
        <v>87.402469275809295</v>
      </c>
      <c r="N349">
        <v>6.4830018844361597</v>
      </c>
      <c r="O349">
        <v>74.091711984868397</v>
      </c>
      <c r="P349">
        <v>72.222101449720199</v>
      </c>
      <c r="Q349">
        <v>1</v>
      </c>
      <c r="R349">
        <v>1</v>
      </c>
      <c r="S349">
        <v>16.6666666666666</v>
      </c>
    </row>
    <row r="350" spans="1:19" x14ac:dyDescent="0.25">
      <c r="A350">
        <v>24</v>
      </c>
      <c r="B350">
        <v>185</v>
      </c>
      <c r="C350">
        <v>78</v>
      </c>
      <c r="D350" t="s">
        <v>21</v>
      </c>
      <c r="E350">
        <v>6.2735689418194998</v>
      </c>
      <c r="F350">
        <v>22</v>
      </c>
      <c r="G350">
        <v>1</v>
      </c>
      <c r="H350">
        <v>67.543925392230094</v>
      </c>
      <c r="I350">
        <v>74.268329332693696</v>
      </c>
      <c r="J350">
        <v>233.10177075884499</v>
      </c>
      <c r="K350">
        <v>82.168630070259894</v>
      </c>
      <c r="L350">
        <v>5.9308887528304197</v>
      </c>
      <c r="M350">
        <v>70.562868693017407</v>
      </c>
      <c r="N350">
        <v>6.7194874923751504</v>
      </c>
      <c r="O350">
        <v>69.959490847605096</v>
      </c>
      <c r="P350">
        <v>66.659942043243205</v>
      </c>
      <c r="Q350">
        <v>0</v>
      </c>
      <c r="R350">
        <v>1</v>
      </c>
      <c r="S350">
        <v>22.790357925493002</v>
      </c>
    </row>
    <row r="351" spans="1:19" x14ac:dyDescent="0.25">
      <c r="A351">
        <v>20</v>
      </c>
      <c r="B351">
        <v>176</v>
      </c>
      <c r="C351">
        <v>57</v>
      </c>
      <c r="D351" t="s">
        <v>22</v>
      </c>
      <c r="E351">
        <v>10.671269784167899</v>
      </c>
      <c r="F351">
        <v>28</v>
      </c>
      <c r="G351">
        <v>0</v>
      </c>
      <c r="H351">
        <v>81.277732131495398</v>
      </c>
      <c r="I351">
        <v>69.293589998419094</v>
      </c>
      <c r="J351">
        <v>213.49885948556701</v>
      </c>
      <c r="K351">
        <v>78.5680714583834</v>
      </c>
      <c r="L351">
        <v>5.73198177630612</v>
      </c>
      <c r="M351">
        <v>88.462803836460594</v>
      </c>
      <c r="N351">
        <v>6.8280039965879702</v>
      </c>
      <c r="O351">
        <v>67.887742343798493</v>
      </c>
      <c r="P351">
        <v>69.204970745369295</v>
      </c>
      <c r="Q351">
        <v>1</v>
      </c>
      <c r="R351">
        <v>1</v>
      </c>
      <c r="S351">
        <v>18.4013429752066</v>
      </c>
    </row>
    <row r="352" spans="1:19" x14ac:dyDescent="0.25">
      <c r="A352">
        <v>24</v>
      </c>
      <c r="B352">
        <v>172</v>
      </c>
      <c r="C352">
        <v>89</v>
      </c>
      <c r="D352" t="s">
        <v>19</v>
      </c>
      <c r="E352">
        <v>6.0639289908503997</v>
      </c>
      <c r="F352">
        <v>9</v>
      </c>
      <c r="G352">
        <v>4</v>
      </c>
      <c r="H352">
        <v>87.573211896167507</v>
      </c>
      <c r="I352">
        <v>80.834594922738901</v>
      </c>
      <c r="J352">
        <v>248.90262667309099</v>
      </c>
      <c r="K352">
        <v>95.007447167341198</v>
      </c>
      <c r="L352">
        <v>6.1255037683650704</v>
      </c>
      <c r="M352">
        <v>67.897445298071503</v>
      </c>
      <c r="N352">
        <v>8.5096803878849894</v>
      </c>
      <c r="O352">
        <v>42.201895840178999</v>
      </c>
      <c r="P352">
        <v>97.474679880351701</v>
      </c>
      <c r="Q352">
        <v>0</v>
      </c>
      <c r="R352">
        <v>0</v>
      </c>
      <c r="S352">
        <v>30.083829096809001</v>
      </c>
    </row>
    <row r="353" spans="1:19" x14ac:dyDescent="0.25">
      <c r="A353">
        <v>23</v>
      </c>
      <c r="B353">
        <v>183</v>
      </c>
      <c r="C353">
        <v>58</v>
      </c>
      <c r="D353" t="s">
        <v>21</v>
      </c>
      <c r="E353">
        <v>11.1064258721849</v>
      </c>
      <c r="F353">
        <v>36</v>
      </c>
      <c r="G353">
        <v>1</v>
      </c>
      <c r="H353">
        <v>66.8689247651687</v>
      </c>
      <c r="I353">
        <v>76.871239429003097</v>
      </c>
      <c r="J353">
        <v>270.75865810591102</v>
      </c>
      <c r="K353">
        <v>87.602878779787801</v>
      </c>
      <c r="L353">
        <v>6.1069255055540701</v>
      </c>
      <c r="M353">
        <v>68.174697013979397</v>
      </c>
      <c r="N353">
        <v>7.7177835243167099</v>
      </c>
      <c r="O353">
        <v>61.688302017197302</v>
      </c>
      <c r="P353">
        <v>54.360566116073002</v>
      </c>
      <c r="Q353">
        <v>1</v>
      </c>
      <c r="R353">
        <v>1</v>
      </c>
      <c r="S353">
        <v>17.319119710949799</v>
      </c>
    </row>
    <row r="354" spans="1:19" x14ac:dyDescent="0.25">
      <c r="A354">
        <v>19</v>
      </c>
      <c r="B354">
        <v>176</v>
      </c>
      <c r="C354">
        <v>92</v>
      </c>
      <c r="D354" t="s">
        <v>19</v>
      </c>
      <c r="E354">
        <v>7.9773512450872204</v>
      </c>
      <c r="F354">
        <v>6</v>
      </c>
      <c r="G354">
        <v>0</v>
      </c>
      <c r="H354">
        <v>72.701678665265703</v>
      </c>
      <c r="I354">
        <v>74.682293899576905</v>
      </c>
      <c r="J354">
        <v>220.877419541667</v>
      </c>
      <c r="K354">
        <v>93.743854775133499</v>
      </c>
      <c r="L354">
        <v>5.5774294748129503</v>
      </c>
      <c r="M354">
        <v>94.910191103526302</v>
      </c>
      <c r="N354">
        <v>8.0913937523916797</v>
      </c>
      <c r="O354">
        <v>43.743119307725898</v>
      </c>
      <c r="P354">
        <v>89.215393312459994</v>
      </c>
      <c r="Q354">
        <v>1</v>
      </c>
      <c r="R354">
        <v>0</v>
      </c>
      <c r="S354">
        <v>29.700413223140401</v>
      </c>
    </row>
    <row r="355" spans="1:19" x14ac:dyDescent="0.25">
      <c r="A355">
        <v>23</v>
      </c>
      <c r="B355">
        <v>173</v>
      </c>
      <c r="C355">
        <v>63</v>
      </c>
      <c r="D355" t="s">
        <v>21</v>
      </c>
      <c r="E355">
        <v>5.4210848539719096</v>
      </c>
      <c r="F355">
        <v>7</v>
      </c>
      <c r="G355">
        <v>2</v>
      </c>
      <c r="H355">
        <v>66.904394937806003</v>
      </c>
      <c r="I355">
        <v>75.606086774172994</v>
      </c>
      <c r="J355">
        <v>244.05664283352101</v>
      </c>
      <c r="K355">
        <v>80.431650214936795</v>
      </c>
      <c r="L355">
        <v>6.1888965511226601</v>
      </c>
      <c r="M355">
        <v>76.270691430151601</v>
      </c>
      <c r="N355">
        <v>7.71510928539674</v>
      </c>
      <c r="O355">
        <v>62.856062705877498</v>
      </c>
      <c r="P355">
        <v>80.507513933889996</v>
      </c>
      <c r="Q355">
        <v>0</v>
      </c>
      <c r="R355">
        <v>1</v>
      </c>
      <c r="S355">
        <v>21.0498179023689</v>
      </c>
    </row>
    <row r="356" spans="1:19" x14ac:dyDescent="0.25">
      <c r="A356">
        <v>21</v>
      </c>
      <c r="B356">
        <v>173</v>
      </c>
      <c r="C356">
        <v>81</v>
      </c>
      <c r="D356" t="s">
        <v>20</v>
      </c>
      <c r="E356">
        <v>8.94615756293061</v>
      </c>
      <c r="F356">
        <v>26</v>
      </c>
      <c r="G356">
        <v>2</v>
      </c>
      <c r="H356">
        <v>84.9333781996977</v>
      </c>
      <c r="I356">
        <v>77.706406809105403</v>
      </c>
      <c r="J356">
        <v>279.30411773473497</v>
      </c>
      <c r="K356">
        <v>81.751820148321798</v>
      </c>
      <c r="L356">
        <v>5.5185232041103003</v>
      </c>
      <c r="M356">
        <v>75.740884986636999</v>
      </c>
      <c r="N356">
        <v>7.8619914026103102</v>
      </c>
      <c r="O356">
        <v>62.013482287045299</v>
      </c>
      <c r="P356">
        <v>61.292702941391397</v>
      </c>
      <c r="Q356">
        <v>1</v>
      </c>
      <c r="R356">
        <v>1</v>
      </c>
      <c r="S356">
        <v>27.064051588760002</v>
      </c>
    </row>
    <row r="357" spans="1:19" x14ac:dyDescent="0.25">
      <c r="A357">
        <v>24</v>
      </c>
      <c r="B357">
        <v>185</v>
      </c>
      <c r="C357">
        <v>79</v>
      </c>
      <c r="D357" t="s">
        <v>22</v>
      </c>
      <c r="E357">
        <v>9.8194000856810497</v>
      </c>
      <c r="F357">
        <v>19</v>
      </c>
      <c r="G357">
        <v>0</v>
      </c>
      <c r="H357">
        <v>67.378089124403999</v>
      </c>
      <c r="I357">
        <v>78.584824601521206</v>
      </c>
      <c r="J357">
        <v>213.03501083551001</v>
      </c>
      <c r="K357">
        <v>82.053842082513896</v>
      </c>
      <c r="L357">
        <v>5.9176009880544402</v>
      </c>
      <c r="M357">
        <v>83.181364877471594</v>
      </c>
      <c r="N357">
        <v>7.3949333214613304</v>
      </c>
      <c r="O357">
        <v>52.229462552671698</v>
      </c>
      <c r="P357">
        <v>79.996440449651601</v>
      </c>
      <c r="Q357">
        <v>1</v>
      </c>
      <c r="R357">
        <v>0</v>
      </c>
      <c r="S357">
        <v>23.082542001460901</v>
      </c>
    </row>
    <row r="358" spans="1:19" x14ac:dyDescent="0.25">
      <c r="A358">
        <v>23</v>
      </c>
      <c r="B358">
        <v>172</v>
      </c>
      <c r="C358">
        <v>78</v>
      </c>
      <c r="D358" t="s">
        <v>22</v>
      </c>
      <c r="E358">
        <v>8.5422069179545108</v>
      </c>
      <c r="F358">
        <v>12</v>
      </c>
      <c r="G358">
        <v>2</v>
      </c>
      <c r="H358">
        <v>68.423800217565201</v>
      </c>
      <c r="I358">
        <v>72.108906129365806</v>
      </c>
      <c r="J358">
        <v>257.27471195038498</v>
      </c>
      <c r="K358">
        <v>79.073756403374503</v>
      </c>
      <c r="L358">
        <v>5.8567031335157598</v>
      </c>
      <c r="M358">
        <v>75.310814653540106</v>
      </c>
      <c r="N358">
        <v>6.5631716413813503</v>
      </c>
      <c r="O358">
        <v>70.047293878165306</v>
      </c>
      <c r="P358">
        <v>52.122619929145898</v>
      </c>
      <c r="Q358">
        <v>0</v>
      </c>
      <c r="R358">
        <v>1</v>
      </c>
      <c r="S358">
        <v>26.365603028664101</v>
      </c>
    </row>
    <row r="359" spans="1:19" x14ac:dyDescent="0.25">
      <c r="A359">
        <v>22</v>
      </c>
      <c r="B359">
        <v>177</v>
      </c>
      <c r="C359">
        <v>83</v>
      </c>
      <c r="D359" t="s">
        <v>21</v>
      </c>
      <c r="E359">
        <v>9.79294051745803</v>
      </c>
      <c r="F359">
        <v>16</v>
      </c>
      <c r="G359">
        <v>1</v>
      </c>
      <c r="H359">
        <v>80.005345722771807</v>
      </c>
      <c r="I359">
        <v>71.824257845266104</v>
      </c>
      <c r="J359">
        <v>266.62479085108203</v>
      </c>
      <c r="K359">
        <v>72.157636418377905</v>
      </c>
      <c r="L359">
        <v>5.8466831646044701</v>
      </c>
      <c r="M359">
        <v>78.944876318003395</v>
      </c>
      <c r="N359">
        <v>7.8757125199157096</v>
      </c>
      <c r="O359">
        <v>60.714007886851597</v>
      </c>
      <c r="P359">
        <v>60.986887067265101</v>
      </c>
      <c r="Q359">
        <v>1</v>
      </c>
      <c r="R359">
        <v>1</v>
      </c>
      <c r="S359">
        <v>26.493025631204301</v>
      </c>
    </row>
    <row r="360" spans="1:19" x14ac:dyDescent="0.25">
      <c r="A360">
        <v>21</v>
      </c>
      <c r="B360">
        <v>178</v>
      </c>
      <c r="C360">
        <v>76</v>
      </c>
      <c r="D360" t="s">
        <v>20</v>
      </c>
      <c r="E360">
        <v>16.353233014293998</v>
      </c>
      <c r="F360">
        <v>12</v>
      </c>
      <c r="G360">
        <v>0</v>
      </c>
      <c r="H360">
        <v>74.880629333011697</v>
      </c>
      <c r="I360">
        <v>74.968655605436595</v>
      </c>
      <c r="J360">
        <v>270.03089825752699</v>
      </c>
      <c r="K360">
        <v>80.046501154442893</v>
      </c>
      <c r="L360">
        <v>5.6717459321991299</v>
      </c>
      <c r="M360">
        <v>66.375857406444595</v>
      </c>
      <c r="N360">
        <v>6.6247343897354796</v>
      </c>
      <c r="O360">
        <v>61.024405963146798</v>
      </c>
      <c r="P360">
        <v>73.365783660583503</v>
      </c>
      <c r="Q360">
        <v>1</v>
      </c>
      <c r="R360">
        <v>1</v>
      </c>
      <c r="S360">
        <v>23.986870344653401</v>
      </c>
    </row>
    <row r="361" spans="1:19" x14ac:dyDescent="0.25">
      <c r="A361">
        <v>21</v>
      </c>
      <c r="B361">
        <v>193</v>
      </c>
      <c r="C361">
        <v>70</v>
      </c>
      <c r="D361" t="s">
        <v>19</v>
      </c>
      <c r="E361">
        <v>8.3508538568754993</v>
      </c>
      <c r="F361">
        <v>38</v>
      </c>
      <c r="G361">
        <v>1</v>
      </c>
      <c r="H361">
        <v>77.419950912206701</v>
      </c>
      <c r="I361">
        <v>80.8436208710595</v>
      </c>
      <c r="J361">
        <v>270.80233769383199</v>
      </c>
      <c r="K361">
        <v>96.917170999764906</v>
      </c>
      <c r="L361">
        <v>5.3227226610820901</v>
      </c>
      <c r="M361">
        <v>86.575057200439304</v>
      </c>
      <c r="N361">
        <v>8.5515887684669103</v>
      </c>
      <c r="O361">
        <v>44.819759862529203</v>
      </c>
      <c r="P361">
        <v>75.741767570342006</v>
      </c>
      <c r="Q361">
        <v>1</v>
      </c>
      <c r="R361">
        <v>0</v>
      </c>
      <c r="S361">
        <v>18.7924508040484</v>
      </c>
    </row>
    <row r="362" spans="1:19" x14ac:dyDescent="0.25">
      <c r="A362">
        <v>18</v>
      </c>
      <c r="B362">
        <v>173</v>
      </c>
      <c r="C362">
        <v>65</v>
      </c>
      <c r="D362" t="s">
        <v>19</v>
      </c>
      <c r="E362">
        <v>9.7955081210346897</v>
      </c>
      <c r="F362">
        <v>20</v>
      </c>
      <c r="G362">
        <v>0</v>
      </c>
      <c r="H362">
        <v>80.811520300333797</v>
      </c>
      <c r="I362">
        <v>73.168544750203793</v>
      </c>
      <c r="J362">
        <v>205.51022663367499</v>
      </c>
      <c r="K362">
        <v>81.391170593263794</v>
      </c>
      <c r="L362">
        <v>5.7062674001318703</v>
      </c>
      <c r="M362">
        <v>86.670692684276901</v>
      </c>
      <c r="N362">
        <v>8.6801411799412893</v>
      </c>
      <c r="O362">
        <v>49.341016906096499</v>
      </c>
      <c r="P362">
        <v>79.937527949814907</v>
      </c>
      <c r="Q362">
        <v>0</v>
      </c>
      <c r="R362">
        <v>0</v>
      </c>
      <c r="S362">
        <v>21.718066089745701</v>
      </c>
    </row>
    <row r="363" spans="1:19" x14ac:dyDescent="0.25">
      <c r="A363">
        <v>22</v>
      </c>
      <c r="B363">
        <v>182</v>
      </c>
      <c r="C363">
        <v>87</v>
      </c>
      <c r="D363" t="s">
        <v>20</v>
      </c>
      <c r="E363">
        <v>7.0801747582061703</v>
      </c>
      <c r="F363">
        <v>10</v>
      </c>
      <c r="G363">
        <v>2</v>
      </c>
      <c r="H363">
        <v>80.164320286227607</v>
      </c>
      <c r="I363">
        <v>84.467998833511501</v>
      </c>
      <c r="J363">
        <v>286.752936278893</v>
      </c>
      <c r="K363">
        <v>87.843040816508704</v>
      </c>
      <c r="L363">
        <v>5.9376674044005604</v>
      </c>
      <c r="M363">
        <v>52.149770845790897</v>
      </c>
      <c r="N363">
        <v>8.1888278999815896</v>
      </c>
      <c r="O363">
        <v>62.8362368347154</v>
      </c>
      <c r="P363">
        <v>57.699510630659198</v>
      </c>
      <c r="Q363">
        <v>0</v>
      </c>
      <c r="R363">
        <v>1</v>
      </c>
      <c r="S363">
        <v>26.264943847361401</v>
      </c>
    </row>
    <row r="364" spans="1:19" x14ac:dyDescent="0.25">
      <c r="A364">
        <v>23</v>
      </c>
      <c r="B364">
        <v>178</v>
      </c>
      <c r="C364">
        <v>86</v>
      </c>
      <c r="D364" t="s">
        <v>21</v>
      </c>
      <c r="E364">
        <v>10.8495042435278</v>
      </c>
      <c r="F364">
        <v>25</v>
      </c>
      <c r="G364">
        <v>2</v>
      </c>
      <c r="H364">
        <v>70.081752707481499</v>
      </c>
      <c r="I364">
        <v>76.952886024092194</v>
      </c>
      <c r="J364">
        <v>275.04058546314701</v>
      </c>
      <c r="K364">
        <v>81.243870667693898</v>
      </c>
      <c r="L364">
        <v>5.54468719655664</v>
      </c>
      <c r="M364">
        <v>63.699758952027402</v>
      </c>
      <c r="N364">
        <v>6.8882307494284003</v>
      </c>
      <c r="O364">
        <v>56.978426445523901</v>
      </c>
      <c r="P364">
        <v>64.417533553470903</v>
      </c>
      <c r="Q364">
        <v>1</v>
      </c>
      <c r="R364">
        <v>1</v>
      </c>
      <c r="S364">
        <v>27.143037495265698</v>
      </c>
    </row>
    <row r="365" spans="1:19" x14ac:dyDescent="0.25">
      <c r="A365">
        <v>18</v>
      </c>
      <c r="B365">
        <v>174</v>
      </c>
      <c r="C365">
        <v>80</v>
      </c>
      <c r="D365" t="s">
        <v>20</v>
      </c>
      <c r="E365">
        <v>8.8655639488344793</v>
      </c>
      <c r="F365">
        <v>16</v>
      </c>
      <c r="G365">
        <v>0</v>
      </c>
      <c r="H365">
        <v>80.393169663876805</v>
      </c>
      <c r="I365">
        <v>85.704529421268205</v>
      </c>
      <c r="J365">
        <v>238.98750160637599</v>
      </c>
      <c r="K365">
        <v>85.967894031635097</v>
      </c>
      <c r="L365">
        <v>6.1756840658121996</v>
      </c>
      <c r="M365">
        <v>93.420373327934101</v>
      </c>
      <c r="N365">
        <v>6.3528585068626704</v>
      </c>
      <c r="O365">
        <v>47.617653540822801</v>
      </c>
      <c r="P365">
        <v>81.068676444012894</v>
      </c>
      <c r="Q365">
        <v>1</v>
      </c>
      <c r="R365">
        <v>0</v>
      </c>
      <c r="S365">
        <v>26.423569824283199</v>
      </c>
    </row>
    <row r="366" spans="1:19" x14ac:dyDescent="0.25">
      <c r="A366">
        <v>24</v>
      </c>
      <c r="B366">
        <v>178</v>
      </c>
      <c r="C366">
        <v>64</v>
      </c>
      <c r="D366" t="s">
        <v>20</v>
      </c>
      <c r="E366">
        <v>9.0630771042415699</v>
      </c>
      <c r="F366">
        <v>11</v>
      </c>
      <c r="G366">
        <v>1</v>
      </c>
      <c r="H366">
        <v>66.453069737320305</v>
      </c>
      <c r="I366">
        <v>71.547443496239495</v>
      </c>
      <c r="J366">
        <v>241.42467679400201</v>
      </c>
      <c r="K366">
        <v>75.068755925161796</v>
      </c>
      <c r="L366">
        <v>5.6997518879074196</v>
      </c>
      <c r="M366">
        <v>87.071764473247995</v>
      </c>
      <c r="N366">
        <v>8.0691036045033595</v>
      </c>
      <c r="O366">
        <v>43.8639225086986</v>
      </c>
      <c r="P366">
        <v>71.912357829001493</v>
      </c>
      <c r="Q366">
        <v>1</v>
      </c>
      <c r="R366">
        <v>1</v>
      </c>
      <c r="S366">
        <v>20.1994697639186</v>
      </c>
    </row>
    <row r="367" spans="1:19" x14ac:dyDescent="0.25">
      <c r="A367">
        <v>23</v>
      </c>
      <c r="B367">
        <v>174</v>
      </c>
      <c r="C367">
        <v>63</v>
      </c>
      <c r="D367" t="s">
        <v>22</v>
      </c>
      <c r="E367">
        <v>9.7027913626616602</v>
      </c>
      <c r="F367">
        <v>28</v>
      </c>
      <c r="G367">
        <v>3</v>
      </c>
      <c r="H367">
        <v>58.153651886205097</v>
      </c>
      <c r="I367">
        <v>65.479103155006399</v>
      </c>
      <c r="J367">
        <v>263.92947980484502</v>
      </c>
      <c r="K367">
        <v>79.799675532438997</v>
      </c>
      <c r="L367">
        <v>5.7762917203770403</v>
      </c>
      <c r="M367">
        <v>99.209450539679395</v>
      </c>
      <c r="N367">
        <v>6.9068573873190902</v>
      </c>
      <c r="O367">
        <v>50.758929152970801</v>
      </c>
      <c r="P367">
        <v>69.343329431021701</v>
      </c>
      <c r="Q367">
        <v>1</v>
      </c>
      <c r="R367">
        <v>1</v>
      </c>
      <c r="S367">
        <v>20.808561236623</v>
      </c>
    </row>
    <row r="368" spans="1:19" x14ac:dyDescent="0.25">
      <c r="A368">
        <v>19</v>
      </c>
      <c r="B368">
        <v>177</v>
      </c>
      <c r="C368">
        <v>89</v>
      </c>
      <c r="D368" t="s">
        <v>20</v>
      </c>
      <c r="E368">
        <v>10.895289473760901</v>
      </c>
      <c r="F368">
        <v>5</v>
      </c>
      <c r="G368">
        <v>4</v>
      </c>
      <c r="H368">
        <v>59.256302710426503</v>
      </c>
      <c r="I368">
        <v>75.567495329053997</v>
      </c>
      <c r="J368">
        <v>275.01074088866602</v>
      </c>
      <c r="K368">
        <v>77.322846873052399</v>
      </c>
      <c r="L368">
        <v>5.3912032734109196</v>
      </c>
      <c r="M368">
        <v>83.299227839289003</v>
      </c>
      <c r="N368">
        <v>5.7883887609701397</v>
      </c>
      <c r="O368">
        <v>70.008568572005203</v>
      </c>
      <c r="P368">
        <v>76.447051977157898</v>
      </c>
      <c r="Q368">
        <v>0</v>
      </c>
      <c r="R368">
        <v>1</v>
      </c>
      <c r="S368">
        <v>28.408184110568399</v>
      </c>
    </row>
    <row r="369" spans="1:19" x14ac:dyDescent="0.25">
      <c r="A369">
        <v>22</v>
      </c>
      <c r="B369">
        <v>190</v>
      </c>
      <c r="C369">
        <v>68</v>
      </c>
      <c r="D369" t="s">
        <v>19</v>
      </c>
      <c r="E369">
        <v>8.5775138689909802</v>
      </c>
      <c r="F369">
        <v>32</v>
      </c>
      <c r="G369">
        <v>3</v>
      </c>
      <c r="H369">
        <v>71.063345698199001</v>
      </c>
      <c r="I369">
        <v>83.4386385798513</v>
      </c>
      <c r="J369">
        <v>292.26264283958398</v>
      </c>
      <c r="K369">
        <v>73.825034630330194</v>
      </c>
      <c r="L369">
        <v>5.7296771776152999</v>
      </c>
      <c r="M369">
        <v>71.741599332372402</v>
      </c>
      <c r="N369">
        <v>6.88216651469798</v>
      </c>
      <c r="O369">
        <v>63.1097913618568</v>
      </c>
      <c r="P369">
        <v>95.5775270825023</v>
      </c>
      <c r="Q369">
        <v>1</v>
      </c>
      <c r="R369">
        <v>1</v>
      </c>
      <c r="S369">
        <v>18.836565096952899</v>
      </c>
    </row>
    <row r="370" spans="1:19" x14ac:dyDescent="0.25">
      <c r="A370">
        <v>24</v>
      </c>
      <c r="B370">
        <v>175</v>
      </c>
      <c r="C370">
        <v>57</v>
      </c>
      <c r="D370" t="s">
        <v>20</v>
      </c>
      <c r="E370">
        <v>7.6889879094462197</v>
      </c>
      <c r="F370">
        <v>9</v>
      </c>
      <c r="G370">
        <v>0</v>
      </c>
      <c r="H370">
        <v>77.136024442001897</v>
      </c>
      <c r="I370">
        <v>81.238278405190201</v>
      </c>
      <c r="J370">
        <v>251.156874871187</v>
      </c>
      <c r="K370">
        <v>90.902049978180003</v>
      </c>
      <c r="L370">
        <v>6.1268538273294997</v>
      </c>
      <c r="M370">
        <v>75.270639218961506</v>
      </c>
      <c r="N370">
        <v>8.7950993584055901</v>
      </c>
      <c r="O370">
        <v>53.963010981929102</v>
      </c>
      <c r="P370">
        <v>76.472084636991198</v>
      </c>
      <c r="Q370">
        <v>1</v>
      </c>
      <c r="R370">
        <v>0</v>
      </c>
      <c r="S370">
        <v>18.612244897959101</v>
      </c>
    </row>
    <row r="371" spans="1:19" x14ac:dyDescent="0.25">
      <c r="A371">
        <v>23</v>
      </c>
      <c r="B371">
        <v>182</v>
      </c>
      <c r="C371">
        <v>74</v>
      </c>
      <c r="D371" t="s">
        <v>19</v>
      </c>
      <c r="E371">
        <v>9.1750529769292299</v>
      </c>
      <c r="F371">
        <v>10</v>
      </c>
      <c r="G371">
        <v>3</v>
      </c>
      <c r="H371">
        <v>68.644171387920494</v>
      </c>
      <c r="I371">
        <v>79.070101843068002</v>
      </c>
      <c r="J371">
        <v>285.87318837221602</v>
      </c>
      <c r="K371">
        <v>84.656643045235597</v>
      </c>
      <c r="L371">
        <v>5.7985365327037304</v>
      </c>
      <c r="M371">
        <v>82.692091395962507</v>
      </c>
      <c r="N371">
        <v>5.7013198219150203</v>
      </c>
      <c r="O371">
        <v>77.265551345550804</v>
      </c>
      <c r="P371">
        <v>71.5594372500221</v>
      </c>
      <c r="Q371">
        <v>0</v>
      </c>
      <c r="R371">
        <v>1</v>
      </c>
      <c r="S371">
        <v>22.340297065571701</v>
      </c>
    </row>
    <row r="372" spans="1:19" x14ac:dyDescent="0.25">
      <c r="A372">
        <v>21</v>
      </c>
      <c r="B372">
        <v>185</v>
      </c>
      <c r="C372">
        <v>75</v>
      </c>
      <c r="D372" t="s">
        <v>21</v>
      </c>
      <c r="E372">
        <v>9.2429921911659498</v>
      </c>
      <c r="F372">
        <v>7</v>
      </c>
      <c r="G372">
        <v>3</v>
      </c>
      <c r="H372">
        <v>72.080143574548501</v>
      </c>
      <c r="I372">
        <v>75.9384963382591</v>
      </c>
      <c r="J372">
        <v>275.05514745975597</v>
      </c>
      <c r="K372">
        <v>75.097045085366304</v>
      </c>
      <c r="L372">
        <v>6.1161626052169096</v>
      </c>
      <c r="M372">
        <v>80.205342002509695</v>
      </c>
      <c r="N372">
        <v>7.2345831526217603</v>
      </c>
      <c r="O372">
        <v>52.261468758101898</v>
      </c>
      <c r="P372">
        <v>79.236150350759004</v>
      </c>
      <c r="Q372">
        <v>1</v>
      </c>
      <c r="R372">
        <v>1</v>
      </c>
      <c r="S372">
        <v>21.9138056975894</v>
      </c>
    </row>
    <row r="373" spans="1:19" x14ac:dyDescent="0.25">
      <c r="A373">
        <v>24</v>
      </c>
      <c r="B373">
        <v>183</v>
      </c>
      <c r="C373">
        <v>69</v>
      </c>
      <c r="D373" t="s">
        <v>21</v>
      </c>
      <c r="E373">
        <v>9.2862579271621897</v>
      </c>
      <c r="F373">
        <v>5</v>
      </c>
      <c r="G373">
        <v>0</v>
      </c>
      <c r="H373">
        <v>78.6571833699754</v>
      </c>
      <c r="I373">
        <v>77.414151222003696</v>
      </c>
      <c r="J373">
        <v>231.32182478175201</v>
      </c>
      <c r="K373">
        <v>81.211001584201895</v>
      </c>
      <c r="L373">
        <v>5.9550629773284198</v>
      </c>
      <c r="M373">
        <v>95.382681138767893</v>
      </c>
      <c r="N373">
        <v>7.4173002638221099</v>
      </c>
      <c r="O373">
        <v>43.9426408734844</v>
      </c>
      <c r="P373">
        <v>82.184152232683601</v>
      </c>
      <c r="Q373">
        <v>1</v>
      </c>
      <c r="R373">
        <v>0</v>
      </c>
      <c r="S373">
        <v>20.603780345785101</v>
      </c>
    </row>
    <row r="374" spans="1:19" x14ac:dyDescent="0.25">
      <c r="A374">
        <v>21</v>
      </c>
      <c r="B374">
        <v>170</v>
      </c>
      <c r="C374">
        <v>47</v>
      </c>
      <c r="D374" t="s">
        <v>21</v>
      </c>
      <c r="E374">
        <v>9.55423246078281</v>
      </c>
      <c r="F374">
        <v>31</v>
      </c>
      <c r="G374">
        <v>4</v>
      </c>
      <c r="H374">
        <v>75.986515986992799</v>
      </c>
      <c r="I374">
        <v>73.890562983361605</v>
      </c>
      <c r="J374">
        <v>232.893492647996</v>
      </c>
      <c r="K374">
        <v>77.178463960634403</v>
      </c>
      <c r="L374">
        <v>6.08171810407429</v>
      </c>
      <c r="M374">
        <v>75.278034631852606</v>
      </c>
      <c r="N374">
        <v>7.2524375212432801</v>
      </c>
      <c r="O374">
        <v>59.506947371437903</v>
      </c>
      <c r="P374">
        <v>60.617985876002798</v>
      </c>
      <c r="Q374">
        <v>1</v>
      </c>
      <c r="R374">
        <v>1</v>
      </c>
      <c r="S374">
        <v>16.2629757785467</v>
      </c>
    </row>
    <row r="375" spans="1:19" x14ac:dyDescent="0.25">
      <c r="A375">
        <v>22</v>
      </c>
      <c r="B375">
        <v>189</v>
      </c>
      <c r="C375">
        <v>76</v>
      </c>
      <c r="D375" t="s">
        <v>21</v>
      </c>
      <c r="E375">
        <v>12.8930475355184</v>
      </c>
      <c r="F375">
        <v>19</v>
      </c>
      <c r="G375">
        <v>4</v>
      </c>
      <c r="H375">
        <v>75.579325118460503</v>
      </c>
      <c r="I375">
        <v>74.5777221955735</v>
      </c>
      <c r="J375">
        <v>264.32268807040299</v>
      </c>
      <c r="K375">
        <v>76.5836070959121</v>
      </c>
      <c r="L375">
        <v>5.8995461464641696</v>
      </c>
      <c r="M375">
        <v>72.358483895530895</v>
      </c>
      <c r="N375">
        <v>5.8705950514029901</v>
      </c>
      <c r="O375">
        <v>48.930058914515001</v>
      </c>
      <c r="P375">
        <v>83.073057235718196</v>
      </c>
      <c r="Q375">
        <v>1</v>
      </c>
      <c r="R375">
        <v>1</v>
      </c>
      <c r="S375">
        <v>21.276000111978899</v>
      </c>
    </row>
    <row r="376" spans="1:19" x14ac:dyDescent="0.25">
      <c r="A376">
        <v>21</v>
      </c>
      <c r="B376">
        <v>191</v>
      </c>
      <c r="C376">
        <v>83</v>
      </c>
      <c r="D376" t="s">
        <v>21</v>
      </c>
      <c r="E376">
        <v>7.0170027125499104</v>
      </c>
      <c r="F376">
        <v>35</v>
      </c>
      <c r="G376">
        <v>1</v>
      </c>
      <c r="H376">
        <v>78.589227572324504</v>
      </c>
      <c r="I376">
        <v>76.726355014352805</v>
      </c>
      <c r="J376">
        <v>291.77867379012201</v>
      </c>
      <c r="K376">
        <v>87.587988550498494</v>
      </c>
      <c r="L376">
        <v>5.73665542390982</v>
      </c>
      <c r="M376">
        <v>80.783594240539998</v>
      </c>
      <c r="N376">
        <v>7.8804274575782101</v>
      </c>
      <c r="O376">
        <v>68.949831226897103</v>
      </c>
      <c r="P376">
        <v>73.915409678870205</v>
      </c>
      <c r="Q376">
        <v>1</v>
      </c>
      <c r="R376">
        <v>1</v>
      </c>
      <c r="S376">
        <v>22.751569310051799</v>
      </c>
    </row>
    <row r="377" spans="1:19" x14ac:dyDescent="0.25">
      <c r="A377">
        <v>22</v>
      </c>
      <c r="B377">
        <v>176</v>
      </c>
      <c r="C377">
        <v>59</v>
      </c>
      <c r="D377" t="s">
        <v>19</v>
      </c>
      <c r="E377">
        <v>8.1560297318176698</v>
      </c>
      <c r="F377">
        <v>16</v>
      </c>
      <c r="G377">
        <v>1</v>
      </c>
      <c r="H377">
        <v>83.452648749877795</v>
      </c>
      <c r="I377">
        <v>91.431085166187003</v>
      </c>
      <c r="J377">
        <v>247.09711110523301</v>
      </c>
      <c r="K377">
        <v>88.715894776681495</v>
      </c>
      <c r="L377">
        <v>6.7488610008269099</v>
      </c>
      <c r="M377">
        <v>76.828867174574896</v>
      </c>
      <c r="N377">
        <v>7.4281696350766602</v>
      </c>
      <c r="O377">
        <v>48.227829625339801</v>
      </c>
      <c r="P377">
        <v>78.116620175526293</v>
      </c>
      <c r="Q377">
        <v>1</v>
      </c>
      <c r="R377">
        <v>0</v>
      </c>
      <c r="S377">
        <v>19.0470041322314</v>
      </c>
    </row>
    <row r="378" spans="1:19" x14ac:dyDescent="0.25">
      <c r="A378">
        <v>24</v>
      </c>
      <c r="B378">
        <v>182</v>
      </c>
      <c r="C378">
        <v>82</v>
      </c>
      <c r="D378" t="s">
        <v>22</v>
      </c>
      <c r="E378">
        <v>10.065576532871299</v>
      </c>
      <c r="F378">
        <v>15</v>
      </c>
      <c r="G378">
        <v>1</v>
      </c>
      <c r="H378">
        <v>77.735066087909203</v>
      </c>
      <c r="I378">
        <v>87.447456446028099</v>
      </c>
      <c r="J378">
        <v>210.745351947339</v>
      </c>
      <c r="K378">
        <v>100</v>
      </c>
      <c r="L378">
        <v>5.9185310781660299</v>
      </c>
      <c r="M378">
        <v>89.773330916036002</v>
      </c>
      <c r="N378">
        <v>8.7924824649148103</v>
      </c>
      <c r="O378">
        <v>66.743371552379998</v>
      </c>
      <c r="P378">
        <v>76.526505592402103</v>
      </c>
      <c r="Q378">
        <v>1</v>
      </c>
      <c r="R378">
        <v>0</v>
      </c>
      <c r="S378">
        <v>24.755464315903801</v>
      </c>
    </row>
    <row r="379" spans="1:19" x14ac:dyDescent="0.25">
      <c r="A379">
        <v>20</v>
      </c>
      <c r="B379">
        <v>172</v>
      </c>
      <c r="C379">
        <v>72</v>
      </c>
      <c r="D379" t="s">
        <v>21</v>
      </c>
      <c r="E379">
        <v>9.0300970875593194</v>
      </c>
      <c r="F379">
        <v>32</v>
      </c>
      <c r="G379">
        <v>1</v>
      </c>
      <c r="H379">
        <v>86.661730245248506</v>
      </c>
      <c r="I379">
        <v>77.569748084620599</v>
      </c>
      <c r="J379">
        <v>272.82220526464602</v>
      </c>
      <c r="K379">
        <v>79.427143855482001</v>
      </c>
      <c r="L379">
        <v>5.9630426594246604</v>
      </c>
      <c r="M379">
        <v>74.154154655351803</v>
      </c>
      <c r="N379">
        <v>8.3744750564151502</v>
      </c>
      <c r="O379">
        <v>46.178231230856298</v>
      </c>
      <c r="P379">
        <v>91.979108300368594</v>
      </c>
      <c r="Q379">
        <v>1</v>
      </c>
      <c r="R379">
        <v>0</v>
      </c>
      <c r="S379">
        <v>24.3374797187669</v>
      </c>
    </row>
    <row r="380" spans="1:19" x14ac:dyDescent="0.25">
      <c r="A380">
        <v>21</v>
      </c>
      <c r="B380">
        <v>177</v>
      </c>
      <c r="C380">
        <v>60</v>
      </c>
      <c r="D380" t="s">
        <v>22</v>
      </c>
      <c r="E380">
        <v>11.766110244859</v>
      </c>
      <c r="F380">
        <v>38</v>
      </c>
      <c r="G380">
        <v>1</v>
      </c>
      <c r="H380">
        <v>74.916901759814607</v>
      </c>
      <c r="I380">
        <v>85.467067170204601</v>
      </c>
      <c r="J380">
        <v>232.93506914144999</v>
      </c>
      <c r="K380">
        <v>91.231722114082302</v>
      </c>
      <c r="L380">
        <v>5.8222925642185199</v>
      </c>
      <c r="M380">
        <v>75.113492913559995</v>
      </c>
      <c r="N380">
        <v>7.1543008663314396</v>
      </c>
      <c r="O380">
        <v>48.868480847747499</v>
      </c>
      <c r="P380">
        <v>86.344079129852801</v>
      </c>
      <c r="Q380">
        <v>0</v>
      </c>
      <c r="R380">
        <v>0</v>
      </c>
      <c r="S380">
        <v>19.1515847936416</v>
      </c>
    </row>
    <row r="381" spans="1:19" x14ac:dyDescent="0.25">
      <c r="A381">
        <v>23</v>
      </c>
      <c r="B381">
        <v>177</v>
      </c>
      <c r="C381">
        <v>54</v>
      </c>
      <c r="D381" t="s">
        <v>19</v>
      </c>
      <c r="E381">
        <v>17.016367225335699</v>
      </c>
      <c r="F381">
        <v>19</v>
      </c>
      <c r="G381">
        <v>1</v>
      </c>
      <c r="H381">
        <v>64.849959812506398</v>
      </c>
      <c r="I381">
        <v>70.9745263820529</v>
      </c>
      <c r="J381">
        <v>284.007003850111</v>
      </c>
      <c r="K381">
        <v>72.941405562447301</v>
      </c>
      <c r="L381">
        <v>5.26903569936123</v>
      </c>
      <c r="M381">
        <v>60.332346067902698</v>
      </c>
      <c r="N381">
        <v>7.8104546825368999</v>
      </c>
      <c r="O381">
        <v>55.755540417994503</v>
      </c>
      <c r="P381">
        <v>64.526041533731203</v>
      </c>
      <c r="Q381">
        <v>1</v>
      </c>
      <c r="R381">
        <v>1</v>
      </c>
      <c r="S381">
        <v>17.236426314277502</v>
      </c>
    </row>
    <row r="382" spans="1:19" x14ac:dyDescent="0.25">
      <c r="A382">
        <v>18</v>
      </c>
      <c r="B382">
        <v>181</v>
      </c>
      <c r="C382">
        <v>47</v>
      </c>
      <c r="D382" t="s">
        <v>21</v>
      </c>
      <c r="E382">
        <v>15.764136268488301</v>
      </c>
      <c r="F382">
        <v>39</v>
      </c>
      <c r="G382">
        <v>1</v>
      </c>
      <c r="H382">
        <v>77.211997966165598</v>
      </c>
      <c r="I382">
        <v>87.635284813896902</v>
      </c>
      <c r="J382">
        <v>207.736280361024</v>
      </c>
      <c r="K382">
        <v>80.235708702427004</v>
      </c>
      <c r="L382">
        <v>5.69787149862867</v>
      </c>
      <c r="M382">
        <v>79.917211060684593</v>
      </c>
      <c r="N382">
        <v>7.8356762029249802</v>
      </c>
      <c r="O382">
        <v>26.081605391300801</v>
      </c>
      <c r="P382">
        <v>70.017740276582799</v>
      </c>
      <c r="Q382">
        <v>1</v>
      </c>
      <c r="R382">
        <v>0</v>
      </c>
      <c r="S382">
        <v>14.3463264247123</v>
      </c>
    </row>
    <row r="383" spans="1:19" x14ac:dyDescent="0.25">
      <c r="A383">
        <v>24</v>
      </c>
      <c r="B383">
        <v>164</v>
      </c>
      <c r="C383">
        <v>93</v>
      </c>
      <c r="D383" t="s">
        <v>22</v>
      </c>
      <c r="E383">
        <v>12.7734725500273</v>
      </c>
      <c r="F383">
        <v>36</v>
      </c>
      <c r="G383">
        <v>2</v>
      </c>
      <c r="H383">
        <v>77.092131528348006</v>
      </c>
      <c r="I383">
        <v>75.575401250457404</v>
      </c>
      <c r="J383">
        <v>247.56881580020399</v>
      </c>
      <c r="K383">
        <v>79.587813195350193</v>
      </c>
      <c r="L383">
        <v>5.6572564629247699</v>
      </c>
      <c r="M383">
        <v>81.6841228138491</v>
      </c>
      <c r="N383">
        <v>5.8466370737263196</v>
      </c>
      <c r="O383">
        <v>62.263900368786103</v>
      </c>
      <c r="P383">
        <v>78.880845859807494</v>
      </c>
      <c r="Q383">
        <v>1</v>
      </c>
      <c r="R383">
        <v>1</v>
      </c>
      <c r="S383">
        <v>34.577632361689403</v>
      </c>
    </row>
    <row r="384" spans="1:19" x14ac:dyDescent="0.25">
      <c r="A384">
        <v>20</v>
      </c>
      <c r="B384">
        <v>182</v>
      </c>
      <c r="C384">
        <v>84</v>
      </c>
      <c r="D384" t="s">
        <v>20</v>
      </c>
      <c r="E384">
        <v>11.560313722130999</v>
      </c>
      <c r="F384">
        <v>21</v>
      </c>
      <c r="G384">
        <v>0</v>
      </c>
      <c r="H384">
        <v>67.2647334037391</v>
      </c>
      <c r="I384">
        <v>70.056155561901605</v>
      </c>
      <c r="J384">
        <v>249.943663771302</v>
      </c>
      <c r="K384">
        <v>83.167484265621198</v>
      </c>
      <c r="L384">
        <v>6.3435030935680503</v>
      </c>
      <c r="M384">
        <v>83.573188027460702</v>
      </c>
      <c r="N384">
        <v>6.75073773339422</v>
      </c>
      <c r="O384">
        <v>64.164052245220603</v>
      </c>
      <c r="P384">
        <v>59.255599870115802</v>
      </c>
      <c r="Q384">
        <v>0</v>
      </c>
      <c r="R384">
        <v>1</v>
      </c>
      <c r="S384">
        <v>25.359256128486798</v>
      </c>
    </row>
    <row r="385" spans="1:19" x14ac:dyDescent="0.25">
      <c r="A385">
        <v>19</v>
      </c>
      <c r="B385">
        <v>186</v>
      </c>
      <c r="C385">
        <v>63</v>
      </c>
      <c r="D385" t="s">
        <v>22</v>
      </c>
      <c r="E385">
        <v>5.7354392915272996</v>
      </c>
      <c r="F385">
        <v>24</v>
      </c>
      <c r="G385">
        <v>1</v>
      </c>
      <c r="H385">
        <v>80.970812826733095</v>
      </c>
      <c r="I385">
        <v>83.658439921104105</v>
      </c>
      <c r="J385">
        <v>243.21882394285601</v>
      </c>
      <c r="K385">
        <v>94.1154151799863</v>
      </c>
      <c r="L385">
        <v>5.9072025722627899</v>
      </c>
      <c r="M385">
        <v>91.376100278896502</v>
      </c>
      <c r="N385">
        <v>8.2456015027380705</v>
      </c>
      <c r="O385">
        <v>41.583760843594703</v>
      </c>
      <c r="P385">
        <v>80.489924137890199</v>
      </c>
      <c r="Q385">
        <v>1</v>
      </c>
      <c r="R385">
        <v>0</v>
      </c>
      <c r="S385">
        <v>18.210197710717999</v>
      </c>
    </row>
    <row r="386" spans="1:19" x14ac:dyDescent="0.25">
      <c r="A386">
        <v>24</v>
      </c>
      <c r="B386">
        <v>180</v>
      </c>
      <c r="C386">
        <v>81</v>
      </c>
      <c r="D386" t="s">
        <v>22</v>
      </c>
      <c r="E386">
        <v>11.850612316342801</v>
      </c>
      <c r="F386">
        <v>12</v>
      </c>
      <c r="G386">
        <v>0</v>
      </c>
      <c r="H386">
        <v>71.219353983405</v>
      </c>
      <c r="I386">
        <v>86.762452307767205</v>
      </c>
      <c r="J386">
        <v>227.903919993345</v>
      </c>
      <c r="K386">
        <v>87.747590017769994</v>
      </c>
      <c r="L386">
        <v>6.3428179686492703</v>
      </c>
      <c r="M386">
        <v>83.686981311820006</v>
      </c>
      <c r="N386">
        <v>8.1082679054054996</v>
      </c>
      <c r="O386">
        <v>42.588173025344602</v>
      </c>
      <c r="P386">
        <v>71.938949444676695</v>
      </c>
      <c r="Q386">
        <v>0</v>
      </c>
      <c r="R386">
        <v>0</v>
      </c>
      <c r="S386">
        <v>25</v>
      </c>
    </row>
    <row r="387" spans="1:19" x14ac:dyDescent="0.25">
      <c r="A387">
        <v>18</v>
      </c>
      <c r="B387">
        <v>178</v>
      </c>
      <c r="C387">
        <v>75</v>
      </c>
      <c r="D387" t="s">
        <v>21</v>
      </c>
      <c r="E387">
        <v>8.1501419162745599</v>
      </c>
      <c r="F387">
        <v>27</v>
      </c>
      <c r="G387">
        <v>1</v>
      </c>
      <c r="H387">
        <v>75.671354199613305</v>
      </c>
      <c r="I387">
        <v>80.775229624875195</v>
      </c>
      <c r="J387">
        <v>250.19353687002101</v>
      </c>
      <c r="K387">
        <v>93.427874660301995</v>
      </c>
      <c r="L387">
        <v>5.5484515478521397</v>
      </c>
      <c r="M387">
        <v>70.496079976416596</v>
      </c>
      <c r="N387">
        <v>7.2347323877402197</v>
      </c>
      <c r="O387">
        <v>50.0388336641442</v>
      </c>
      <c r="P387">
        <v>74.533891942486605</v>
      </c>
      <c r="Q387">
        <v>1</v>
      </c>
      <c r="R387">
        <v>0</v>
      </c>
      <c r="S387">
        <v>23.671253629592201</v>
      </c>
    </row>
    <row r="388" spans="1:19" x14ac:dyDescent="0.25">
      <c r="A388">
        <v>19</v>
      </c>
      <c r="B388">
        <v>175</v>
      </c>
      <c r="C388">
        <v>83</v>
      </c>
      <c r="D388" t="s">
        <v>21</v>
      </c>
      <c r="E388">
        <v>5.2800313257935798</v>
      </c>
      <c r="F388">
        <v>34</v>
      </c>
      <c r="G388">
        <v>4</v>
      </c>
      <c r="H388">
        <v>61.6271916415593</v>
      </c>
      <c r="I388">
        <v>79.846538432324294</v>
      </c>
      <c r="J388">
        <v>265.092083233876</v>
      </c>
      <c r="K388">
        <v>87.955081546870403</v>
      </c>
      <c r="L388">
        <v>6.1253889356120501</v>
      </c>
      <c r="M388">
        <v>77.332497237600904</v>
      </c>
      <c r="N388">
        <v>7.3021146092403901</v>
      </c>
      <c r="O388">
        <v>67.129994507829196</v>
      </c>
      <c r="P388">
        <v>77.929695762545606</v>
      </c>
      <c r="Q388">
        <v>0</v>
      </c>
      <c r="R388">
        <v>1</v>
      </c>
      <c r="S388">
        <v>27.1020408163265</v>
      </c>
    </row>
    <row r="389" spans="1:19" x14ac:dyDescent="0.25">
      <c r="A389">
        <v>24</v>
      </c>
      <c r="B389">
        <v>165</v>
      </c>
      <c r="C389">
        <v>63</v>
      </c>
      <c r="D389" t="s">
        <v>19</v>
      </c>
      <c r="E389">
        <v>10.223171336649299</v>
      </c>
      <c r="F389">
        <v>29</v>
      </c>
      <c r="G389">
        <v>2</v>
      </c>
      <c r="H389">
        <v>67.6952362671299</v>
      </c>
      <c r="I389">
        <v>75.545956690682402</v>
      </c>
      <c r="J389">
        <v>280.79561726783197</v>
      </c>
      <c r="K389">
        <v>79.050092401975206</v>
      </c>
      <c r="L389">
        <v>5.6161587591901396</v>
      </c>
      <c r="M389">
        <v>68.979966100702399</v>
      </c>
      <c r="N389">
        <v>5.2890227859556997</v>
      </c>
      <c r="O389">
        <v>60.8812381585699</v>
      </c>
      <c r="P389">
        <v>84.903392155042496</v>
      </c>
      <c r="Q389">
        <v>1</v>
      </c>
      <c r="R389">
        <v>1</v>
      </c>
      <c r="S389">
        <v>23.1404958677685</v>
      </c>
    </row>
    <row r="390" spans="1:19" x14ac:dyDescent="0.25">
      <c r="A390">
        <v>22</v>
      </c>
      <c r="B390">
        <v>176</v>
      </c>
      <c r="C390">
        <v>60</v>
      </c>
      <c r="D390" t="s">
        <v>22</v>
      </c>
      <c r="E390">
        <v>11.4848047171315</v>
      </c>
      <c r="F390">
        <v>30</v>
      </c>
      <c r="G390">
        <v>1</v>
      </c>
      <c r="H390">
        <v>84.419539194985305</v>
      </c>
      <c r="I390">
        <v>72.295233084911601</v>
      </c>
      <c r="J390">
        <v>235.15957117774099</v>
      </c>
      <c r="K390">
        <v>88.883902044908695</v>
      </c>
      <c r="L390">
        <v>5.9121155756112396</v>
      </c>
      <c r="M390">
        <v>87.391674105377803</v>
      </c>
      <c r="N390">
        <v>8.3844201836717005</v>
      </c>
      <c r="O390">
        <v>45.902041457625501</v>
      </c>
      <c r="P390">
        <v>91.948783407945797</v>
      </c>
      <c r="Q390">
        <v>0</v>
      </c>
      <c r="R390">
        <v>0</v>
      </c>
      <c r="S390">
        <v>19.369834710743799</v>
      </c>
    </row>
    <row r="391" spans="1:19" x14ac:dyDescent="0.25">
      <c r="A391">
        <v>24</v>
      </c>
      <c r="B391">
        <v>182</v>
      </c>
      <c r="C391">
        <v>77</v>
      </c>
      <c r="D391" t="s">
        <v>20</v>
      </c>
      <c r="E391">
        <v>9.6472460572641694</v>
      </c>
      <c r="F391">
        <v>36</v>
      </c>
      <c r="G391">
        <v>1</v>
      </c>
      <c r="H391">
        <v>74.853973854892502</v>
      </c>
      <c r="I391">
        <v>74.982544153727204</v>
      </c>
      <c r="J391">
        <v>249.03041395380399</v>
      </c>
      <c r="K391">
        <v>78.607144200182404</v>
      </c>
      <c r="L391">
        <v>5.6703228406629398</v>
      </c>
      <c r="M391">
        <v>67.262038605918903</v>
      </c>
      <c r="N391">
        <v>7.3298256837698599</v>
      </c>
      <c r="O391">
        <v>60.153231813530397</v>
      </c>
      <c r="P391">
        <v>69.333350129060804</v>
      </c>
      <c r="Q391">
        <v>1</v>
      </c>
      <c r="R391">
        <v>1</v>
      </c>
      <c r="S391">
        <v>23.2459847844463</v>
      </c>
    </row>
    <row r="392" spans="1:19" x14ac:dyDescent="0.25">
      <c r="A392">
        <v>21</v>
      </c>
      <c r="B392">
        <v>159</v>
      </c>
      <c r="C392">
        <v>69</v>
      </c>
      <c r="D392" t="s">
        <v>19</v>
      </c>
      <c r="E392">
        <v>10.8697127887859</v>
      </c>
      <c r="F392">
        <v>33</v>
      </c>
      <c r="G392">
        <v>2</v>
      </c>
      <c r="H392">
        <v>82.731509512111799</v>
      </c>
      <c r="I392">
        <v>79.228790468788702</v>
      </c>
      <c r="J392">
        <v>245.93550037835701</v>
      </c>
      <c r="K392">
        <v>88.789368753223101</v>
      </c>
      <c r="L392">
        <v>6.1919303353115902</v>
      </c>
      <c r="M392">
        <v>69.182919974994505</v>
      </c>
      <c r="N392">
        <v>7.6341364693496301</v>
      </c>
      <c r="O392">
        <v>44.440137574974401</v>
      </c>
      <c r="P392">
        <v>75.106701352348793</v>
      </c>
      <c r="Q392">
        <v>1</v>
      </c>
      <c r="R392">
        <v>0</v>
      </c>
      <c r="S392">
        <v>27.293224160436601</v>
      </c>
    </row>
    <row r="393" spans="1:19" x14ac:dyDescent="0.25">
      <c r="A393">
        <v>21</v>
      </c>
      <c r="B393">
        <v>176</v>
      </c>
      <c r="C393">
        <v>85</v>
      </c>
      <c r="D393" t="s">
        <v>21</v>
      </c>
      <c r="E393">
        <v>7.9864937608967503</v>
      </c>
      <c r="F393">
        <v>31</v>
      </c>
      <c r="G393">
        <v>2</v>
      </c>
      <c r="H393">
        <v>82.407633976252299</v>
      </c>
      <c r="I393">
        <v>86.544787587566205</v>
      </c>
      <c r="J393">
        <v>242.56471342629499</v>
      </c>
      <c r="K393">
        <v>90.157686208190597</v>
      </c>
      <c r="L393">
        <v>6.2390746940572201</v>
      </c>
      <c r="M393">
        <v>71.504530488207294</v>
      </c>
      <c r="N393">
        <v>8.1002900393446993</v>
      </c>
      <c r="O393">
        <v>45.469778478931502</v>
      </c>
      <c r="P393">
        <v>77.930874348961098</v>
      </c>
      <c r="Q393">
        <v>1</v>
      </c>
      <c r="R393">
        <v>0</v>
      </c>
      <c r="S393">
        <v>27.4405991735537</v>
      </c>
    </row>
    <row r="394" spans="1:19" x14ac:dyDescent="0.25">
      <c r="A394">
        <v>23</v>
      </c>
      <c r="B394">
        <v>191</v>
      </c>
      <c r="C394">
        <v>69</v>
      </c>
      <c r="D394" t="s">
        <v>20</v>
      </c>
      <c r="E394">
        <v>12.680812960816001</v>
      </c>
      <c r="F394">
        <v>35</v>
      </c>
      <c r="G394">
        <v>1</v>
      </c>
      <c r="H394">
        <v>82.3864898497919</v>
      </c>
      <c r="I394">
        <v>85.850626509195706</v>
      </c>
      <c r="J394">
        <v>242.13863805776401</v>
      </c>
      <c r="K394">
        <v>88.692592044832395</v>
      </c>
      <c r="L394">
        <v>6.1726895314498096</v>
      </c>
      <c r="M394">
        <v>86.884593923221004</v>
      </c>
      <c r="N394">
        <v>8.7545725768412801</v>
      </c>
      <c r="O394">
        <v>53.172696012898498</v>
      </c>
      <c r="P394">
        <v>86.952254575608805</v>
      </c>
      <c r="Q394">
        <v>1</v>
      </c>
      <c r="R394">
        <v>0</v>
      </c>
      <c r="S394">
        <v>18.913955209561099</v>
      </c>
    </row>
    <row r="395" spans="1:19" x14ac:dyDescent="0.25">
      <c r="A395">
        <v>19</v>
      </c>
      <c r="B395">
        <v>165</v>
      </c>
      <c r="C395">
        <v>69</v>
      </c>
      <c r="D395" t="s">
        <v>22</v>
      </c>
      <c r="E395">
        <v>15.7680968347399</v>
      </c>
      <c r="F395">
        <v>17</v>
      </c>
      <c r="G395">
        <v>1</v>
      </c>
      <c r="H395">
        <v>81.776436950256198</v>
      </c>
      <c r="I395">
        <v>84.165548194973496</v>
      </c>
      <c r="J395">
        <v>242.29786394735399</v>
      </c>
      <c r="K395">
        <v>81.907311987751896</v>
      </c>
      <c r="L395">
        <v>6.1368643918218497</v>
      </c>
      <c r="M395">
        <v>84.1251518384002</v>
      </c>
      <c r="N395">
        <v>8.0702769707206095</v>
      </c>
      <c r="O395">
        <v>44.730526987906899</v>
      </c>
      <c r="P395">
        <v>74.295492255011695</v>
      </c>
      <c r="Q395">
        <v>1</v>
      </c>
      <c r="R395">
        <v>0</v>
      </c>
      <c r="S395">
        <v>25.344352617079799</v>
      </c>
    </row>
    <row r="396" spans="1:19" x14ac:dyDescent="0.25">
      <c r="A396">
        <v>21</v>
      </c>
      <c r="B396">
        <v>174</v>
      </c>
      <c r="C396">
        <v>85</v>
      </c>
      <c r="D396" t="s">
        <v>19</v>
      </c>
      <c r="E396">
        <v>9.4434361533965792</v>
      </c>
      <c r="F396">
        <v>5</v>
      </c>
      <c r="G396">
        <v>3</v>
      </c>
      <c r="H396">
        <v>77.220212128150393</v>
      </c>
      <c r="I396">
        <v>69.070796386366695</v>
      </c>
      <c r="J396">
        <v>286.49418654052499</v>
      </c>
      <c r="K396">
        <v>78.191038698229704</v>
      </c>
      <c r="L396">
        <v>5.6713661472351404</v>
      </c>
      <c r="M396">
        <v>72.647079312187699</v>
      </c>
      <c r="N396">
        <v>7.91601542438233</v>
      </c>
      <c r="O396">
        <v>62.180319131833301</v>
      </c>
      <c r="P396">
        <v>78.441803402466903</v>
      </c>
      <c r="Q396">
        <v>1</v>
      </c>
      <c r="R396">
        <v>1</v>
      </c>
      <c r="S396">
        <v>28.0750429383009</v>
      </c>
    </row>
    <row r="397" spans="1:19" x14ac:dyDescent="0.25">
      <c r="A397">
        <v>18</v>
      </c>
      <c r="B397">
        <v>176</v>
      </c>
      <c r="C397">
        <v>80</v>
      </c>
      <c r="D397" t="s">
        <v>21</v>
      </c>
      <c r="E397">
        <v>13.4812499976399</v>
      </c>
      <c r="F397">
        <v>18</v>
      </c>
      <c r="G397">
        <v>5</v>
      </c>
      <c r="H397">
        <v>78.053813097506307</v>
      </c>
      <c r="I397">
        <v>67.688324343102707</v>
      </c>
      <c r="J397">
        <v>247.883809712225</v>
      </c>
      <c r="K397">
        <v>69.759613985261495</v>
      </c>
      <c r="L397">
        <v>5.5542108812757398</v>
      </c>
      <c r="M397">
        <v>72.891098303309207</v>
      </c>
      <c r="N397">
        <v>8.5340305969513199</v>
      </c>
      <c r="O397">
        <v>61.401777928253303</v>
      </c>
      <c r="P397">
        <v>65.663935474311103</v>
      </c>
      <c r="Q397">
        <v>0</v>
      </c>
      <c r="R397">
        <v>1</v>
      </c>
      <c r="S397">
        <v>25.8264462809917</v>
      </c>
    </row>
    <row r="398" spans="1:19" x14ac:dyDescent="0.25">
      <c r="A398">
        <v>19</v>
      </c>
      <c r="B398">
        <v>179</v>
      </c>
      <c r="C398">
        <v>68</v>
      </c>
      <c r="D398" t="s">
        <v>21</v>
      </c>
      <c r="E398">
        <v>9.0518117416475299</v>
      </c>
      <c r="F398">
        <v>23</v>
      </c>
      <c r="G398">
        <v>5</v>
      </c>
      <c r="H398">
        <v>75.466814836083003</v>
      </c>
      <c r="I398">
        <v>84.830419880471496</v>
      </c>
      <c r="J398">
        <v>257.00993507357902</v>
      </c>
      <c r="K398">
        <v>87.671628939047807</v>
      </c>
      <c r="L398">
        <v>6.2006939901557798</v>
      </c>
      <c r="M398">
        <v>75.150397918271395</v>
      </c>
      <c r="N398">
        <v>7.9721150731235104</v>
      </c>
      <c r="O398">
        <v>44.633918216659303</v>
      </c>
      <c r="P398">
        <v>76.035187693846495</v>
      </c>
      <c r="Q398">
        <v>1</v>
      </c>
      <c r="R398">
        <v>0</v>
      </c>
      <c r="S398">
        <v>21.222808276895201</v>
      </c>
    </row>
    <row r="399" spans="1:19" x14ac:dyDescent="0.25">
      <c r="A399">
        <v>18</v>
      </c>
      <c r="B399">
        <v>176</v>
      </c>
      <c r="C399">
        <v>74</v>
      </c>
      <c r="D399" t="s">
        <v>22</v>
      </c>
      <c r="E399">
        <v>10.258495669376201</v>
      </c>
      <c r="F399">
        <v>17</v>
      </c>
      <c r="G399">
        <v>2</v>
      </c>
      <c r="H399">
        <v>73.1164067572509</v>
      </c>
      <c r="I399">
        <v>71.863157020433604</v>
      </c>
      <c r="J399">
        <v>234.91933188815</v>
      </c>
      <c r="K399">
        <v>90.791828784608001</v>
      </c>
      <c r="L399">
        <v>5.4541527748869996</v>
      </c>
      <c r="M399">
        <v>90.135665901994699</v>
      </c>
      <c r="N399">
        <v>8.6915741348613693</v>
      </c>
      <c r="O399">
        <v>58.065286660761601</v>
      </c>
      <c r="P399">
        <v>61.658245423220599</v>
      </c>
      <c r="Q399">
        <v>1</v>
      </c>
      <c r="R399">
        <v>1</v>
      </c>
      <c r="S399">
        <v>23.889462809917301</v>
      </c>
    </row>
    <row r="400" spans="1:19" x14ac:dyDescent="0.25">
      <c r="A400">
        <v>21</v>
      </c>
      <c r="B400">
        <v>183</v>
      </c>
      <c r="C400">
        <v>64</v>
      </c>
      <c r="D400" t="s">
        <v>21</v>
      </c>
      <c r="E400">
        <v>11.048849128799</v>
      </c>
      <c r="F400">
        <v>21</v>
      </c>
      <c r="G400">
        <v>1</v>
      </c>
      <c r="H400">
        <v>77.950104935611606</v>
      </c>
      <c r="I400">
        <v>78.179115098539597</v>
      </c>
      <c r="J400">
        <v>266.33472740961503</v>
      </c>
      <c r="K400">
        <v>77.488107432772907</v>
      </c>
      <c r="L400">
        <v>5.4952027224259901</v>
      </c>
      <c r="M400">
        <v>77.090451595606694</v>
      </c>
      <c r="N400">
        <v>7.4170782530361699</v>
      </c>
      <c r="O400">
        <v>74.749489097290194</v>
      </c>
      <c r="P400">
        <v>50</v>
      </c>
      <c r="Q400">
        <v>0</v>
      </c>
      <c r="R400">
        <v>1</v>
      </c>
      <c r="S400">
        <v>19.110752784496398</v>
      </c>
    </row>
    <row r="401" spans="1:19" x14ac:dyDescent="0.25">
      <c r="A401">
        <v>22</v>
      </c>
      <c r="B401">
        <v>187</v>
      </c>
      <c r="C401">
        <v>63</v>
      </c>
      <c r="D401" t="s">
        <v>20</v>
      </c>
      <c r="E401">
        <v>13.114170658653901</v>
      </c>
      <c r="F401">
        <v>33</v>
      </c>
      <c r="G401">
        <v>2</v>
      </c>
      <c r="H401">
        <v>85.512124435266401</v>
      </c>
      <c r="I401">
        <v>75.076207611744593</v>
      </c>
      <c r="J401">
        <v>201.81444170057301</v>
      </c>
      <c r="K401">
        <v>95.233663998341797</v>
      </c>
      <c r="L401">
        <v>6.0647906357488397</v>
      </c>
      <c r="M401">
        <v>91.725885472336302</v>
      </c>
      <c r="N401">
        <v>7.5891139428816503</v>
      </c>
      <c r="O401">
        <v>29.651520359059401</v>
      </c>
      <c r="P401">
        <v>77.006415130873407</v>
      </c>
      <c r="Q401">
        <v>1</v>
      </c>
      <c r="R401">
        <v>0</v>
      </c>
      <c r="S401">
        <v>18.0159569904772</v>
      </c>
    </row>
    <row r="402" spans="1:19" x14ac:dyDescent="0.25">
      <c r="A402">
        <v>24</v>
      </c>
      <c r="B402">
        <v>196</v>
      </c>
      <c r="C402">
        <v>67</v>
      </c>
      <c r="D402" t="s">
        <v>20</v>
      </c>
      <c r="E402">
        <v>9.2912212315046592</v>
      </c>
      <c r="F402">
        <v>21</v>
      </c>
      <c r="G402">
        <v>4</v>
      </c>
      <c r="H402">
        <v>74.625051077018099</v>
      </c>
      <c r="I402">
        <v>69.000465806535999</v>
      </c>
      <c r="J402">
        <v>275.45796692895198</v>
      </c>
      <c r="K402">
        <v>84.141005745099207</v>
      </c>
      <c r="L402">
        <v>5.2551489489389001</v>
      </c>
      <c r="M402">
        <v>90.770204738009099</v>
      </c>
      <c r="N402">
        <v>6.5548055686128999</v>
      </c>
      <c r="O402">
        <v>45.523671351348597</v>
      </c>
      <c r="P402">
        <v>73.433899283278706</v>
      </c>
      <c r="Q402">
        <v>1</v>
      </c>
      <c r="R402">
        <v>1</v>
      </c>
      <c r="S402">
        <v>17.4406497292794</v>
      </c>
    </row>
    <row r="403" spans="1:19" x14ac:dyDescent="0.25">
      <c r="A403">
        <v>23</v>
      </c>
      <c r="B403">
        <v>169</v>
      </c>
      <c r="C403">
        <v>82</v>
      </c>
      <c r="D403" t="s">
        <v>22</v>
      </c>
      <c r="E403">
        <v>13.204142452032899</v>
      </c>
      <c r="F403">
        <v>25</v>
      </c>
      <c r="G403">
        <v>2</v>
      </c>
      <c r="H403">
        <v>71.441165792783195</v>
      </c>
      <c r="I403">
        <v>73.084911614822403</v>
      </c>
      <c r="J403">
        <v>283.81920312927201</v>
      </c>
      <c r="K403">
        <v>82.411349025613504</v>
      </c>
      <c r="L403">
        <v>5.61869973989449</v>
      </c>
      <c r="M403">
        <v>84.355518463737297</v>
      </c>
      <c r="N403">
        <v>7.2250467301135597</v>
      </c>
      <c r="O403">
        <v>63.756254105211298</v>
      </c>
      <c r="P403">
        <v>73.448427288385204</v>
      </c>
      <c r="Q403">
        <v>1</v>
      </c>
      <c r="R403">
        <v>1</v>
      </c>
      <c r="S403">
        <v>28.710479324953599</v>
      </c>
    </row>
    <row r="404" spans="1:19" x14ac:dyDescent="0.25">
      <c r="A404">
        <v>18</v>
      </c>
      <c r="B404">
        <v>184</v>
      </c>
      <c r="C404">
        <v>83</v>
      </c>
      <c r="D404" t="s">
        <v>21</v>
      </c>
      <c r="E404">
        <v>5.9529292412335701</v>
      </c>
      <c r="F404">
        <v>10</v>
      </c>
      <c r="G404">
        <v>1</v>
      </c>
      <c r="H404">
        <v>59.958471692998998</v>
      </c>
      <c r="I404">
        <v>67.586460456698006</v>
      </c>
      <c r="J404">
        <v>219.60409058604299</v>
      </c>
      <c r="K404">
        <v>83.960924505588807</v>
      </c>
      <c r="L404">
        <v>5.3771609880197797</v>
      </c>
      <c r="M404">
        <v>73.777734367974304</v>
      </c>
      <c r="N404">
        <v>7.4255525824582698</v>
      </c>
      <c r="O404">
        <v>56.064931953469902</v>
      </c>
      <c r="P404">
        <v>73.435649688324403</v>
      </c>
      <c r="Q404">
        <v>0</v>
      </c>
      <c r="R404">
        <v>1</v>
      </c>
      <c r="S404">
        <v>24.515595463137899</v>
      </c>
    </row>
    <row r="405" spans="1:19" x14ac:dyDescent="0.25">
      <c r="A405">
        <v>19</v>
      </c>
      <c r="B405">
        <v>166</v>
      </c>
      <c r="C405">
        <v>78</v>
      </c>
      <c r="D405" t="s">
        <v>20</v>
      </c>
      <c r="E405">
        <v>8.9942092737274404</v>
      </c>
      <c r="F405">
        <v>32</v>
      </c>
      <c r="G405">
        <v>1</v>
      </c>
      <c r="H405">
        <v>91.767177051781402</v>
      </c>
      <c r="I405">
        <v>78.289938249449605</v>
      </c>
      <c r="J405">
        <v>239.06842907297201</v>
      </c>
      <c r="K405">
        <v>80.590319958713195</v>
      </c>
      <c r="L405">
        <v>6.3597286537306799</v>
      </c>
      <c r="M405">
        <v>81.5555196738988</v>
      </c>
      <c r="N405">
        <v>7.4806143115273196</v>
      </c>
      <c r="O405">
        <v>56.989989872368298</v>
      </c>
      <c r="P405">
        <v>76.968981357336801</v>
      </c>
      <c r="Q405">
        <v>1</v>
      </c>
      <c r="R405">
        <v>0</v>
      </c>
      <c r="S405">
        <v>28.305995064595699</v>
      </c>
    </row>
    <row r="406" spans="1:19" x14ac:dyDescent="0.25">
      <c r="A406">
        <v>20</v>
      </c>
      <c r="B406">
        <v>178</v>
      </c>
      <c r="C406">
        <v>76</v>
      </c>
      <c r="D406" t="s">
        <v>21</v>
      </c>
      <c r="E406">
        <v>13.8985030946849</v>
      </c>
      <c r="F406">
        <v>25</v>
      </c>
      <c r="G406">
        <v>5</v>
      </c>
      <c r="H406">
        <v>82.882702325910103</v>
      </c>
      <c r="I406">
        <v>64.313229856265906</v>
      </c>
      <c r="J406">
        <v>260.97385974293701</v>
      </c>
      <c r="K406">
        <v>80.783366835342505</v>
      </c>
      <c r="L406">
        <v>6.0349179587932902</v>
      </c>
      <c r="M406">
        <v>67.875623372066102</v>
      </c>
      <c r="N406">
        <v>8.0243355653859307</v>
      </c>
      <c r="O406">
        <v>70.231243542578696</v>
      </c>
      <c r="P406">
        <v>78.931929623566901</v>
      </c>
      <c r="Q406">
        <v>1</v>
      </c>
      <c r="R406">
        <v>1</v>
      </c>
      <c r="S406">
        <v>23.986870344653401</v>
      </c>
    </row>
    <row r="407" spans="1:19" x14ac:dyDescent="0.25">
      <c r="A407">
        <v>23</v>
      </c>
      <c r="B407">
        <v>179</v>
      </c>
      <c r="C407">
        <v>85</v>
      </c>
      <c r="D407" t="s">
        <v>20</v>
      </c>
      <c r="E407">
        <v>10.0043596595346</v>
      </c>
      <c r="F407">
        <v>28</v>
      </c>
      <c r="G407">
        <v>2</v>
      </c>
      <c r="H407">
        <v>74.993164140946007</v>
      </c>
      <c r="I407">
        <v>89.821411075175902</v>
      </c>
      <c r="J407">
        <v>249.550333065393</v>
      </c>
      <c r="K407">
        <v>81.486297480566407</v>
      </c>
      <c r="L407">
        <v>5.5456945396761199</v>
      </c>
      <c r="M407">
        <v>85.000979487258604</v>
      </c>
      <c r="N407">
        <v>6.5140519601318996</v>
      </c>
      <c r="O407">
        <v>56.423122352447301</v>
      </c>
      <c r="P407">
        <v>70.974298416815103</v>
      </c>
      <c r="Q407">
        <v>1</v>
      </c>
      <c r="R407">
        <v>1</v>
      </c>
      <c r="S407">
        <v>26.528510346118999</v>
      </c>
    </row>
    <row r="408" spans="1:19" x14ac:dyDescent="0.25">
      <c r="A408">
        <v>21</v>
      </c>
      <c r="B408">
        <v>177</v>
      </c>
      <c r="C408">
        <v>75</v>
      </c>
      <c r="D408" t="s">
        <v>19</v>
      </c>
      <c r="E408">
        <v>15.4161228207909</v>
      </c>
      <c r="F408">
        <v>21</v>
      </c>
      <c r="G408">
        <v>1</v>
      </c>
      <c r="H408">
        <v>72.573712861827701</v>
      </c>
      <c r="I408">
        <v>82.925040506913206</v>
      </c>
      <c r="J408">
        <v>260.62417102470801</v>
      </c>
      <c r="K408">
        <v>92.308844687502699</v>
      </c>
      <c r="L408">
        <v>5.5756961595913204</v>
      </c>
      <c r="M408">
        <v>61.627932747201697</v>
      </c>
      <c r="N408">
        <v>7.0281270446528099</v>
      </c>
      <c r="O408">
        <v>57.116861404451903</v>
      </c>
      <c r="P408">
        <v>77.106674395786897</v>
      </c>
      <c r="Q408">
        <v>1</v>
      </c>
      <c r="R408">
        <v>0</v>
      </c>
      <c r="S408">
        <v>23.939480992052001</v>
      </c>
    </row>
    <row r="409" spans="1:19" x14ac:dyDescent="0.25">
      <c r="A409">
        <v>22</v>
      </c>
      <c r="B409">
        <v>177</v>
      </c>
      <c r="C409">
        <v>63</v>
      </c>
      <c r="D409" t="s">
        <v>19</v>
      </c>
      <c r="E409">
        <v>11.192997257411101</v>
      </c>
      <c r="F409">
        <v>7</v>
      </c>
      <c r="G409">
        <v>1</v>
      </c>
      <c r="H409">
        <v>75.302738517099101</v>
      </c>
      <c r="I409">
        <v>100</v>
      </c>
      <c r="J409">
        <v>253.16449832194499</v>
      </c>
      <c r="K409">
        <v>87.0023941624098</v>
      </c>
      <c r="L409">
        <v>5.96630839798895</v>
      </c>
      <c r="M409">
        <v>81.970600484678002</v>
      </c>
      <c r="N409">
        <v>7.9490272193072897</v>
      </c>
      <c r="O409">
        <v>40.706747667847203</v>
      </c>
      <c r="P409">
        <v>86.458435300727302</v>
      </c>
      <c r="Q409">
        <v>1</v>
      </c>
      <c r="R409">
        <v>0</v>
      </c>
      <c r="S409">
        <v>20.109164033323701</v>
      </c>
    </row>
    <row r="410" spans="1:19" x14ac:dyDescent="0.25">
      <c r="A410">
        <v>21</v>
      </c>
      <c r="B410">
        <v>172</v>
      </c>
      <c r="C410">
        <v>73</v>
      </c>
      <c r="D410" t="s">
        <v>19</v>
      </c>
      <c r="E410">
        <v>7.6523626881588198</v>
      </c>
      <c r="F410">
        <v>21</v>
      </c>
      <c r="G410">
        <v>4</v>
      </c>
      <c r="H410">
        <v>69.171817550873399</v>
      </c>
      <c r="I410">
        <v>78.372268970340997</v>
      </c>
      <c r="J410">
        <v>268.67468856047202</v>
      </c>
      <c r="K410">
        <v>72.130137590367298</v>
      </c>
      <c r="L410">
        <v>5.47155527716279</v>
      </c>
      <c r="M410">
        <v>72.216756894959005</v>
      </c>
      <c r="N410">
        <v>6.8465844342866404</v>
      </c>
      <c r="O410">
        <v>62.526406283859998</v>
      </c>
      <c r="P410">
        <v>62.262762048644298</v>
      </c>
      <c r="Q410">
        <v>0</v>
      </c>
      <c r="R410">
        <v>1</v>
      </c>
      <c r="S410">
        <v>24.6755002704164</v>
      </c>
    </row>
    <row r="411" spans="1:19" x14ac:dyDescent="0.25">
      <c r="A411">
        <v>22</v>
      </c>
      <c r="B411">
        <v>158</v>
      </c>
      <c r="C411">
        <v>81</v>
      </c>
      <c r="D411" t="s">
        <v>22</v>
      </c>
      <c r="E411">
        <v>7.8961089544397201</v>
      </c>
      <c r="F411">
        <v>10</v>
      </c>
      <c r="G411">
        <v>2</v>
      </c>
      <c r="H411">
        <v>69.847395201111595</v>
      </c>
      <c r="I411">
        <v>77.418837886142697</v>
      </c>
      <c r="J411">
        <v>306.73085101216299</v>
      </c>
      <c r="K411">
        <v>88.645153693710398</v>
      </c>
      <c r="L411">
        <v>5.71317620307076</v>
      </c>
      <c r="M411">
        <v>75.470647642454395</v>
      </c>
      <c r="N411">
        <v>7.6823497240548999</v>
      </c>
      <c r="O411">
        <v>65.518436621080198</v>
      </c>
      <c r="P411">
        <v>62.6641136192031</v>
      </c>
      <c r="Q411">
        <v>1</v>
      </c>
      <c r="R411">
        <v>1</v>
      </c>
      <c r="S411">
        <v>32.446723281525301</v>
      </c>
    </row>
    <row r="412" spans="1:19" x14ac:dyDescent="0.25">
      <c r="A412">
        <v>24</v>
      </c>
      <c r="B412">
        <v>179</v>
      </c>
      <c r="C412">
        <v>78</v>
      </c>
      <c r="D412" t="s">
        <v>19</v>
      </c>
      <c r="E412">
        <v>10.5026356159537</v>
      </c>
      <c r="F412">
        <v>9</v>
      </c>
      <c r="G412">
        <v>0</v>
      </c>
      <c r="H412">
        <v>73.947296896433997</v>
      </c>
      <c r="I412">
        <v>79.999710973870293</v>
      </c>
      <c r="J412">
        <v>226.37677566066799</v>
      </c>
      <c r="K412">
        <v>87.999697431719895</v>
      </c>
      <c r="L412">
        <v>5.7742133616108298</v>
      </c>
      <c r="M412">
        <v>67.925695196581003</v>
      </c>
      <c r="N412">
        <v>7.5380959704459398</v>
      </c>
      <c r="O412">
        <v>27.5308653755881</v>
      </c>
      <c r="P412">
        <v>79.027759083402003</v>
      </c>
      <c r="Q412">
        <v>0</v>
      </c>
      <c r="R412">
        <v>0</v>
      </c>
      <c r="S412">
        <v>24.343809494085701</v>
      </c>
    </row>
    <row r="413" spans="1:19" x14ac:dyDescent="0.25">
      <c r="A413">
        <v>20</v>
      </c>
      <c r="B413">
        <v>188</v>
      </c>
      <c r="C413">
        <v>80</v>
      </c>
      <c r="D413" t="s">
        <v>21</v>
      </c>
      <c r="E413">
        <v>7.5407441906009396</v>
      </c>
      <c r="F413">
        <v>5</v>
      </c>
      <c r="G413">
        <v>1</v>
      </c>
      <c r="H413">
        <v>81.284382979384702</v>
      </c>
      <c r="I413">
        <v>77.059999931824294</v>
      </c>
      <c r="J413">
        <v>231.35811650777401</v>
      </c>
      <c r="K413">
        <v>79.334199484209705</v>
      </c>
      <c r="L413">
        <v>6.3960184592435603</v>
      </c>
      <c r="M413">
        <v>76.673254124364902</v>
      </c>
      <c r="N413">
        <v>8.3526655252160502</v>
      </c>
      <c r="O413">
        <v>43.793608402805603</v>
      </c>
      <c r="P413">
        <v>72.974336802043297</v>
      </c>
      <c r="Q413">
        <v>1</v>
      </c>
      <c r="R413">
        <v>0</v>
      </c>
      <c r="S413">
        <v>22.634676324128499</v>
      </c>
    </row>
    <row r="414" spans="1:19" x14ac:dyDescent="0.25">
      <c r="A414">
        <v>21</v>
      </c>
      <c r="B414">
        <v>191</v>
      </c>
      <c r="C414">
        <v>78</v>
      </c>
      <c r="D414" t="s">
        <v>20</v>
      </c>
      <c r="E414">
        <v>9.4402988680587701</v>
      </c>
      <c r="F414">
        <v>22</v>
      </c>
      <c r="G414">
        <v>3</v>
      </c>
      <c r="H414">
        <v>67.01919159821</v>
      </c>
      <c r="I414">
        <v>75.624502830941495</v>
      </c>
      <c r="J414">
        <v>251.347975513958</v>
      </c>
      <c r="K414">
        <v>84.027552789518197</v>
      </c>
      <c r="L414">
        <v>5.7075059310176401</v>
      </c>
      <c r="M414">
        <v>79.385565372884002</v>
      </c>
      <c r="N414">
        <v>6.4707806113901798</v>
      </c>
      <c r="O414">
        <v>73.856673174619203</v>
      </c>
      <c r="P414">
        <v>66.692747959492706</v>
      </c>
      <c r="Q414">
        <v>1</v>
      </c>
      <c r="R414">
        <v>1</v>
      </c>
      <c r="S414">
        <v>21.3809928455908</v>
      </c>
    </row>
    <row r="415" spans="1:19" x14ac:dyDescent="0.25">
      <c r="A415">
        <v>24</v>
      </c>
      <c r="B415">
        <v>170</v>
      </c>
      <c r="C415">
        <v>83</v>
      </c>
      <c r="D415" t="s">
        <v>20</v>
      </c>
      <c r="E415">
        <v>6.8650819281311204</v>
      </c>
      <c r="F415">
        <v>38</v>
      </c>
      <c r="G415">
        <v>0</v>
      </c>
      <c r="H415">
        <v>84.366777116202996</v>
      </c>
      <c r="I415">
        <v>81.615350626740295</v>
      </c>
      <c r="J415">
        <v>236.57387049453601</v>
      </c>
      <c r="K415">
        <v>93.309474717138499</v>
      </c>
      <c r="L415">
        <v>5.9836284921141702</v>
      </c>
      <c r="M415">
        <v>81.815058007612294</v>
      </c>
      <c r="N415">
        <v>7.0295909600656898</v>
      </c>
      <c r="O415">
        <v>61.949191353710198</v>
      </c>
      <c r="P415">
        <v>78.607608842657697</v>
      </c>
      <c r="Q415">
        <v>1</v>
      </c>
      <c r="R415">
        <v>0</v>
      </c>
      <c r="S415">
        <v>28.719723183391</v>
      </c>
    </row>
    <row r="416" spans="1:19" x14ac:dyDescent="0.25">
      <c r="A416">
        <v>18</v>
      </c>
      <c r="B416">
        <v>181</v>
      </c>
      <c r="C416">
        <v>74</v>
      </c>
      <c r="D416" t="s">
        <v>22</v>
      </c>
      <c r="E416">
        <v>12.6078393396055</v>
      </c>
      <c r="F416">
        <v>13</v>
      </c>
      <c r="G416">
        <v>0</v>
      </c>
      <c r="H416">
        <v>68.759446406188403</v>
      </c>
      <c r="I416">
        <v>91.974109811575303</v>
      </c>
      <c r="J416">
        <v>208.82492128130701</v>
      </c>
      <c r="K416">
        <v>81.630041839150394</v>
      </c>
      <c r="L416">
        <v>5.9768184464363303</v>
      </c>
      <c r="M416">
        <v>82.327790173815202</v>
      </c>
      <c r="N416">
        <v>7.93639949067577</v>
      </c>
      <c r="O416">
        <v>63.332634124018902</v>
      </c>
      <c r="P416">
        <v>82.444212287824499</v>
      </c>
      <c r="Q416">
        <v>1</v>
      </c>
      <c r="R416">
        <v>0</v>
      </c>
      <c r="S416">
        <v>22.587833094227801</v>
      </c>
    </row>
    <row r="417" spans="1:19" x14ac:dyDescent="0.25">
      <c r="A417">
        <v>22</v>
      </c>
      <c r="B417">
        <v>180</v>
      </c>
      <c r="C417">
        <v>86</v>
      </c>
      <c r="D417" t="s">
        <v>20</v>
      </c>
      <c r="E417">
        <v>11.6063243799634</v>
      </c>
      <c r="F417">
        <v>22</v>
      </c>
      <c r="G417">
        <v>1</v>
      </c>
      <c r="H417">
        <v>73.901659197652506</v>
      </c>
      <c r="I417">
        <v>86.450279233228798</v>
      </c>
      <c r="J417">
        <v>228.567506598601</v>
      </c>
      <c r="K417">
        <v>98.3322918517311</v>
      </c>
      <c r="L417">
        <v>6.0697665965191003</v>
      </c>
      <c r="M417">
        <v>63.780041834047601</v>
      </c>
      <c r="N417">
        <v>6.9489369572673496</v>
      </c>
      <c r="O417">
        <v>49.562686776924203</v>
      </c>
      <c r="P417">
        <v>72.799349893721896</v>
      </c>
      <c r="Q417">
        <v>1</v>
      </c>
      <c r="R417">
        <v>0</v>
      </c>
      <c r="S417">
        <v>26.543209876543202</v>
      </c>
    </row>
    <row r="418" spans="1:19" x14ac:dyDescent="0.25">
      <c r="A418">
        <v>23</v>
      </c>
      <c r="B418">
        <v>181</v>
      </c>
      <c r="C418">
        <v>75</v>
      </c>
      <c r="D418" t="s">
        <v>20</v>
      </c>
      <c r="E418">
        <v>10.9751702237541</v>
      </c>
      <c r="F418">
        <v>31</v>
      </c>
      <c r="G418">
        <v>2</v>
      </c>
      <c r="H418">
        <v>77.359049683178995</v>
      </c>
      <c r="I418">
        <v>73.951722330723499</v>
      </c>
      <c r="J418">
        <v>229.11348046994601</v>
      </c>
      <c r="K418">
        <v>91.149745414940298</v>
      </c>
      <c r="L418">
        <v>6.2851240678574696</v>
      </c>
      <c r="M418">
        <v>88.223213543577401</v>
      </c>
      <c r="N418">
        <v>7.8815678801223799</v>
      </c>
      <c r="O418">
        <v>58.903197268407197</v>
      </c>
      <c r="P418">
        <v>87.325858226658298</v>
      </c>
      <c r="Q418">
        <v>1</v>
      </c>
      <c r="R418">
        <v>0</v>
      </c>
      <c r="S418">
        <v>22.893074081987699</v>
      </c>
    </row>
    <row r="419" spans="1:19" x14ac:dyDescent="0.25">
      <c r="A419">
        <v>24</v>
      </c>
      <c r="B419">
        <v>168</v>
      </c>
      <c r="C419">
        <v>82</v>
      </c>
      <c r="D419" t="s">
        <v>20</v>
      </c>
      <c r="E419">
        <v>7.9844434004718101</v>
      </c>
      <c r="F419">
        <v>38</v>
      </c>
      <c r="G419">
        <v>2</v>
      </c>
      <c r="H419">
        <v>76.707911921463094</v>
      </c>
      <c r="I419">
        <v>78.873169185538401</v>
      </c>
      <c r="J419">
        <v>185.36270743557199</v>
      </c>
      <c r="K419">
        <v>72.998318965277505</v>
      </c>
      <c r="L419">
        <v>5.4866512728427503</v>
      </c>
      <c r="M419">
        <v>76.268704319859197</v>
      </c>
      <c r="N419">
        <v>7.17093247256296</v>
      </c>
      <c r="O419">
        <v>61.624175865515198</v>
      </c>
      <c r="P419">
        <v>71.766124346438204</v>
      </c>
      <c r="Q419">
        <v>0</v>
      </c>
      <c r="R419">
        <v>1</v>
      </c>
      <c r="S419">
        <v>29.053287981859398</v>
      </c>
    </row>
    <row r="420" spans="1:19" x14ac:dyDescent="0.25">
      <c r="A420">
        <v>20</v>
      </c>
      <c r="B420">
        <v>181</v>
      </c>
      <c r="C420">
        <v>65</v>
      </c>
      <c r="D420" t="s">
        <v>19</v>
      </c>
      <c r="E420">
        <v>12.3860877491307</v>
      </c>
      <c r="F420">
        <v>37</v>
      </c>
      <c r="G420">
        <v>2</v>
      </c>
      <c r="H420">
        <v>71.381035658270605</v>
      </c>
      <c r="I420">
        <v>71.192450985080399</v>
      </c>
      <c r="J420">
        <v>274.14734952014697</v>
      </c>
      <c r="K420">
        <v>77.832802643629506</v>
      </c>
      <c r="L420">
        <v>5.9422444279431401</v>
      </c>
      <c r="M420">
        <v>81.712403109150799</v>
      </c>
      <c r="N420">
        <v>6.4785314405670604</v>
      </c>
      <c r="O420">
        <v>65.173179458666993</v>
      </c>
      <c r="P420">
        <v>65.122154086472193</v>
      </c>
      <c r="Q420">
        <v>0</v>
      </c>
      <c r="R420">
        <v>1</v>
      </c>
      <c r="S420">
        <v>19.840664204389299</v>
      </c>
    </row>
    <row r="421" spans="1:19" x14ac:dyDescent="0.25">
      <c r="A421">
        <v>22</v>
      </c>
      <c r="B421">
        <v>174</v>
      </c>
      <c r="C421">
        <v>69</v>
      </c>
      <c r="D421" t="s">
        <v>20</v>
      </c>
      <c r="E421">
        <v>8.9949230174960508</v>
      </c>
      <c r="F421">
        <v>20</v>
      </c>
      <c r="G421">
        <v>1</v>
      </c>
      <c r="H421">
        <v>85.393646376701298</v>
      </c>
      <c r="I421">
        <v>80.598536656569607</v>
      </c>
      <c r="J421">
        <v>272.59539867685697</v>
      </c>
      <c r="K421">
        <v>90.936501890842095</v>
      </c>
      <c r="L421">
        <v>5.76866799355198</v>
      </c>
      <c r="M421">
        <v>70.311427129778906</v>
      </c>
      <c r="N421">
        <v>6.94120262674587</v>
      </c>
      <c r="O421">
        <v>44.965777591595803</v>
      </c>
      <c r="P421">
        <v>75.898887962239399</v>
      </c>
      <c r="Q421">
        <v>1</v>
      </c>
      <c r="R421">
        <v>0</v>
      </c>
      <c r="S421">
        <v>22.7903289734443</v>
      </c>
    </row>
    <row r="422" spans="1:19" x14ac:dyDescent="0.25">
      <c r="A422">
        <v>23</v>
      </c>
      <c r="B422">
        <v>190</v>
      </c>
      <c r="C422">
        <v>65</v>
      </c>
      <c r="D422" t="s">
        <v>19</v>
      </c>
      <c r="E422">
        <v>9.3324032357393794</v>
      </c>
      <c r="F422">
        <v>5</v>
      </c>
      <c r="G422">
        <v>0</v>
      </c>
      <c r="H422">
        <v>65.196291163176397</v>
      </c>
      <c r="I422">
        <v>81.399220555850604</v>
      </c>
      <c r="J422">
        <v>239.21785394777399</v>
      </c>
      <c r="K422">
        <v>87.701646342919503</v>
      </c>
      <c r="L422">
        <v>5.9027398867523502</v>
      </c>
      <c r="M422">
        <v>88.574795681862994</v>
      </c>
      <c r="N422">
        <v>7.6748737268588396</v>
      </c>
      <c r="O422">
        <v>58.301521642169</v>
      </c>
      <c r="P422">
        <v>85.133083297957896</v>
      </c>
      <c r="Q422">
        <v>1</v>
      </c>
      <c r="R422">
        <v>0</v>
      </c>
      <c r="S422">
        <v>18.005540166204899</v>
      </c>
    </row>
    <row r="423" spans="1:19" x14ac:dyDescent="0.25">
      <c r="A423">
        <v>19</v>
      </c>
      <c r="B423">
        <v>176</v>
      </c>
      <c r="C423">
        <v>95</v>
      </c>
      <c r="D423" t="s">
        <v>20</v>
      </c>
      <c r="E423">
        <v>16.165071683951801</v>
      </c>
      <c r="F423">
        <v>20</v>
      </c>
      <c r="G423">
        <v>2</v>
      </c>
      <c r="H423">
        <v>82.569779899276199</v>
      </c>
      <c r="I423">
        <v>79.604989586584196</v>
      </c>
      <c r="J423">
        <v>249.35391889025601</v>
      </c>
      <c r="K423">
        <v>71.305330064315896</v>
      </c>
      <c r="L423">
        <v>6.6212914894735304</v>
      </c>
      <c r="M423">
        <v>85.915592252812999</v>
      </c>
      <c r="N423">
        <v>7.9879786935160304</v>
      </c>
      <c r="O423">
        <v>54.379838728311</v>
      </c>
      <c r="P423">
        <v>81.987065717637194</v>
      </c>
      <c r="Q423">
        <v>1</v>
      </c>
      <c r="R423">
        <v>0</v>
      </c>
      <c r="S423">
        <v>30.668904958677601</v>
      </c>
    </row>
    <row r="424" spans="1:19" x14ac:dyDescent="0.25">
      <c r="A424">
        <v>21</v>
      </c>
      <c r="B424">
        <v>181</v>
      </c>
      <c r="C424">
        <v>68</v>
      </c>
      <c r="D424" t="s">
        <v>19</v>
      </c>
      <c r="E424">
        <v>7.1659448056620203</v>
      </c>
      <c r="F424">
        <v>30</v>
      </c>
      <c r="G424">
        <v>0</v>
      </c>
      <c r="H424">
        <v>64.239848013747604</v>
      </c>
      <c r="I424">
        <v>73.124385444230498</v>
      </c>
      <c r="J424">
        <v>251.873227630586</v>
      </c>
      <c r="K424">
        <v>86.561595814315496</v>
      </c>
      <c r="L424">
        <v>5.5530208554420497</v>
      </c>
      <c r="M424">
        <v>84.922484449297798</v>
      </c>
      <c r="N424">
        <v>7.0946773332362003</v>
      </c>
      <c r="O424">
        <v>66.474693119832594</v>
      </c>
      <c r="P424">
        <v>72.523997724545694</v>
      </c>
      <c r="Q424">
        <v>1</v>
      </c>
      <c r="R424">
        <v>1</v>
      </c>
      <c r="S424">
        <v>20.756387167668802</v>
      </c>
    </row>
    <row r="425" spans="1:19" x14ac:dyDescent="0.25">
      <c r="A425">
        <v>23</v>
      </c>
      <c r="B425">
        <v>182</v>
      </c>
      <c r="C425">
        <v>85</v>
      </c>
      <c r="D425" t="s">
        <v>21</v>
      </c>
      <c r="E425">
        <v>14.434976467608699</v>
      </c>
      <c r="F425">
        <v>37</v>
      </c>
      <c r="G425">
        <v>3</v>
      </c>
      <c r="H425">
        <v>70.888452190301194</v>
      </c>
      <c r="I425">
        <v>85.273316937772293</v>
      </c>
      <c r="J425">
        <v>245.17722153720399</v>
      </c>
      <c r="K425">
        <v>80.115597425564999</v>
      </c>
      <c r="L425">
        <v>5.9810127005613296</v>
      </c>
      <c r="M425">
        <v>88.271406540338901</v>
      </c>
      <c r="N425">
        <v>6.2871054112705202</v>
      </c>
      <c r="O425">
        <v>69.968829400789204</v>
      </c>
      <c r="P425">
        <v>79.511612895081598</v>
      </c>
      <c r="Q425">
        <v>0</v>
      </c>
      <c r="R425">
        <v>1</v>
      </c>
      <c r="S425">
        <v>25.6611520347784</v>
      </c>
    </row>
    <row r="426" spans="1:19" x14ac:dyDescent="0.25">
      <c r="A426">
        <v>18</v>
      </c>
      <c r="B426">
        <v>174</v>
      </c>
      <c r="C426">
        <v>65</v>
      </c>
      <c r="D426" t="s">
        <v>19</v>
      </c>
      <c r="E426">
        <v>9.9480034016241401</v>
      </c>
      <c r="F426">
        <v>23</v>
      </c>
      <c r="G426">
        <v>1</v>
      </c>
      <c r="H426">
        <v>87.364302519954904</v>
      </c>
      <c r="I426">
        <v>72.480132657297005</v>
      </c>
      <c r="J426">
        <v>260.00724435350901</v>
      </c>
      <c r="K426">
        <v>86.158376297416496</v>
      </c>
      <c r="L426">
        <v>5.7994720040616397</v>
      </c>
      <c r="M426">
        <v>78.352599619399399</v>
      </c>
      <c r="N426">
        <v>7.9884631454964996</v>
      </c>
      <c r="O426">
        <v>39.200732397040703</v>
      </c>
      <c r="P426">
        <v>66.731950982910206</v>
      </c>
      <c r="Q426">
        <v>1</v>
      </c>
      <c r="R426">
        <v>0</v>
      </c>
      <c r="S426">
        <v>21.469150482230098</v>
      </c>
    </row>
    <row r="427" spans="1:19" x14ac:dyDescent="0.25">
      <c r="A427">
        <v>18</v>
      </c>
      <c r="B427">
        <v>172</v>
      </c>
      <c r="C427">
        <v>71</v>
      </c>
      <c r="D427" t="s">
        <v>21</v>
      </c>
      <c r="E427">
        <v>12.018524939878001</v>
      </c>
      <c r="F427">
        <v>24</v>
      </c>
      <c r="G427">
        <v>0</v>
      </c>
      <c r="H427">
        <v>84.057876655455104</v>
      </c>
      <c r="I427">
        <v>77.8192512775381</v>
      </c>
      <c r="J427">
        <v>264.657430851291</v>
      </c>
      <c r="K427">
        <v>89.757521004684506</v>
      </c>
      <c r="L427">
        <v>6.3354858771758602</v>
      </c>
      <c r="M427">
        <v>91.2232917295009</v>
      </c>
      <c r="N427">
        <v>8.2589528721987993</v>
      </c>
      <c r="O427">
        <v>67.726261021944893</v>
      </c>
      <c r="P427">
        <v>73.676208362964601</v>
      </c>
      <c r="Q427">
        <v>1</v>
      </c>
      <c r="R427">
        <v>0</v>
      </c>
      <c r="S427">
        <v>23.999459167117301</v>
      </c>
    </row>
    <row r="428" spans="1:19" x14ac:dyDescent="0.25">
      <c r="A428">
        <v>24</v>
      </c>
      <c r="B428">
        <v>179</v>
      </c>
      <c r="C428">
        <v>72</v>
      </c>
      <c r="D428" t="s">
        <v>21</v>
      </c>
      <c r="E428">
        <v>6.8467621812738404</v>
      </c>
      <c r="F428">
        <v>17</v>
      </c>
      <c r="G428">
        <v>3</v>
      </c>
      <c r="H428">
        <v>72.224312022421401</v>
      </c>
      <c r="I428">
        <v>72.788449426497095</v>
      </c>
      <c r="J428">
        <v>281.18937591960201</v>
      </c>
      <c r="K428">
        <v>76.4378570273593</v>
      </c>
      <c r="L428">
        <v>5.4099302055661296</v>
      </c>
      <c r="M428">
        <v>72.424933875261402</v>
      </c>
      <c r="N428">
        <v>5.8241923154615796</v>
      </c>
      <c r="O428">
        <v>49.1130282842363</v>
      </c>
      <c r="P428">
        <v>58.9495884222911</v>
      </c>
      <c r="Q428">
        <v>1</v>
      </c>
      <c r="R428">
        <v>1</v>
      </c>
      <c r="S428">
        <v>22.471208763771401</v>
      </c>
    </row>
    <row r="429" spans="1:19" x14ac:dyDescent="0.25">
      <c r="A429">
        <v>20</v>
      </c>
      <c r="B429">
        <v>173</v>
      </c>
      <c r="C429">
        <v>51</v>
      </c>
      <c r="D429" t="s">
        <v>22</v>
      </c>
      <c r="E429">
        <v>8.2843231514034894</v>
      </c>
      <c r="F429">
        <v>24</v>
      </c>
      <c r="G429">
        <v>1</v>
      </c>
      <c r="H429">
        <v>79.748629584558898</v>
      </c>
      <c r="I429">
        <v>85.573308870816405</v>
      </c>
      <c r="J429">
        <v>233.49691943960801</v>
      </c>
      <c r="K429">
        <v>87.099046569357796</v>
      </c>
      <c r="L429">
        <v>6.0648968851451004</v>
      </c>
      <c r="M429">
        <v>73.688492544292103</v>
      </c>
      <c r="N429">
        <v>7.8899848334055003</v>
      </c>
      <c r="O429">
        <v>55.660363141508398</v>
      </c>
      <c r="P429">
        <v>91.162955026166898</v>
      </c>
      <c r="Q429">
        <v>1</v>
      </c>
      <c r="R429">
        <v>0</v>
      </c>
      <c r="S429">
        <v>17.040328778108101</v>
      </c>
    </row>
    <row r="430" spans="1:19" x14ac:dyDescent="0.25">
      <c r="A430">
        <v>20</v>
      </c>
      <c r="B430">
        <v>178</v>
      </c>
      <c r="C430">
        <v>75</v>
      </c>
      <c r="D430" t="s">
        <v>19</v>
      </c>
      <c r="E430">
        <v>12.0929399656212</v>
      </c>
      <c r="F430">
        <v>21</v>
      </c>
      <c r="G430">
        <v>0</v>
      </c>
      <c r="H430">
        <v>72.739842377496004</v>
      </c>
      <c r="I430">
        <v>71.895215193298895</v>
      </c>
      <c r="J430">
        <v>266.48105582872103</v>
      </c>
      <c r="K430">
        <v>89.6359387423486</v>
      </c>
      <c r="L430">
        <v>5.5578532812691801</v>
      </c>
      <c r="M430">
        <v>93.095407687952104</v>
      </c>
      <c r="N430">
        <v>7.5690334164761204</v>
      </c>
      <c r="O430">
        <v>47.993509901881403</v>
      </c>
      <c r="P430">
        <v>79.436009713475798</v>
      </c>
      <c r="Q430">
        <v>0</v>
      </c>
      <c r="R430">
        <v>1</v>
      </c>
      <c r="S430">
        <v>23.671253629592201</v>
      </c>
    </row>
    <row r="431" spans="1:19" x14ac:dyDescent="0.25">
      <c r="A431">
        <v>24</v>
      </c>
      <c r="B431">
        <v>185</v>
      </c>
      <c r="C431">
        <v>65</v>
      </c>
      <c r="D431" t="s">
        <v>19</v>
      </c>
      <c r="E431">
        <v>13.3324930904065</v>
      </c>
      <c r="F431">
        <v>30</v>
      </c>
      <c r="G431">
        <v>1</v>
      </c>
      <c r="H431">
        <v>74.112285894575706</v>
      </c>
      <c r="I431">
        <v>82.195303328724194</v>
      </c>
      <c r="J431">
        <v>204.969468512774</v>
      </c>
      <c r="K431">
        <v>88.858335120881193</v>
      </c>
      <c r="L431">
        <v>5.8692199809975598</v>
      </c>
      <c r="M431">
        <v>83.404682403832197</v>
      </c>
      <c r="N431">
        <v>7.4630498241692003</v>
      </c>
      <c r="O431">
        <v>40.5644585834564</v>
      </c>
      <c r="P431">
        <v>69.039979405382496</v>
      </c>
      <c r="Q431">
        <v>1</v>
      </c>
      <c r="R431">
        <v>0</v>
      </c>
      <c r="S431">
        <v>18.991964937910801</v>
      </c>
    </row>
    <row r="432" spans="1:19" x14ac:dyDescent="0.25">
      <c r="A432">
        <v>22</v>
      </c>
      <c r="B432">
        <v>169</v>
      </c>
      <c r="C432">
        <v>76</v>
      </c>
      <c r="D432" t="s">
        <v>21</v>
      </c>
      <c r="E432">
        <v>5</v>
      </c>
      <c r="F432">
        <v>39</v>
      </c>
      <c r="G432">
        <v>0</v>
      </c>
      <c r="H432">
        <v>87.022740683653595</v>
      </c>
      <c r="I432">
        <v>88.111827668613302</v>
      </c>
      <c r="J432">
        <v>214.95254174960601</v>
      </c>
      <c r="K432">
        <v>86.359981480403704</v>
      </c>
      <c r="L432">
        <v>6.2993815782572797</v>
      </c>
      <c r="M432">
        <v>80.058464763690196</v>
      </c>
      <c r="N432">
        <v>8.5564486082063098</v>
      </c>
      <c r="O432">
        <v>43.494904958373198</v>
      </c>
      <c r="P432">
        <v>61.4728424779939</v>
      </c>
      <c r="Q432">
        <v>0</v>
      </c>
      <c r="R432">
        <v>0</v>
      </c>
      <c r="S432">
        <v>26.609712545078899</v>
      </c>
    </row>
    <row r="433" spans="1:19" x14ac:dyDescent="0.25">
      <c r="A433">
        <v>21</v>
      </c>
      <c r="B433">
        <v>177</v>
      </c>
      <c r="C433">
        <v>82</v>
      </c>
      <c r="D433" t="s">
        <v>20</v>
      </c>
      <c r="E433">
        <v>10.738831187915901</v>
      </c>
      <c r="F433">
        <v>6</v>
      </c>
      <c r="G433">
        <v>0</v>
      </c>
      <c r="H433">
        <v>72.805635345027099</v>
      </c>
      <c r="I433">
        <v>85.160268761549304</v>
      </c>
      <c r="J433">
        <v>247.149162805446</v>
      </c>
      <c r="K433">
        <v>81.098960900966006</v>
      </c>
      <c r="L433">
        <v>5.9050473424100298</v>
      </c>
      <c r="M433">
        <v>62.379755130211201</v>
      </c>
      <c r="N433">
        <v>7.5881287642073501</v>
      </c>
      <c r="O433">
        <v>40.269490493580399</v>
      </c>
      <c r="P433">
        <v>72.867095448667996</v>
      </c>
      <c r="Q433">
        <v>1</v>
      </c>
      <c r="R433">
        <v>0</v>
      </c>
      <c r="S433">
        <v>26.173832551310198</v>
      </c>
    </row>
    <row r="434" spans="1:19" x14ac:dyDescent="0.25">
      <c r="A434">
        <v>19</v>
      </c>
      <c r="B434">
        <v>165</v>
      </c>
      <c r="C434">
        <v>81</v>
      </c>
      <c r="D434" t="s">
        <v>19</v>
      </c>
      <c r="E434">
        <v>10.5367935308543</v>
      </c>
      <c r="F434">
        <v>15</v>
      </c>
      <c r="G434">
        <v>1</v>
      </c>
      <c r="H434">
        <v>81.997895810522905</v>
      </c>
      <c r="I434">
        <v>67.973466690057904</v>
      </c>
      <c r="J434">
        <v>238.790415063311</v>
      </c>
      <c r="K434">
        <v>79.811806404077203</v>
      </c>
      <c r="L434">
        <v>6.0115970512899297</v>
      </c>
      <c r="M434">
        <v>54.022145167827503</v>
      </c>
      <c r="N434">
        <v>6.7597953122707199</v>
      </c>
      <c r="O434">
        <v>40.833089919326497</v>
      </c>
      <c r="P434">
        <v>52.732628147108599</v>
      </c>
      <c r="Q434">
        <v>0</v>
      </c>
      <c r="R434">
        <v>1</v>
      </c>
      <c r="S434">
        <v>29.752066115702402</v>
      </c>
    </row>
    <row r="435" spans="1:19" x14ac:dyDescent="0.25">
      <c r="A435">
        <v>22</v>
      </c>
      <c r="B435">
        <v>180</v>
      </c>
      <c r="C435">
        <v>76</v>
      </c>
      <c r="D435" t="s">
        <v>20</v>
      </c>
      <c r="E435">
        <v>5.6682661356443296</v>
      </c>
      <c r="F435">
        <v>22</v>
      </c>
      <c r="G435">
        <v>5</v>
      </c>
      <c r="H435">
        <v>69.696656257747406</v>
      </c>
      <c r="I435">
        <v>82.339014422290205</v>
      </c>
      <c r="J435">
        <v>204.91481634092401</v>
      </c>
      <c r="K435">
        <v>73.988443749104704</v>
      </c>
      <c r="L435">
        <v>5.8397891233237198</v>
      </c>
      <c r="M435">
        <v>75.690665494349503</v>
      </c>
      <c r="N435">
        <v>6.0531454414051797</v>
      </c>
      <c r="O435">
        <v>67.062430695355104</v>
      </c>
      <c r="P435">
        <v>67.815826948363807</v>
      </c>
      <c r="Q435">
        <v>1</v>
      </c>
      <c r="R435">
        <v>1</v>
      </c>
      <c r="S435">
        <v>23.456790123456699</v>
      </c>
    </row>
    <row r="436" spans="1:19" x14ac:dyDescent="0.25">
      <c r="A436">
        <v>20</v>
      </c>
      <c r="B436">
        <v>184</v>
      </c>
      <c r="C436">
        <v>79</v>
      </c>
      <c r="D436" t="s">
        <v>19</v>
      </c>
      <c r="E436">
        <v>8.9806841102299408</v>
      </c>
      <c r="F436">
        <v>39</v>
      </c>
      <c r="G436">
        <v>1</v>
      </c>
      <c r="H436">
        <v>82.790030624890804</v>
      </c>
      <c r="I436">
        <v>78.478533522800603</v>
      </c>
      <c r="J436">
        <v>248.139730910911</v>
      </c>
      <c r="K436">
        <v>86.927541034627097</v>
      </c>
      <c r="L436">
        <v>6.6117063432600203</v>
      </c>
      <c r="M436">
        <v>82.516534491565807</v>
      </c>
      <c r="N436">
        <v>7.2222524547454698</v>
      </c>
      <c r="O436">
        <v>34.617305744153001</v>
      </c>
      <c r="P436">
        <v>72.003438797205106</v>
      </c>
      <c r="Q436">
        <v>1</v>
      </c>
      <c r="R436">
        <v>0</v>
      </c>
      <c r="S436">
        <v>23.3341209829867</v>
      </c>
    </row>
    <row r="437" spans="1:19" x14ac:dyDescent="0.25">
      <c r="A437">
        <v>20</v>
      </c>
      <c r="B437">
        <v>179</v>
      </c>
      <c r="C437">
        <v>75</v>
      </c>
      <c r="D437" t="s">
        <v>20</v>
      </c>
      <c r="E437">
        <v>11.1645052795973</v>
      </c>
      <c r="F437">
        <v>36</v>
      </c>
      <c r="G437">
        <v>0</v>
      </c>
      <c r="H437">
        <v>75.798458172353193</v>
      </c>
      <c r="I437">
        <v>76.536669545900907</v>
      </c>
      <c r="J437">
        <v>260.43083282877001</v>
      </c>
      <c r="K437">
        <v>71.917011812869603</v>
      </c>
      <c r="L437">
        <v>5.9804347128944304</v>
      </c>
      <c r="M437">
        <v>82.066762913805704</v>
      </c>
      <c r="N437">
        <v>6.60868742744473</v>
      </c>
      <c r="O437">
        <v>84.353308057618406</v>
      </c>
      <c r="P437">
        <v>74.599675977231698</v>
      </c>
      <c r="Q437">
        <v>1</v>
      </c>
      <c r="R437">
        <v>1</v>
      </c>
      <c r="S437">
        <v>23.407509128928499</v>
      </c>
    </row>
    <row r="438" spans="1:19" x14ac:dyDescent="0.25">
      <c r="A438">
        <v>24</v>
      </c>
      <c r="B438">
        <v>174</v>
      </c>
      <c r="C438">
        <v>63</v>
      </c>
      <c r="D438" t="s">
        <v>19</v>
      </c>
      <c r="E438">
        <v>6.5714437733616498</v>
      </c>
      <c r="F438">
        <v>23</v>
      </c>
      <c r="G438">
        <v>2</v>
      </c>
      <c r="H438">
        <v>71.245760738881501</v>
      </c>
      <c r="I438">
        <v>79.236641325205298</v>
      </c>
      <c r="J438">
        <v>234.728160270877</v>
      </c>
      <c r="K438">
        <v>84.309182756442496</v>
      </c>
      <c r="L438">
        <v>5.8258576874245502</v>
      </c>
      <c r="M438">
        <v>68.690774644026206</v>
      </c>
      <c r="N438">
        <v>5.9970719361882496</v>
      </c>
      <c r="O438">
        <v>67.123212185947196</v>
      </c>
      <c r="P438">
        <v>74.807515808648404</v>
      </c>
      <c r="Q438">
        <v>1</v>
      </c>
      <c r="R438">
        <v>1</v>
      </c>
      <c r="S438">
        <v>20.808561236623</v>
      </c>
    </row>
    <row r="439" spans="1:19" x14ac:dyDescent="0.25">
      <c r="A439">
        <v>24</v>
      </c>
      <c r="B439">
        <v>173</v>
      </c>
      <c r="C439">
        <v>61</v>
      </c>
      <c r="D439" t="s">
        <v>20</v>
      </c>
      <c r="E439">
        <v>9.9554446590935992</v>
      </c>
      <c r="F439">
        <v>12</v>
      </c>
      <c r="G439">
        <v>1</v>
      </c>
      <c r="H439">
        <v>74.592012830372894</v>
      </c>
      <c r="I439">
        <v>79.878461194877005</v>
      </c>
      <c r="J439">
        <v>254.77185955681099</v>
      </c>
      <c r="K439">
        <v>87.435974546563898</v>
      </c>
      <c r="L439">
        <v>5.8885870651246899</v>
      </c>
      <c r="M439">
        <v>79.133493588388504</v>
      </c>
      <c r="N439">
        <v>6.0777915625882502</v>
      </c>
      <c r="O439">
        <v>57.967089932255</v>
      </c>
      <c r="P439">
        <v>63.644673366384801</v>
      </c>
      <c r="Q439">
        <v>1</v>
      </c>
      <c r="R439">
        <v>1</v>
      </c>
      <c r="S439">
        <v>20.3815697149921</v>
      </c>
    </row>
    <row r="440" spans="1:19" x14ac:dyDescent="0.25">
      <c r="A440">
        <v>19</v>
      </c>
      <c r="B440">
        <v>180</v>
      </c>
      <c r="C440">
        <v>69</v>
      </c>
      <c r="D440" t="s">
        <v>22</v>
      </c>
      <c r="E440">
        <v>5.4892280222690202</v>
      </c>
      <c r="F440">
        <v>31</v>
      </c>
      <c r="G440">
        <v>3</v>
      </c>
      <c r="H440">
        <v>61.669939975899901</v>
      </c>
      <c r="I440">
        <v>80.407993285066496</v>
      </c>
      <c r="J440">
        <v>245.69703452538599</v>
      </c>
      <c r="K440">
        <v>72.513805968369596</v>
      </c>
      <c r="L440">
        <v>5.2970229344932003</v>
      </c>
      <c r="M440">
        <v>68.554066909364195</v>
      </c>
      <c r="N440">
        <v>5.7166054904278703</v>
      </c>
      <c r="O440">
        <v>51.221563399286602</v>
      </c>
      <c r="P440">
        <v>64.887354289192103</v>
      </c>
      <c r="Q440">
        <v>1</v>
      </c>
      <c r="R440">
        <v>1</v>
      </c>
      <c r="S440">
        <v>21.296296296296202</v>
      </c>
    </row>
    <row r="441" spans="1:19" x14ac:dyDescent="0.25">
      <c r="A441">
        <v>23</v>
      </c>
      <c r="B441">
        <v>168</v>
      </c>
      <c r="C441">
        <v>64</v>
      </c>
      <c r="D441" t="s">
        <v>20</v>
      </c>
      <c r="E441">
        <v>10.5205375194229</v>
      </c>
      <c r="F441">
        <v>38</v>
      </c>
      <c r="G441">
        <v>4</v>
      </c>
      <c r="H441">
        <v>80.234022498841199</v>
      </c>
      <c r="I441">
        <v>84.794523040012393</v>
      </c>
      <c r="J441">
        <v>245.60525512404399</v>
      </c>
      <c r="K441">
        <v>88.806433258384402</v>
      </c>
      <c r="L441">
        <v>5.7406230594857801</v>
      </c>
      <c r="M441">
        <v>83.530731410756403</v>
      </c>
      <c r="N441">
        <v>7.4465593463006297</v>
      </c>
      <c r="O441">
        <v>59.385263899331598</v>
      </c>
      <c r="P441">
        <v>60.932570600262601</v>
      </c>
      <c r="Q441">
        <v>1</v>
      </c>
      <c r="R441">
        <v>1</v>
      </c>
      <c r="S441">
        <v>22.6757369614512</v>
      </c>
    </row>
    <row r="442" spans="1:19" x14ac:dyDescent="0.25">
      <c r="A442">
        <v>22</v>
      </c>
      <c r="B442">
        <v>172</v>
      </c>
      <c r="C442">
        <v>87</v>
      </c>
      <c r="D442" t="s">
        <v>20</v>
      </c>
      <c r="E442">
        <v>8.2327914529521298</v>
      </c>
      <c r="F442">
        <v>7</v>
      </c>
      <c r="G442">
        <v>1</v>
      </c>
      <c r="H442">
        <v>65.934459155409897</v>
      </c>
      <c r="I442">
        <v>85.963130203114801</v>
      </c>
      <c r="J442">
        <v>306.41222564885999</v>
      </c>
      <c r="K442">
        <v>86.132749964780203</v>
      </c>
      <c r="L442">
        <v>5.6053525134984001</v>
      </c>
      <c r="M442">
        <v>69.3713130619808</v>
      </c>
      <c r="N442">
        <v>6.5816589446254099</v>
      </c>
      <c r="O442">
        <v>45.146670760933603</v>
      </c>
      <c r="P442">
        <v>77.2430573086328</v>
      </c>
      <c r="Q442">
        <v>1</v>
      </c>
      <c r="R442">
        <v>1</v>
      </c>
      <c r="S442">
        <v>29.407787993509999</v>
      </c>
    </row>
    <row r="443" spans="1:19" x14ac:dyDescent="0.25">
      <c r="A443">
        <v>21</v>
      </c>
      <c r="B443">
        <v>180</v>
      </c>
      <c r="C443">
        <v>64</v>
      </c>
      <c r="D443" t="s">
        <v>22</v>
      </c>
      <c r="E443">
        <v>9.6796697152324604</v>
      </c>
      <c r="F443">
        <v>13</v>
      </c>
      <c r="G443">
        <v>3</v>
      </c>
      <c r="H443">
        <v>68.191442752575398</v>
      </c>
      <c r="I443">
        <v>83.622496264650906</v>
      </c>
      <c r="J443">
        <v>228.696049916204</v>
      </c>
      <c r="K443">
        <v>75.274973995216101</v>
      </c>
      <c r="L443">
        <v>5.4309370586338899</v>
      </c>
      <c r="M443">
        <v>74.889725618366299</v>
      </c>
      <c r="N443">
        <v>8.0954003140981303</v>
      </c>
      <c r="O443">
        <v>58.059560519070999</v>
      </c>
      <c r="P443">
        <v>72.285015451979504</v>
      </c>
      <c r="Q443">
        <v>0</v>
      </c>
      <c r="R443">
        <v>1</v>
      </c>
      <c r="S443">
        <v>19.753086419753</v>
      </c>
    </row>
    <row r="444" spans="1:19" x14ac:dyDescent="0.25">
      <c r="A444">
        <v>23</v>
      </c>
      <c r="B444">
        <v>184</v>
      </c>
      <c r="C444">
        <v>61</v>
      </c>
      <c r="D444" t="s">
        <v>20</v>
      </c>
      <c r="E444">
        <v>10.2065950623302</v>
      </c>
      <c r="F444">
        <v>9</v>
      </c>
      <c r="G444">
        <v>1</v>
      </c>
      <c r="H444">
        <v>66.285811977017104</v>
      </c>
      <c r="I444">
        <v>77.662368958161807</v>
      </c>
      <c r="J444">
        <v>232.427702460147</v>
      </c>
      <c r="K444">
        <v>71.105338308661103</v>
      </c>
      <c r="L444">
        <v>5.7412147375712301</v>
      </c>
      <c r="M444">
        <v>76.607198855372104</v>
      </c>
      <c r="N444">
        <v>6.2934584760504002</v>
      </c>
      <c r="O444">
        <v>40.873844096242898</v>
      </c>
      <c r="P444">
        <v>70.026056998522293</v>
      </c>
      <c r="Q444">
        <v>1</v>
      </c>
      <c r="R444">
        <v>1</v>
      </c>
      <c r="S444">
        <v>18.017485822306199</v>
      </c>
    </row>
    <row r="445" spans="1:19" x14ac:dyDescent="0.25">
      <c r="A445">
        <v>20</v>
      </c>
      <c r="B445">
        <v>185</v>
      </c>
      <c r="C445">
        <v>60</v>
      </c>
      <c r="D445" t="s">
        <v>21</v>
      </c>
      <c r="E445">
        <v>6.14737943758269</v>
      </c>
      <c r="F445">
        <v>29</v>
      </c>
      <c r="G445">
        <v>2</v>
      </c>
      <c r="H445">
        <v>81.712567831825496</v>
      </c>
      <c r="I445">
        <v>82.130753278409799</v>
      </c>
      <c r="J445">
        <v>235.848828228184</v>
      </c>
      <c r="K445">
        <v>89.478611956625798</v>
      </c>
      <c r="L445">
        <v>6.3474536636189098</v>
      </c>
      <c r="M445">
        <v>81.396535380837193</v>
      </c>
      <c r="N445">
        <v>8.2185237693831201</v>
      </c>
      <c r="O445">
        <v>57.4176536808679</v>
      </c>
      <c r="P445">
        <v>82.835631359126495</v>
      </c>
      <c r="Q445">
        <v>1</v>
      </c>
      <c r="R445">
        <v>0</v>
      </c>
      <c r="S445">
        <v>17.5310445580715</v>
      </c>
    </row>
    <row r="446" spans="1:19" x14ac:dyDescent="0.25">
      <c r="A446">
        <v>24</v>
      </c>
      <c r="B446">
        <v>172</v>
      </c>
      <c r="C446">
        <v>74</v>
      </c>
      <c r="D446" t="s">
        <v>19</v>
      </c>
      <c r="E446">
        <v>15.7556053815929</v>
      </c>
      <c r="F446">
        <v>28</v>
      </c>
      <c r="G446">
        <v>1</v>
      </c>
      <c r="H446">
        <v>86.766437521623104</v>
      </c>
      <c r="I446">
        <v>74.144049201015505</v>
      </c>
      <c r="J446">
        <v>251.13249789144899</v>
      </c>
      <c r="K446">
        <v>92.249702618199393</v>
      </c>
      <c r="L446">
        <v>5.7201356007955999</v>
      </c>
      <c r="M446">
        <v>73.712892637453905</v>
      </c>
      <c r="N446">
        <v>7.4247029586919897</v>
      </c>
      <c r="O446">
        <v>62.920249140541699</v>
      </c>
      <c r="P446">
        <v>58.275646704641197</v>
      </c>
      <c r="Q446">
        <v>1</v>
      </c>
      <c r="R446">
        <v>1</v>
      </c>
      <c r="S446">
        <v>25.0135208220659</v>
      </c>
    </row>
    <row r="447" spans="1:19" x14ac:dyDescent="0.25">
      <c r="A447">
        <v>24</v>
      </c>
      <c r="B447">
        <v>184</v>
      </c>
      <c r="C447">
        <v>95</v>
      </c>
      <c r="D447" t="s">
        <v>21</v>
      </c>
      <c r="E447">
        <v>13.145674113052699</v>
      </c>
      <c r="F447">
        <v>10</v>
      </c>
      <c r="G447">
        <v>1</v>
      </c>
      <c r="H447">
        <v>86.791618685051205</v>
      </c>
      <c r="I447">
        <v>70.176218972561301</v>
      </c>
      <c r="J447">
        <v>238.07398710353101</v>
      </c>
      <c r="K447">
        <v>85.960946114375403</v>
      </c>
      <c r="L447">
        <v>5.2501541857927396</v>
      </c>
      <c r="M447">
        <v>84.252580948146004</v>
      </c>
      <c r="N447">
        <v>6.9179040151511</v>
      </c>
      <c r="O447">
        <v>61.935105053474899</v>
      </c>
      <c r="P447">
        <v>83.557968814892604</v>
      </c>
      <c r="Q447">
        <v>1</v>
      </c>
      <c r="R447">
        <v>1</v>
      </c>
      <c r="S447">
        <v>28.060018903591601</v>
      </c>
    </row>
    <row r="448" spans="1:19" x14ac:dyDescent="0.25">
      <c r="A448">
        <v>23</v>
      </c>
      <c r="B448">
        <v>178</v>
      </c>
      <c r="C448">
        <v>69</v>
      </c>
      <c r="D448" t="s">
        <v>21</v>
      </c>
      <c r="E448">
        <v>13.169171084283301</v>
      </c>
      <c r="F448">
        <v>38</v>
      </c>
      <c r="G448">
        <v>1</v>
      </c>
      <c r="H448">
        <v>77.557290900017705</v>
      </c>
      <c r="I448">
        <v>88.062243252959206</v>
      </c>
      <c r="J448">
        <v>221.64483915606601</v>
      </c>
      <c r="K448">
        <v>88.422619303444407</v>
      </c>
      <c r="L448">
        <v>6.04630133955677</v>
      </c>
      <c r="M448">
        <v>74.889131605619596</v>
      </c>
      <c r="N448">
        <v>8.3690232306144807</v>
      </c>
      <c r="O448">
        <v>40.843825209213698</v>
      </c>
      <c r="P448">
        <v>75.908631801365303</v>
      </c>
      <c r="Q448">
        <v>1</v>
      </c>
      <c r="R448">
        <v>0</v>
      </c>
      <c r="S448">
        <v>21.777553339224799</v>
      </c>
    </row>
    <row r="449" spans="1:19" x14ac:dyDescent="0.25">
      <c r="A449">
        <v>20</v>
      </c>
      <c r="B449">
        <v>177</v>
      </c>
      <c r="C449">
        <v>66</v>
      </c>
      <c r="D449" t="s">
        <v>22</v>
      </c>
      <c r="E449">
        <v>6.3520149706058504</v>
      </c>
      <c r="F449">
        <v>35</v>
      </c>
      <c r="G449">
        <v>2</v>
      </c>
      <c r="H449">
        <v>78.940239582539206</v>
      </c>
      <c r="I449">
        <v>74.305564743789702</v>
      </c>
      <c r="J449">
        <v>239.88319018126501</v>
      </c>
      <c r="K449">
        <v>77.5528365266685</v>
      </c>
      <c r="L449">
        <v>5.5637607483357003</v>
      </c>
      <c r="M449">
        <v>64.703403919426805</v>
      </c>
      <c r="N449">
        <v>6.7915537623103202</v>
      </c>
      <c r="O449">
        <v>54.513765020850599</v>
      </c>
      <c r="P449">
        <v>56.696268232724002</v>
      </c>
      <c r="Q449">
        <v>0</v>
      </c>
      <c r="R449">
        <v>1</v>
      </c>
      <c r="S449">
        <v>21.066743273005802</v>
      </c>
    </row>
    <row r="450" spans="1:19" x14ac:dyDescent="0.25">
      <c r="A450">
        <v>19</v>
      </c>
      <c r="B450">
        <v>177</v>
      </c>
      <c r="C450">
        <v>68</v>
      </c>
      <c r="D450" t="s">
        <v>19</v>
      </c>
      <c r="E450">
        <v>13.955668872476901</v>
      </c>
      <c r="F450">
        <v>6</v>
      </c>
      <c r="G450">
        <v>0</v>
      </c>
      <c r="H450">
        <v>74.786036560057894</v>
      </c>
      <c r="I450">
        <v>82.602772607840095</v>
      </c>
      <c r="J450">
        <v>258.29683032468802</v>
      </c>
      <c r="K450">
        <v>91.785184782987798</v>
      </c>
      <c r="L450">
        <v>5.9800366343320697</v>
      </c>
      <c r="M450">
        <v>83.255284184479606</v>
      </c>
      <c r="N450">
        <v>8.4554240432128402</v>
      </c>
      <c r="O450">
        <v>43.0998661536577</v>
      </c>
      <c r="P450">
        <v>69.519002807950002</v>
      </c>
      <c r="Q450">
        <v>1</v>
      </c>
      <c r="R450">
        <v>0</v>
      </c>
      <c r="S450">
        <v>21.7051294327938</v>
      </c>
    </row>
    <row r="451" spans="1:19" x14ac:dyDescent="0.25">
      <c r="A451">
        <v>24</v>
      </c>
      <c r="B451">
        <v>177</v>
      </c>
      <c r="C451">
        <v>95</v>
      </c>
      <c r="D451" t="s">
        <v>22</v>
      </c>
      <c r="E451">
        <v>8.9325990237087094</v>
      </c>
      <c r="F451">
        <v>21</v>
      </c>
      <c r="G451">
        <v>0</v>
      </c>
      <c r="H451">
        <v>77.168326376023202</v>
      </c>
      <c r="I451">
        <v>79.985570555233906</v>
      </c>
      <c r="J451">
        <v>253.21553041994699</v>
      </c>
      <c r="K451">
        <v>84.390517029603899</v>
      </c>
      <c r="L451">
        <v>5.9286109511795502</v>
      </c>
      <c r="M451">
        <v>75.854806685662496</v>
      </c>
      <c r="N451">
        <v>7.73194231995347</v>
      </c>
      <c r="O451">
        <v>53.720338940794697</v>
      </c>
      <c r="P451">
        <v>86.133623610132602</v>
      </c>
      <c r="Q451">
        <v>1</v>
      </c>
      <c r="R451">
        <v>0</v>
      </c>
      <c r="S451">
        <v>30.323342589932601</v>
      </c>
    </row>
    <row r="452" spans="1:19" x14ac:dyDescent="0.25">
      <c r="A452">
        <v>24</v>
      </c>
      <c r="B452">
        <v>179</v>
      </c>
      <c r="C452">
        <v>84</v>
      </c>
      <c r="D452" t="s">
        <v>19</v>
      </c>
      <c r="E452">
        <v>11.081907548541</v>
      </c>
      <c r="F452">
        <v>34</v>
      </c>
      <c r="G452">
        <v>2</v>
      </c>
      <c r="H452">
        <v>71.091961082447796</v>
      </c>
      <c r="I452">
        <v>76.976981945139698</v>
      </c>
      <c r="J452">
        <v>255.28713775140801</v>
      </c>
      <c r="K452">
        <v>84.237683848252701</v>
      </c>
      <c r="L452">
        <v>5.9755139381469196</v>
      </c>
      <c r="M452">
        <v>91.642365145217198</v>
      </c>
      <c r="N452">
        <v>6.3451182239845902</v>
      </c>
      <c r="O452">
        <v>58.866177270385698</v>
      </c>
      <c r="P452">
        <v>77.789192333123793</v>
      </c>
      <c r="Q452">
        <v>0</v>
      </c>
      <c r="R452">
        <v>1</v>
      </c>
      <c r="S452">
        <v>26.216410224399901</v>
      </c>
    </row>
    <row r="453" spans="1:19" x14ac:dyDescent="0.25">
      <c r="A453">
        <v>20</v>
      </c>
      <c r="B453">
        <v>176</v>
      </c>
      <c r="C453">
        <v>71</v>
      </c>
      <c r="D453" t="s">
        <v>19</v>
      </c>
      <c r="E453">
        <v>5</v>
      </c>
      <c r="F453">
        <v>24</v>
      </c>
      <c r="G453">
        <v>3</v>
      </c>
      <c r="H453">
        <v>78.8013966903371</v>
      </c>
      <c r="I453">
        <v>72.483470217264895</v>
      </c>
      <c r="J453">
        <v>228.01282193596001</v>
      </c>
      <c r="K453">
        <v>78.070268565136502</v>
      </c>
      <c r="L453">
        <v>6.0610823738399997</v>
      </c>
      <c r="M453">
        <v>91.861987269732097</v>
      </c>
      <c r="N453">
        <v>7.44337863099428</v>
      </c>
      <c r="O453">
        <v>45.4768487551218</v>
      </c>
      <c r="P453">
        <v>63.815621399155603</v>
      </c>
      <c r="Q453">
        <v>0</v>
      </c>
      <c r="R453">
        <v>1</v>
      </c>
      <c r="S453">
        <v>22.920971074380098</v>
      </c>
    </row>
    <row r="454" spans="1:19" x14ac:dyDescent="0.25">
      <c r="A454">
        <v>21</v>
      </c>
      <c r="B454">
        <v>191</v>
      </c>
      <c r="C454">
        <v>78</v>
      </c>
      <c r="D454" t="s">
        <v>20</v>
      </c>
      <c r="E454">
        <v>7.3247416985214002</v>
      </c>
      <c r="F454">
        <v>27</v>
      </c>
      <c r="G454">
        <v>2</v>
      </c>
      <c r="H454">
        <v>68.990944609002298</v>
      </c>
      <c r="I454">
        <v>73.061742922921795</v>
      </c>
      <c r="J454">
        <v>246.83442029843599</v>
      </c>
      <c r="K454">
        <v>86.464046222133703</v>
      </c>
      <c r="L454">
        <v>5.6682800644814204</v>
      </c>
      <c r="M454">
        <v>63.471222442949099</v>
      </c>
      <c r="N454">
        <v>6.6591365347478497</v>
      </c>
      <c r="O454">
        <v>59.204366273963998</v>
      </c>
      <c r="P454">
        <v>80.096717014359399</v>
      </c>
      <c r="Q454">
        <v>0</v>
      </c>
      <c r="R454">
        <v>1</v>
      </c>
      <c r="S454">
        <v>21.3809928455908</v>
      </c>
    </row>
    <row r="455" spans="1:19" x14ac:dyDescent="0.25">
      <c r="A455">
        <v>21</v>
      </c>
      <c r="B455">
        <v>185</v>
      </c>
      <c r="C455">
        <v>81</v>
      </c>
      <c r="D455" t="s">
        <v>20</v>
      </c>
      <c r="E455">
        <v>14.903956559421999</v>
      </c>
      <c r="F455">
        <v>36</v>
      </c>
      <c r="G455">
        <v>1</v>
      </c>
      <c r="H455">
        <v>78.082125728763202</v>
      </c>
      <c r="I455">
        <v>86.859240678462896</v>
      </c>
      <c r="J455">
        <v>232.50394996282199</v>
      </c>
      <c r="K455">
        <v>88.545364029195696</v>
      </c>
      <c r="L455">
        <v>6.4313629527397804</v>
      </c>
      <c r="M455">
        <v>84.104825864582594</v>
      </c>
      <c r="N455">
        <v>7.4786730175823797</v>
      </c>
      <c r="O455">
        <v>43.361216937157003</v>
      </c>
      <c r="P455">
        <v>77.877038560746101</v>
      </c>
      <c r="Q455">
        <v>0</v>
      </c>
      <c r="R455">
        <v>0</v>
      </c>
      <c r="S455">
        <v>23.6669101533966</v>
      </c>
    </row>
    <row r="456" spans="1:19" x14ac:dyDescent="0.25">
      <c r="A456">
        <v>22</v>
      </c>
      <c r="B456">
        <v>164</v>
      </c>
      <c r="C456">
        <v>78</v>
      </c>
      <c r="D456" t="s">
        <v>22</v>
      </c>
      <c r="E456">
        <v>10.9747182251919</v>
      </c>
      <c r="F456">
        <v>36</v>
      </c>
      <c r="G456">
        <v>2</v>
      </c>
      <c r="H456">
        <v>68.234542625607702</v>
      </c>
      <c r="I456">
        <v>80.447030028809294</v>
      </c>
      <c r="J456">
        <v>237.51262557821599</v>
      </c>
      <c r="K456">
        <v>72.800429719131699</v>
      </c>
      <c r="L456">
        <v>5.6174518694437996</v>
      </c>
      <c r="M456">
        <v>85.6414834024458</v>
      </c>
      <c r="N456">
        <v>6.4384156151114098</v>
      </c>
      <c r="O456">
        <v>51.4306192312145</v>
      </c>
      <c r="P456">
        <v>69.8942421531533</v>
      </c>
      <c r="Q456">
        <v>1</v>
      </c>
      <c r="R456">
        <v>1</v>
      </c>
      <c r="S456">
        <v>29.0005948839976</v>
      </c>
    </row>
    <row r="457" spans="1:19" x14ac:dyDescent="0.25">
      <c r="A457">
        <v>22</v>
      </c>
      <c r="B457">
        <v>179</v>
      </c>
      <c r="C457">
        <v>81</v>
      </c>
      <c r="D457" t="s">
        <v>20</v>
      </c>
      <c r="E457">
        <v>12.3751877015688</v>
      </c>
      <c r="F457">
        <v>35</v>
      </c>
      <c r="G457">
        <v>1</v>
      </c>
      <c r="H457">
        <v>72.038920881292</v>
      </c>
      <c r="I457">
        <v>82.563988343034794</v>
      </c>
      <c r="J457">
        <v>282.37263285355601</v>
      </c>
      <c r="K457">
        <v>80.031222416484098</v>
      </c>
      <c r="L457">
        <v>5.6412044063645199</v>
      </c>
      <c r="M457">
        <v>65.366581841856302</v>
      </c>
      <c r="N457">
        <v>6.0920326122575297</v>
      </c>
      <c r="O457">
        <v>58.2879825936731</v>
      </c>
      <c r="P457">
        <v>74.116373198306306</v>
      </c>
      <c r="Q457">
        <v>1</v>
      </c>
      <c r="R457">
        <v>1</v>
      </c>
      <c r="S457">
        <v>25.280109859242799</v>
      </c>
    </row>
    <row r="458" spans="1:19" x14ac:dyDescent="0.25">
      <c r="A458">
        <v>21</v>
      </c>
      <c r="B458">
        <v>179</v>
      </c>
      <c r="C458">
        <v>78</v>
      </c>
      <c r="D458" t="s">
        <v>22</v>
      </c>
      <c r="E458">
        <v>9.84146673333405</v>
      </c>
      <c r="F458">
        <v>24</v>
      </c>
      <c r="G458">
        <v>1</v>
      </c>
      <c r="H458">
        <v>68.7862780221446</v>
      </c>
      <c r="I458">
        <v>76.352052476348405</v>
      </c>
      <c r="J458">
        <v>259.57985279746703</v>
      </c>
      <c r="K458">
        <v>80.764234734580597</v>
      </c>
      <c r="L458">
        <v>5.8484093416988001</v>
      </c>
      <c r="M458">
        <v>72.901843464470403</v>
      </c>
      <c r="N458">
        <v>6.8035158956493103</v>
      </c>
      <c r="O458">
        <v>75.646327578566101</v>
      </c>
      <c r="P458">
        <v>85.164041951753205</v>
      </c>
      <c r="Q458">
        <v>0</v>
      </c>
      <c r="R458">
        <v>1</v>
      </c>
      <c r="S458">
        <v>24.343809494085701</v>
      </c>
    </row>
    <row r="459" spans="1:19" x14ac:dyDescent="0.25">
      <c r="A459">
        <v>18</v>
      </c>
      <c r="B459">
        <v>186</v>
      </c>
      <c r="C459">
        <v>81</v>
      </c>
      <c r="D459" t="s">
        <v>20</v>
      </c>
      <c r="E459">
        <v>9.7289636661102303</v>
      </c>
      <c r="F459">
        <v>30</v>
      </c>
      <c r="G459">
        <v>2</v>
      </c>
      <c r="H459">
        <v>67.699626058038902</v>
      </c>
      <c r="I459">
        <v>68.878337010795306</v>
      </c>
      <c r="J459">
        <v>258.35233564968797</v>
      </c>
      <c r="K459">
        <v>88.737933929358206</v>
      </c>
      <c r="L459">
        <v>5.9492608735367103</v>
      </c>
      <c r="M459">
        <v>80.891386163528097</v>
      </c>
      <c r="N459">
        <v>7.4140722958337104</v>
      </c>
      <c r="O459">
        <v>61.306006663485803</v>
      </c>
      <c r="P459">
        <v>72.017924524801202</v>
      </c>
      <c r="Q459">
        <v>0</v>
      </c>
      <c r="R459">
        <v>1</v>
      </c>
      <c r="S459">
        <v>23.413111342351701</v>
      </c>
    </row>
    <row r="460" spans="1:19" x14ac:dyDescent="0.25">
      <c r="A460">
        <v>21</v>
      </c>
      <c r="B460">
        <v>166</v>
      </c>
      <c r="C460">
        <v>71</v>
      </c>
      <c r="D460" t="s">
        <v>19</v>
      </c>
      <c r="E460">
        <v>12.853857415920301</v>
      </c>
      <c r="F460">
        <v>24</v>
      </c>
      <c r="G460">
        <v>4</v>
      </c>
      <c r="H460">
        <v>73.822377053667196</v>
      </c>
      <c r="I460">
        <v>83.020732608456598</v>
      </c>
      <c r="J460">
        <v>286.930749287575</v>
      </c>
      <c r="K460">
        <v>84.497758336621203</v>
      </c>
      <c r="L460">
        <v>6.04096554073758</v>
      </c>
      <c r="M460">
        <v>60.527621623776199</v>
      </c>
      <c r="N460">
        <v>6.03677296854144</v>
      </c>
      <c r="O460">
        <v>65.385372208786904</v>
      </c>
      <c r="P460">
        <v>62.9743857724348</v>
      </c>
      <c r="Q460">
        <v>1</v>
      </c>
      <c r="R460">
        <v>1</v>
      </c>
      <c r="S460">
        <v>25.765713456234501</v>
      </c>
    </row>
    <row r="461" spans="1:19" x14ac:dyDescent="0.25">
      <c r="A461">
        <v>24</v>
      </c>
      <c r="B461">
        <v>163</v>
      </c>
      <c r="C461">
        <v>72</v>
      </c>
      <c r="D461" t="s">
        <v>20</v>
      </c>
      <c r="E461">
        <v>8.4904176080253198</v>
      </c>
      <c r="F461">
        <v>30</v>
      </c>
      <c r="G461">
        <v>0</v>
      </c>
      <c r="H461">
        <v>77.544139635002395</v>
      </c>
      <c r="I461">
        <v>78.629602693324799</v>
      </c>
      <c r="J461">
        <v>220.25114978331899</v>
      </c>
      <c r="K461">
        <v>85.934536585649596</v>
      </c>
      <c r="L461">
        <v>6.1030427158587797</v>
      </c>
      <c r="M461">
        <v>76.461513769741998</v>
      </c>
      <c r="N461">
        <v>6.6536781557855296</v>
      </c>
      <c r="O461">
        <v>47.674060179586299</v>
      </c>
      <c r="P461">
        <v>70.421118168273196</v>
      </c>
      <c r="Q461">
        <v>1</v>
      </c>
      <c r="R461">
        <v>0</v>
      </c>
      <c r="S461">
        <v>27.099251006812398</v>
      </c>
    </row>
    <row r="462" spans="1:19" x14ac:dyDescent="0.25">
      <c r="A462">
        <v>24</v>
      </c>
      <c r="B462">
        <v>175</v>
      </c>
      <c r="C462">
        <v>66</v>
      </c>
      <c r="D462" t="s">
        <v>19</v>
      </c>
      <c r="E462">
        <v>5.2973074880397997</v>
      </c>
      <c r="F462">
        <v>35</v>
      </c>
      <c r="G462">
        <v>0</v>
      </c>
      <c r="H462">
        <v>83.971949090992993</v>
      </c>
      <c r="I462">
        <v>78.540648656095101</v>
      </c>
      <c r="J462">
        <v>242.702712808934</v>
      </c>
      <c r="K462">
        <v>83.573757851577597</v>
      </c>
      <c r="L462">
        <v>6.1885621271158398</v>
      </c>
      <c r="M462">
        <v>71.807197572975099</v>
      </c>
      <c r="N462">
        <v>8.4010617198388697</v>
      </c>
      <c r="O462">
        <v>51.635921830049298</v>
      </c>
      <c r="P462">
        <v>89.583195799834002</v>
      </c>
      <c r="Q462">
        <v>1</v>
      </c>
      <c r="R462">
        <v>0</v>
      </c>
      <c r="S462">
        <v>21.5510204081632</v>
      </c>
    </row>
    <row r="463" spans="1:19" x14ac:dyDescent="0.25">
      <c r="A463">
        <v>20</v>
      </c>
      <c r="B463">
        <v>190</v>
      </c>
      <c r="C463">
        <v>70</v>
      </c>
      <c r="D463" t="s">
        <v>22</v>
      </c>
      <c r="E463">
        <v>8.7331724081511108</v>
      </c>
      <c r="F463">
        <v>19</v>
      </c>
      <c r="G463">
        <v>0</v>
      </c>
      <c r="H463">
        <v>86.157769636508704</v>
      </c>
      <c r="I463">
        <v>87.118241610694398</v>
      </c>
      <c r="J463">
        <v>259.81583860319</v>
      </c>
      <c r="K463">
        <v>80.331074504549505</v>
      </c>
      <c r="L463">
        <v>5.7715691063546499</v>
      </c>
      <c r="M463">
        <v>85.649293299724107</v>
      </c>
      <c r="N463">
        <v>7.6742405119205497</v>
      </c>
      <c r="O463">
        <v>23.122009247109801</v>
      </c>
      <c r="P463">
        <v>94.9181635465022</v>
      </c>
      <c r="Q463">
        <v>1</v>
      </c>
      <c r="R463">
        <v>0</v>
      </c>
      <c r="S463">
        <v>19.3905817174515</v>
      </c>
    </row>
    <row r="464" spans="1:19" x14ac:dyDescent="0.25">
      <c r="A464">
        <v>24</v>
      </c>
      <c r="B464">
        <v>176</v>
      </c>
      <c r="C464">
        <v>73</v>
      </c>
      <c r="D464" t="s">
        <v>20</v>
      </c>
      <c r="E464">
        <v>10.525976483002699</v>
      </c>
      <c r="F464">
        <v>35</v>
      </c>
      <c r="G464">
        <v>1</v>
      </c>
      <c r="H464">
        <v>69.442556779545697</v>
      </c>
      <c r="I464">
        <v>82.593714944157</v>
      </c>
      <c r="J464">
        <v>251.81759870677999</v>
      </c>
      <c r="K464">
        <v>76.582819242953093</v>
      </c>
      <c r="L464">
        <v>5.9447048127156696</v>
      </c>
      <c r="M464">
        <v>64.3724493945181</v>
      </c>
      <c r="N464">
        <v>7.0571792659545096</v>
      </c>
      <c r="O464">
        <v>46.085431634978399</v>
      </c>
      <c r="P464">
        <v>62.525750517099702</v>
      </c>
      <c r="Q464">
        <v>0</v>
      </c>
      <c r="R464">
        <v>1</v>
      </c>
      <c r="S464">
        <v>23.566632231404899</v>
      </c>
    </row>
    <row r="465" spans="1:19" x14ac:dyDescent="0.25">
      <c r="A465">
        <v>23</v>
      </c>
      <c r="B465">
        <v>175</v>
      </c>
      <c r="C465">
        <v>76</v>
      </c>
      <c r="D465" t="s">
        <v>20</v>
      </c>
      <c r="E465">
        <v>12.981327070847</v>
      </c>
      <c r="F465">
        <v>19</v>
      </c>
      <c r="G465">
        <v>0</v>
      </c>
      <c r="H465">
        <v>59.542823253324997</v>
      </c>
      <c r="I465">
        <v>77.8606476638939</v>
      </c>
      <c r="J465">
        <v>243.95081468718001</v>
      </c>
      <c r="K465">
        <v>92.919081492768299</v>
      </c>
      <c r="L465">
        <v>5.9334322274864899</v>
      </c>
      <c r="M465">
        <v>78.157622021583094</v>
      </c>
      <c r="N465">
        <v>7.7914075698047904</v>
      </c>
      <c r="O465">
        <v>49.126406168681797</v>
      </c>
      <c r="P465">
        <v>55.310167588327801</v>
      </c>
      <c r="Q465">
        <v>1</v>
      </c>
      <c r="R465">
        <v>0</v>
      </c>
      <c r="S465">
        <v>24.816326530612201</v>
      </c>
    </row>
    <row r="466" spans="1:19" x14ac:dyDescent="0.25">
      <c r="A466">
        <v>18</v>
      </c>
      <c r="B466">
        <v>167</v>
      </c>
      <c r="C466">
        <v>79</v>
      </c>
      <c r="D466" t="s">
        <v>21</v>
      </c>
      <c r="E466">
        <v>9.8136217518399107</v>
      </c>
      <c r="F466">
        <v>29</v>
      </c>
      <c r="G466">
        <v>1</v>
      </c>
      <c r="H466">
        <v>75.859138944377406</v>
      </c>
      <c r="I466">
        <v>80.777097786380494</v>
      </c>
      <c r="J466">
        <v>277.53445552777799</v>
      </c>
      <c r="K466">
        <v>85.421682205473402</v>
      </c>
      <c r="L466">
        <v>5.5746055906687202</v>
      </c>
      <c r="M466">
        <v>79.235705344870794</v>
      </c>
      <c r="N466">
        <v>7.2086081072867199</v>
      </c>
      <c r="O466">
        <v>48.4207504776899</v>
      </c>
      <c r="P466">
        <v>72.038961185287704</v>
      </c>
      <c r="Q466">
        <v>0</v>
      </c>
      <c r="R466">
        <v>1</v>
      </c>
      <c r="S466">
        <v>28.326580372189699</v>
      </c>
    </row>
    <row r="467" spans="1:19" x14ac:dyDescent="0.25">
      <c r="A467">
        <v>22</v>
      </c>
      <c r="B467">
        <v>169</v>
      </c>
      <c r="C467">
        <v>79</v>
      </c>
      <c r="D467" t="s">
        <v>21</v>
      </c>
      <c r="E467">
        <v>7.1434683303023796</v>
      </c>
      <c r="F467">
        <v>19</v>
      </c>
      <c r="G467">
        <v>3</v>
      </c>
      <c r="H467">
        <v>86.3449744517158</v>
      </c>
      <c r="I467">
        <v>76.620014550530996</v>
      </c>
      <c r="J467">
        <v>272.116424461946</v>
      </c>
      <c r="K467">
        <v>87.184276822955297</v>
      </c>
      <c r="L467">
        <v>6.1314011119345704</v>
      </c>
      <c r="M467">
        <v>73.167001629563899</v>
      </c>
      <c r="N467">
        <v>6.4732644351383701</v>
      </c>
      <c r="O467">
        <v>73.482804300658401</v>
      </c>
      <c r="P467">
        <v>74.289128533890803</v>
      </c>
      <c r="Q467">
        <v>0</v>
      </c>
      <c r="R467">
        <v>1</v>
      </c>
      <c r="S467">
        <v>27.660095935016201</v>
      </c>
    </row>
    <row r="468" spans="1:19" x14ac:dyDescent="0.25">
      <c r="A468">
        <v>20</v>
      </c>
      <c r="B468">
        <v>184</v>
      </c>
      <c r="C468">
        <v>74</v>
      </c>
      <c r="D468" t="s">
        <v>21</v>
      </c>
      <c r="E468">
        <v>11.625095837123499</v>
      </c>
      <c r="F468">
        <v>38</v>
      </c>
      <c r="G468">
        <v>1</v>
      </c>
      <c r="H468">
        <v>79.726633008359002</v>
      </c>
      <c r="I468">
        <v>74.118766457887403</v>
      </c>
      <c r="J468">
        <v>225.82216095283499</v>
      </c>
      <c r="K468">
        <v>78.075870093211293</v>
      </c>
      <c r="L468">
        <v>6.0225215777136203</v>
      </c>
      <c r="M468">
        <v>82.490572264523607</v>
      </c>
      <c r="N468">
        <v>7.8196477935068396</v>
      </c>
      <c r="O468">
        <v>65.629875603233899</v>
      </c>
      <c r="P468">
        <v>84.683895590670303</v>
      </c>
      <c r="Q468">
        <v>0</v>
      </c>
      <c r="R468">
        <v>0</v>
      </c>
      <c r="S468">
        <v>21.8572778827977</v>
      </c>
    </row>
    <row r="469" spans="1:19" x14ac:dyDescent="0.25">
      <c r="A469">
        <v>24</v>
      </c>
      <c r="B469">
        <v>176</v>
      </c>
      <c r="C469">
        <v>79</v>
      </c>
      <c r="D469" t="s">
        <v>21</v>
      </c>
      <c r="E469">
        <v>9.8938456161235795</v>
      </c>
      <c r="F469">
        <v>17</v>
      </c>
      <c r="G469">
        <v>0</v>
      </c>
      <c r="H469">
        <v>79.239499363557798</v>
      </c>
      <c r="I469">
        <v>91.553998876111507</v>
      </c>
      <c r="J469">
        <v>241.91697768033799</v>
      </c>
      <c r="K469">
        <v>87.489638791896994</v>
      </c>
      <c r="L469">
        <v>5.8556197428321699</v>
      </c>
      <c r="M469">
        <v>85.978124220328894</v>
      </c>
      <c r="N469">
        <v>8.1627380236819498</v>
      </c>
      <c r="O469">
        <v>38.845551218361301</v>
      </c>
      <c r="P469">
        <v>62.964948566551499</v>
      </c>
      <c r="Q469">
        <v>1</v>
      </c>
      <c r="R469">
        <v>0</v>
      </c>
      <c r="S469">
        <v>25.503615702479301</v>
      </c>
    </row>
    <row r="470" spans="1:19" x14ac:dyDescent="0.25">
      <c r="A470">
        <v>19</v>
      </c>
      <c r="B470">
        <v>173</v>
      </c>
      <c r="C470">
        <v>70</v>
      </c>
      <c r="D470" t="s">
        <v>20</v>
      </c>
      <c r="E470">
        <v>12.993409704359999</v>
      </c>
      <c r="F470">
        <v>9</v>
      </c>
      <c r="G470">
        <v>1</v>
      </c>
      <c r="H470">
        <v>75.2438873628506</v>
      </c>
      <c r="I470">
        <v>73.782853801427606</v>
      </c>
      <c r="J470">
        <v>203.48678620230601</v>
      </c>
      <c r="K470">
        <v>82.992986368104894</v>
      </c>
      <c r="L470">
        <v>5.6600359865190697</v>
      </c>
      <c r="M470">
        <v>80.799049262245205</v>
      </c>
      <c r="N470">
        <v>7.6979989913039502</v>
      </c>
      <c r="O470">
        <v>53.578765964931797</v>
      </c>
      <c r="P470">
        <v>65.855929815667196</v>
      </c>
      <c r="Q470">
        <v>1</v>
      </c>
      <c r="R470">
        <v>1</v>
      </c>
      <c r="S470">
        <v>23.3886865581877</v>
      </c>
    </row>
    <row r="471" spans="1:19" x14ac:dyDescent="0.25">
      <c r="A471">
        <v>18</v>
      </c>
      <c r="B471">
        <v>177</v>
      </c>
      <c r="C471">
        <v>83</v>
      </c>
      <c r="D471" t="s">
        <v>21</v>
      </c>
      <c r="E471">
        <v>12.6162903983712</v>
      </c>
      <c r="F471">
        <v>15</v>
      </c>
      <c r="G471">
        <v>1</v>
      </c>
      <c r="H471">
        <v>79.196661298651094</v>
      </c>
      <c r="I471">
        <v>87.455053342935201</v>
      </c>
      <c r="J471">
        <v>277.40886414654699</v>
      </c>
      <c r="K471">
        <v>90.010016258890801</v>
      </c>
      <c r="L471">
        <v>6.4754319632034196</v>
      </c>
      <c r="M471">
        <v>75.8636536558286</v>
      </c>
      <c r="N471">
        <v>8.36359230226725</v>
      </c>
      <c r="O471">
        <v>45.7167331163811</v>
      </c>
      <c r="P471">
        <v>74.194794548986806</v>
      </c>
      <c r="Q471">
        <v>1</v>
      </c>
      <c r="R471">
        <v>0</v>
      </c>
      <c r="S471">
        <v>26.493025631204301</v>
      </c>
    </row>
    <row r="472" spans="1:19" x14ac:dyDescent="0.25">
      <c r="A472">
        <v>22</v>
      </c>
      <c r="B472">
        <v>172</v>
      </c>
      <c r="C472">
        <v>78</v>
      </c>
      <c r="D472" t="s">
        <v>21</v>
      </c>
      <c r="E472">
        <v>8.0045105265991392</v>
      </c>
      <c r="F472">
        <v>25</v>
      </c>
      <c r="G472">
        <v>1</v>
      </c>
      <c r="H472">
        <v>70.560924736698894</v>
      </c>
      <c r="I472">
        <v>66.972871101187195</v>
      </c>
      <c r="J472">
        <v>258.57155708995299</v>
      </c>
      <c r="K472">
        <v>78.669433068681798</v>
      </c>
      <c r="L472">
        <v>5.8922185101954998</v>
      </c>
      <c r="M472">
        <v>74.821223894029202</v>
      </c>
      <c r="N472">
        <v>6.7588457870141196</v>
      </c>
      <c r="O472">
        <v>46.736003615537498</v>
      </c>
      <c r="P472">
        <v>57.781613904046999</v>
      </c>
      <c r="Q472">
        <v>0</v>
      </c>
      <c r="R472">
        <v>1</v>
      </c>
      <c r="S472">
        <v>26.365603028664101</v>
      </c>
    </row>
    <row r="473" spans="1:19" x14ac:dyDescent="0.25">
      <c r="A473">
        <v>19</v>
      </c>
      <c r="B473">
        <v>172</v>
      </c>
      <c r="C473">
        <v>76</v>
      </c>
      <c r="D473" t="s">
        <v>20</v>
      </c>
      <c r="E473">
        <v>9.7129551385570192</v>
      </c>
      <c r="F473">
        <v>27</v>
      </c>
      <c r="G473">
        <v>1</v>
      </c>
      <c r="H473">
        <v>72.059537821160305</v>
      </c>
      <c r="I473">
        <v>72.527170120114306</v>
      </c>
      <c r="J473">
        <v>274.25886135067202</v>
      </c>
      <c r="K473">
        <v>80.055816718342399</v>
      </c>
      <c r="L473">
        <v>6.0029192239348399</v>
      </c>
      <c r="M473">
        <v>73.179145944701503</v>
      </c>
      <c r="N473">
        <v>7.8014582275229101</v>
      </c>
      <c r="O473">
        <v>47.242992577910101</v>
      </c>
      <c r="P473">
        <v>66.541870136988294</v>
      </c>
      <c r="Q473">
        <v>1</v>
      </c>
      <c r="R473">
        <v>1</v>
      </c>
      <c r="S473">
        <v>25.689561925364998</v>
      </c>
    </row>
    <row r="474" spans="1:19" x14ac:dyDescent="0.25">
      <c r="A474">
        <v>19</v>
      </c>
      <c r="B474">
        <v>180</v>
      </c>
      <c r="C474">
        <v>60</v>
      </c>
      <c r="D474" t="s">
        <v>19</v>
      </c>
      <c r="E474">
        <v>12.4779106346476</v>
      </c>
      <c r="F474">
        <v>33</v>
      </c>
      <c r="G474">
        <v>2</v>
      </c>
      <c r="H474">
        <v>89.756197872669105</v>
      </c>
      <c r="I474">
        <v>77.588522387330997</v>
      </c>
      <c r="J474">
        <v>276.81165820690399</v>
      </c>
      <c r="K474">
        <v>75.805199749017106</v>
      </c>
      <c r="L474">
        <v>6.5618346295451504</v>
      </c>
      <c r="M474">
        <v>81.017667493512405</v>
      </c>
      <c r="N474">
        <v>8.9963819682929405</v>
      </c>
      <c r="O474">
        <v>54.574128731673198</v>
      </c>
      <c r="P474">
        <v>83.212357294236398</v>
      </c>
      <c r="Q474">
        <v>1</v>
      </c>
      <c r="R474">
        <v>0</v>
      </c>
      <c r="S474">
        <v>18.518518518518501</v>
      </c>
    </row>
    <row r="475" spans="1:19" x14ac:dyDescent="0.25">
      <c r="A475">
        <v>22</v>
      </c>
      <c r="B475">
        <v>173</v>
      </c>
      <c r="C475">
        <v>81</v>
      </c>
      <c r="D475" t="s">
        <v>22</v>
      </c>
      <c r="E475">
        <v>8.8013242540818393</v>
      </c>
      <c r="F475">
        <v>8</v>
      </c>
      <c r="G475">
        <v>4</v>
      </c>
      <c r="H475">
        <v>80.716749527210297</v>
      </c>
      <c r="I475">
        <v>88.413345853113597</v>
      </c>
      <c r="J475">
        <v>243.73175676654299</v>
      </c>
      <c r="K475">
        <v>80.284438506675997</v>
      </c>
      <c r="L475">
        <v>5.4944178612013399</v>
      </c>
      <c r="M475">
        <v>77.586569976337401</v>
      </c>
      <c r="N475">
        <v>6.8417810551176599</v>
      </c>
      <c r="O475">
        <v>54.8367094217923</v>
      </c>
      <c r="P475">
        <v>79.561220081042606</v>
      </c>
      <c r="Q475">
        <v>0</v>
      </c>
      <c r="R475">
        <v>1</v>
      </c>
      <c r="S475">
        <v>27.064051588760002</v>
      </c>
    </row>
    <row r="476" spans="1:19" x14ac:dyDescent="0.25">
      <c r="A476">
        <v>23</v>
      </c>
      <c r="B476">
        <v>171</v>
      </c>
      <c r="C476">
        <v>83</v>
      </c>
      <c r="D476" t="s">
        <v>22</v>
      </c>
      <c r="E476">
        <v>7.44656627706929</v>
      </c>
      <c r="F476">
        <v>21</v>
      </c>
      <c r="G476">
        <v>1</v>
      </c>
      <c r="H476">
        <v>69.2311603047837</v>
      </c>
      <c r="I476">
        <v>75.559934147735007</v>
      </c>
      <c r="J476">
        <v>273.88577250999299</v>
      </c>
      <c r="K476">
        <v>85.512804184404104</v>
      </c>
      <c r="L476">
        <v>5.3358286061300699</v>
      </c>
      <c r="M476">
        <v>73.425571772987993</v>
      </c>
      <c r="N476">
        <v>6.4965722873098297</v>
      </c>
      <c r="O476">
        <v>71.781270480297593</v>
      </c>
      <c r="P476">
        <v>76.3204190686521</v>
      </c>
      <c r="Q476">
        <v>0</v>
      </c>
      <c r="R476">
        <v>1</v>
      </c>
      <c r="S476">
        <v>28.384802161348698</v>
      </c>
    </row>
    <row r="477" spans="1:19" x14ac:dyDescent="0.25">
      <c r="A477">
        <v>18</v>
      </c>
      <c r="B477">
        <v>159</v>
      </c>
      <c r="C477">
        <v>70</v>
      </c>
      <c r="D477" t="s">
        <v>21</v>
      </c>
      <c r="E477">
        <v>17.178688443399999</v>
      </c>
      <c r="F477">
        <v>27</v>
      </c>
      <c r="G477">
        <v>1</v>
      </c>
      <c r="H477">
        <v>80.941477012628695</v>
      </c>
      <c r="I477">
        <v>80.6955746061615</v>
      </c>
      <c r="J477">
        <v>244.65960509911801</v>
      </c>
      <c r="K477">
        <v>88.977725133670106</v>
      </c>
      <c r="L477">
        <v>5.9647110241082402</v>
      </c>
      <c r="M477">
        <v>88.787548828407694</v>
      </c>
      <c r="N477">
        <v>7.9741486990755996</v>
      </c>
      <c r="O477">
        <v>32.466250498352402</v>
      </c>
      <c r="P477">
        <v>72.2205755804505</v>
      </c>
      <c r="Q477">
        <v>1</v>
      </c>
      <c r="R477">
        <v>0</v>
      </c>
      <c r="S477">
        <v>27.688778133776299</v>
      </c>
    </row>
    <row r="478" spans="1:19" x14ac:dyDescent="0.25">
      <c r="A478">
        <v>21</v>
      </c>
      <c r="B478">
        <v>180</v>
      </c>
      <c r="C478">
        <v>85</v>
      </c>
      <c r="D478" t="s">
        <v>19</v>
      </c>
      <c r="E478">
        <v>11.080302997724999</v>
      </c>
      <c r="F478">
        <v>24</v>
      </c>
      <c r="G478">
        <v>2</v>
      </c>
      <c r="H478">
        <v>78.352185092669004</v>
      </c>
      <c r="I478">
        <v>78.4389809261708</v>
      </c>
      <c r="J478">
        <v>276.21839627125598</v>
      </c>
      <c r="K478">
        <v>85.937165356168904</v>
      </c>
      <c r="L478">
        <v>5.9407942343636</v>
      </c>
      <c r="M478">
        <v>68.235174193819404</v>
      </c>
      <c r="N478">
        <v>5.6980281533320696</v>
      </c>
      <c r="O478">
        <v>52.566743200338401</v>
      </c>
      <c r="P478">
        <v>61.577852119858001</v>
      </c>
      <c r="Q478">
        <v>1</v>
      </c>
      <c r="R478">
        <v>1</v>
      </c>
      <c r="S478">
        <v>26.234567901234499</v>
      </c>
    </row>
    <row r="479" spans="1:19" x14ac:dyDescent="0.25">
      <c r="A479">
        <v>19</v>
      </c>
      <c r="B479">
        <v>185</v>
      </c>
      <c r="C479">
        <v>78</v>
      </c>
      <c r="D479" t="s">
        <v>19</v>
      </c>
      <c r="E479">
        <v>9.0681497716454604</v>
      </c>
      <c r="F479">
        <v>34</v>
      </c>
      <c r="G479">
        <v>0</v>
      </c>
      <c r="H479">
        <v>76.602684007330495</v>
      </c>
      <c r="I479">
        <v>84.168822598021805</v>
      </c>
      <c r="J479">
        <v>227.52491516514999</v>
      </c>
      <c r="K479">
        <v>87.219940881830993</v>
      </c>
      <c r="L479">
        <v>6.18680113711949</v>
      </c>
      <c r="M479">
        <v>83.999771220747405</v>
      </c>
      <c r="N479">
        <v>8.3274502005653392</v>
      </c>
      <c r="O479">
        <v>56.114511513486903</v>
      </c>
      <c r="P479">
        <v>76.183666908772693</v>
      </c>
      <c r="Q479">
        <v>1</v>
      </c>
      <c r="R479">
        <v>0</v>
      </c>
      <c r="S479">
        <v>22.790357925493002</v>
      </c>
    </row>
    <row r="480" spans="1:19" x14ac:dyDescent="0.25">
      <c r="A480">
        <v>18</v>
      </c>
      <c r="B480">
        <v>175</v>
      </c>
      <c r="C480">
        <v>75</v>
      </c>
      <c r="D480" t="s">
        <v>19</v>
      </c>
      <c r="E480">
        <v>7.4979787894172798</v>
      </c>
      <c r="F480">
        <v>34</v>
      </c>
      <c r="G480">
        <v>3</v>
      </c>
      <c r="H480">
        <v>64.934012199967498</v>
      </c>
      <c r="I480">
        <v>74.898749000785202</v>
      </c>
      <c r="J480">
        <v>247.53099583958601</v>
      </c>
      <c r="K480">
        <v>95.717049180083606</v>
      </c>
      <c r="L480">
        <v>5.97119391619401</v>
      </c>
      <c r="M480">
        <v>85.065727478787807</v>
      </c>
      <c r="N480">
        <v>6.25914817565564</v>
      </c>
      <c r="O480">
        <v>77.7635017245928</v>
      </c>
      <c r="P480">
        <v>57.795153750099601</v>
      </c>
      <c r="Q480">
        <v>0</v>
      </c>
      <c r="R480">
        <v>1</v>
      </c>
      <c r="S480">
        <v>24.4897959183673</v>
      </c>
    </row>
    <row r="481" spans="1:19" x14ac:dyDescent="0.25">
      <c r="A481">
        <v>24</v>
      </c>
      <c r="B481">
        <v>184</v>
      </c>
      <c r="C481">
        <v>64</v>
      </c>
      <c r="D481" t="s">
        <v>19</v>
      </c>
      <c r="E481">
        <v>12.289637602386099</v>
      </c>
      <c r="F481">
        <v>17</v>
      </c>
      <c r="G481">
        <v>2</v>
      </c>
      <c r="H481">
        <v>81.584491871465403</v>
      </c>
      <c r="I481">
        <v>76.104520951412397</v>
      </c>
      <c r="J481">
        <v>297.87571880473701</v>
      </c>
      <c r="K481">
        <v>82.122858681168694</v>
      </c>
      <c r="L481">
        <v>5.9905539581408398</v>
      </c>
      <c r="M481">
        <v>82.028531274230502</v>
      </c>
      <c r="N481">
        <v>7.2772505794901097</v>
      </c>
      <c r="O481">
        <v>68.040775472128104</v>
      </c>
      <c r="P481">
        <v>64.154036950661194</v>
      </c>
      <c r="Q481">
        <v>1</v>
      </c>
      <c r="R481">
        <v>1</v>
      </c>
      <c r="S481">
        <v>18.903591682419599</v>
      </c>
    </row>
    <row r="482" spans="1:19" x14ac:dyDescent="0.25">
      <c r="A482">
        <v>21</v>
      </c>
      <c r="B482">
        <v>174</v>
      </c>
      <c r="C482">
        <v>93</v>
      </c>
      <c r="D482" t="s">
        <v>20</v>
      </c>
      <c r="E482">
        <v>11.737235788764499</v>
      </c>
      <c r="F482">
        <v>18</v>
      </c>
      <c r="G482">
        <v>4</v>
      </c>
      <c r="H482">
        <v>73.930896830262299</v>
      </c>
      <c r="I482">
        <v>85.285783819653702</v>
      </c>
      <c r="J482">
        <v>261.70025949904402</v>
      </c>
      <c r="K482">
        <v>84.289366297737303</v>
      </c>
      <c r="L482">
        <v>6.1406078001525</v>
      </c>
      <c r="M482">
        <v>69.840160131637205</v>
      </c>
      <c r="N482">
        <v>7.0789256008647596</v>
      </c>
      <c r="O482">
        <v>59.290949633349101</v>
      </c>
      <c r="P482">
        <v>72.402894855427803</v>
      </c>
      <c r="Q482">
        <v>1</v>
      </c>
      <c r="R482">
        <v>1</v>
      </c>
      <c r="S482">
        <v>30.7173999207292</v>
      </c>
    </row>
    <row r="483" spans="1:19" x14ac:dyDescent="0.25">
      <c r="A483">
        <v>22</v>
      </c>
      <c r="B483">
        <v>173</v>
      </c>
      <c r="C483">
        <v>56</v>
      </c>
      <c r="D483" t="s">
        <v>20</v>
      </c>
      <c r="E483">
        <v>13.4777823299068</v>
      </c>
      <c r="F483">
        <v>31</v>
      </c>
      <c r="G483">
        <v>3</v>
      </c>
      <c r="H483">
        <v>77.526908748008907</v>
      </c>
      <c r="I483">
        <v>85.781706968196801</v>
      </c>
      <c r="J483">
        <v>265.99187610302903</v>
      </c>
      <c r="K483">
        <v>85.139811871167794</v>
      </c>
      <c r="L483">
        <v>5.9600858176098503</v>
      </c>
      <c r="M483">
        <v>68.780470077752994</v>
      </c>
      <c r="N483">
        <v>6.9184957996143899</v>
      </c>
      <c r="O483">
        <v>56.326050998305298</v>
      </c>
      <c r="P483">
        <v>72.427829693901202</v>
      </c>
      <c r="Q483">
        <v>1</v>
      </c>
      <c r="R483">
        <v>1</v>
      </c>
      <c r="S483">
        <v>18.710949246550101</v>
      </c>
    </row>
    <row r="484" spans="1:19" x14ac:dyDescent="0.25">
      <c r="A484">
        <v>18</v>
      </c>
      <c r="B484">
        <v>173</v>
      </c>
      <c r="C484">
        <v>64</v>
      </c>
      <c r="D484" t="s">
        <v>20</v>
      </c>
      <c r="E484">
        <v>8.9933015379069694</v>
      </c>
      <c r="F484">
        <v>13</v>
      </c>
      <c r="G484">
        <v>3</v>
      </c>
      <c r="H484">
        <v>75.256072949876597</v>
      </c>
      <c r="I484">
        <v>73.575810196723097</v>
      </c>
      <c r="J484">
        <v>274.51914758803201</v>
      </c>
      <c r="K484">
        <v>81.286132151473296</v>
      </c>
      <c r="L484">
        <v>6.1467257305546701</v>
      </c>
      <c r="M484">
        <v>74.906611594671801</v>
      </c>
      <c r="N484">
        <v>7.4859940946761796</v>
      </c>
      <c r="O484">
        <v>53.2685383585304</v>
      </c>
      <c r="P484">
        <v>67.589384840253302</v>
      </c>
      <c r="Q484">
        <v>0</v>
      </c>
      <c r="R484">
        <v>1</v>
      </c>
      <c r="S484">
        <v>21.383941996057299</v>
      </c>
    </row>
    <row r="485" spans="1:19" x14ac:dyDescent="0.25">
      <c r="A485">
        <v>20</v>
      </c>
      <c r="B485">
        <v>171</v>
      </c>
      <c r="C485">
        <v>96</v>
      </c>
      <c r="D485" t="s">
        <v>22</v>
      </c>
      <c r="E485">
        <v>10.2223118613024</v>
      </c>
      <c r="F485">
        <v>6</v>
      </c>
      <c r="G485">
        <v>1</v>
      </c>
      <c r="H485">
        <v>69.076782688537506</v>
      </c>
      <c r="I485">
        <v>69.022485308211998</v>
      </c>
      <c r="J485">
        <v>253.50443681216501</v>
      </c>
      <c r="K485">
        <v>94.579727376002594</v>
      </c>
      <c r="L485">
        <v>5.5967539679319298</v>
      </c>
      <c r="M485">
        <v>80.368523197498803</v>
      </c>
      <c r="N485">
        <v>6.7384037720286702</v>
      </c>
      <c r="O485">
        <v>69.376239057495098</v>
      </c>
      <c r="P485">
        <v>69.8002626206234</v>
      </c>
      <c r="Q485">
        <v>0</v>
      </c>
      <c r="R485">
        <v>1</v>
      </c>
      <c r="S485">
        <v>32.830614548066002</v>
      </c>
    </row>
    <row r="486" spans="1:19" x14ac:dyDescent="0.25">
      <c r="A486">
        <v>23</v>
      </c>
      <c r="B486">
        <v>175</v>
      </c>
      <c r="C486">
        <v>93</v>
      </c>
      <c r="D486" t="s">
        <v>19</v>
      </c>
      <c r="E486">
        <v>5.7177952297280896</v>
      </c>
      <c r="F486">
        <v>7</v>
      </c>
      <c r="G486">
        <v>1</v>
      </c>
      <c r="H486">
        <v>88.177143665214601</v>
      </c>
      <c r="I486">
        <v>72.877377125035096</v>
      </c>
      <c r="J486">
        <v>251.859210440922</v>
      </c>
      <c r="K486">
        <v>88.902068705457907</v>
      </c>
      <c r="L486">
        <v>6.0250837942607696</v>
      </c>
      <c r="M486">
        <v>84.383057701773794</v>
      </c>
      <c r="N486">
        <v>9.0244082639024992</v>
      </c>
      <c r="O486">
        <v>39.3620750075006</v>
      </c>
      <c r="P486">
        <v>77.500250105632702</v>
      </c>
      <c r="Q486">
        <v>0</v>
      </c>
      <c r="R486">
        <v>0</v>
      </c>
      <c r="S486">
        <v>30.367346938775501</v>
      </c>
    </row>
    <row r="487" spans="1:19" x14ac:dyDescent="0.25">
      <c r="A487">
        <v>22</v>
      </c>
      <c r="B487">
        <v>186</v>
      </c>
      <c r="C487">
        <v>62</v>
      </c>
      <c r="D487" t="s">
        <v>21</v>
      </c>
      <c r="E487">
        <v>11.5877575602712</v>
      </c>
      <c r="F487">
        <v>39</v>
      </c>
      <c r="G487">
        <v>3</v>
      </c>
      <c r="H487">
        <v>86.769621812570605</v>
      </c>
      <c r="I487">
        <v>67.090144709200601</v>
      </c>
      <c r="J487">
        <v>259.140717279103</v>
      </c>
      <c r="K487">
        <v>86.513051451559207</v>
      </c>
      <c r="L487">
        <v>6.1877249814057302</v>
      </c>
      <c r="M487">
        <v>86.487594426027698</v>
      </c>
      <c r="N487">
        <v>8.5627161964630396</v>
      </c>
      <c r="O487">
        <v>54.0665621860309</v>
      </c>
      <c r="P487">
        <v>73.760790960957394</v>
      </c>
      <c r="Q487">
        <v>1</v>
      </c>
      <c r="R487">
        <v>0</v>
      </c>
      <c r="S487">
        <v>17.921146953405</v>
      </c>
    </row>
    <row r="488" spans="1:19" x14ac:dyDescent="0.25">
      <c r="A488">
        <v>20</v>
      </c>
      <c r="B488">
        <v>188</v>
      </c>
      <c r="C488">
        <v>72</v>
      </c>
      <c r="D488" t="s">
        <v>19</v>
      </c>
      <c r="E488">
        <v>7.4469837284603404</v>
      </c>
      <c r="F488">
        <v>14</v>
      </c>
      <c r="G488">
        <v>1</v>
      </c>
      <c r="H488">
        <v>80.7388425780305</v>
      </c>
      <c r="I488">
        <v>81.988803122294598</v>
      </c>
      <c r="J488">
        <v>245.55860740933201</v>
      </c>
      <c r="K488">
        <v>83.554610837297901</v>
      </c>
      <c r="L488">
        <v>5.9151001837875201</v>
      </c>
      <c r="M488">
        <v>75.7605419741882</v>
      </c>
      <c r="N488">
        <v>7.8367612142447101</v>
      </c>
      <c r="O488">
        <v>52.0767175552119</v>
      </c>
      <c r="P488">
        <v>69.457189029066299</v>
      </c>
      <c r="Q488">
        <v>1</v>
      </c>
      <c r="R488">
        <v>0</v>
      </c>
      <c r="S488">
        <v>20.371208691715701</v>
      </c>
    </row>
    <row r="489" spans="1:19" x14ac:dyDescent="0.25">
      <c r="A489">
        <v>22</v>
      </c>
      <c r="B489">
        <v>183</v>
      </c>
      <c r="C489">
        <v>71</v>
      </c>
      <c r="D489" t="s">
        <v>19</v>
      </c>
      <c r="E489">
        <v>5.8198304830253296</v>
      </c>
      <c r="F489">
        <v>8</v>
      </c>
      <c r="G489">
        <v>2</v>
      </c>
      <c r="H489">
        <v>80.378942142984897</v>
      </c>
      <c r="I489">
        <v>79.946244023416796</v>
      </c>
      <c r="J489">
        <v>207.43435656237</v>
      </c>
      <c r="K489">
        <v>81.122699410091897</v>
      </c>
      <c r="L489">
        <v>6.2980154299639901</v>
      </c>
      <c r="M489">
        <v>79.222288185762295</v>
      </c>
      <c r="N489">
        <v>8.1693606330461197</v>
      </c>
      <c r="O489">
        <v>51.8239501133421</v>
      </c>
      <c r="P489">
        <v>77.589572210140503</v>
      </c>
      <c r="Q489">
        <v>1</v>
      </c>
      <c r="R489">
        <v>0</v>
      </c>
      <c r="S489">
        <v>21.200991370300599</v>
      </c>
    </row>
    <row r="490" spans="1:19" x14ac:dyDescent="0.25">
      <c r="A490">
        <v>19</v>
      </c>
      <c r="B490">
        <v>169</v>
      </c>
      <c r="C490">
        <v>74</v>
      </c>
      <c r="D490" t="s">
        <v>19</v>
      </c>
      <c r="E490">
        <v>15.663037959443599</v>
      </c>
      <c r="F490">
        <v>39</v>
      </c>
      <c r="G490">
        <v>2</v>
      </c>
      <c r="H490">
        <v>74.409912885852805</v>
      </c>
      <c r="I490">
        <v>81.269207219153401</v>
      </c>
      <c r="J490">
        <v>257.60605904571798</v>
      </c>
      <c r="K490">
        <v>95.4768315284294</v>
      </c>
      <c r="L490">
        <v>5.5894430608859604</v>
      </c>
      <c r="M490">
        <v>81.8800606015553</v>
      </c>
      <c r="N490">
        <v>8.4874775501878297</v>
      </c>
      <c r="O490">
        <v>39.797837704735002</v>
      </c>
      <c r="P490">
        <v>81.149348886931506</v>
      </c>
      <c r="Q490">
        <v>1</v>
      </c>
      <c r="R490">
        <v>0</v>
      </c>
      <c r="S490">
        <v>25.909456951787401</v>
      </c>
    </row>
    <row r="491" spans="1:19" x14ac:dyDescent="0.25">
      <c r="A491">
        <v>23</v>
      </c>
      <c r="B491">
        <v>180</v>
      </c>
      <c r="C491">
        <v>70</v>
      </c>
      <c r="D491" t="s">
        <v>19</v>
      </c>
      <c r="E491">
        <v>10.0179814164718</v>
      </c>
      <c r="F491">
        <v>39</v>
      </c>
      <c r="G491">
        <v>3</v>
      </c>
      <c r="H491">
        <v>71.786718473390593</v>
      </c>
      <c r="I491">
        <v>76.405940738270402</v>
      </c>
      <c r="J491">
        <v>272.06305053598197</v>
      </c>
      <c r="K491">
        <v>80.991573489900802</v>
      </c>
      <c r="L491">
        <v>5.77563320514761</v>
      </c>
      <c r="M491">
        <v>60.627532613453099</v>
      </c>
      <c r="N491">
        <v>6.7989254600982196</v>
      </c>
      <c r="O491">
        <v>69.151641864569797</v>
      </c>
      <c r="P491">
        <v>89.446148353012205</v>
      </c>
      <c r="Q491">
        <v>1</v>
      </c>
      <c r="R491">
        <v>1</v>
      </c>
      <c r="S491">
        <v>21.604938271604901</v>
      </c>
    </row>
    <row r="492" spans="1:19" x14ac:dyDescent="0.25">
      <c r="A492">
        <v>24</v>
      </c>
      <c r="B492">
        <v>180</v>
      </c>
      <c r="C492">
        <v>75</v>
      </c>
      <c r="D492" t="s">
        <v>19</v>
      </c>
      <c r="E492">
        <v>10.580933934406801</v>
      </c>
      <c r="F492">
        <v>38</v>
      </c>
      <c r="G492">
        <v>5</v>
      </c>
      <c r="H492">
        <v>77.483054319373807</v>
      </c>
      <c r="I492">
        <v>86.029006678848901</v>
      </c>
      <c r="J492">
        <v>257.84255178420102</v>
      </c>
      <c r="K492">
        <v>68.5735879094495</v>
      </c>
      <c r="L492">
        <v>5.96389909926895</v>
      </c>
      <c r="M492">
        <v>88.008946170321295</v>
      </c>
      <c r="N492">
        <v>6.5378755318952599</v>
      </c>
      <c r="O492">
        <v>53.364311598273602</v>
      </c>
      <c r="P492">
        <v>67.688640579039898</v>
      </c>
      <c r="Q492">
        <v>1</v>
      </c>
      <c r="R492">
        <v>1</v>
      </c>
      <c r="S492">
        <v>23.148148148148099</v>
      </c>
    </row>
    <row r="493" spans="1:19" x14ac:dyDescent="0.25">
      <c r="A493">
        <v>24</v>
      </c>
      <c r="B493">
        <v>167</v>
      </c>
      <c r="C493">
        <v>72</v>
      </c>
      <c r="D493" t="s">
        <v>21</v>
      </c>
      <c r="E493">
        <v>15.5576881077632</v>
      </c>
      <c r="F493">
        <v>31</v>
      </c>
      <c r="G493">
        <v>0</v>
      </c>
      <c r="H493">
        <v>84.303443402115803</v>
      </c>
      <c r="I493">
        <v>97.035088318169699</v>
      </c>
      <c r="J493">
        <v>272.07070149216599</v>
      </c>
      <c r="K493">
        <v>89.709609814817199</v>
      </c>
      <c r="L493">
        <v>6.3960724137503897</v>
      </c>
      <c r="M493">
        <v>84.162130053187894</v>
      </c>
      <c r="N493">
        <v>8.6142973524037796</v>
      </c>
      <c r="O493">
        <v>36.955038713363898</v>
      </c>
      <c r="P493">
        <v>87.288420233012801</v>
      </c>
      <c r="Q493">
        <v>0</v>
      </c>
      <c r="R493">
        <v>0</v>
      </c>
      <c r="S493">
        <v>25.816630212628599</v>
      </c>
    </row>
    <row r="494" spans="1:19" x14ac:dyDescent="0.25">
      <c r="A494">
        <v>21</v>
      </c>
      <c r="B494">
        <v>180</v>
      </c>
      <c r="C494">
        <v>75</v>
      </c>
      <c r="D494" t="s">
        <v>21</v>
      </c>
      <c r="E494">
        <v>8.33039235384771</v>
      </c>
      <c r="F494">
        <v>26</v>
      </c>
      <c r="G494">
        <v>0</v>
      </c>
      <c r="H494">
        <v>74.391823926612801</v>
      </c>
      <c r="I494">
        <v>88.281551574457694</v>
      </c>
      <c r="J494">
        <v>238.80863265635901</v>
      </c>
      <c r="K494">
        <v>83.464451206921197</v>
      </c>
      <c r="L494">
        <v>6.1711726196817702</v>
      </c>
      <c r="M494">
        <v>80.125363190319007</v>
      </c>
      <c r="N494">
        <v>8.0660717578566601</v>
      </c>
      <c r="O494">
        <v>52.665802877240701</v>
      </c>
      <c r="P494">
        <v>95.542178594486899</v>
      </c>
      <c r="Q494">
        <v>0</v>
      </c>
      <c r="R494">
        <v>0</v>
      </c>
      <c r="S494">
        <v>23.148148148148099</v>
      </c>
    </row>
    <row r="495" spans="1:19" x14ac:dyDescent="0.25">
      <c r="A495">
        <v>21</v>
      </c>
      <c r="B495">
        <v>173</v>
      </c>
      <c r="C495">
        <v>71</v>
      </c>
      <c r="D495" t="s">
        <v>19</v>
      </c>
      <c r="E495">
        <v>9.3503298921506008</v>
      </c>
      <c r="F495">
        <v>30</v>
      </c>
      <c r="G495">
        <v>2</v>
      </c>
      <c r="H495">
        <v>80.947244821507098</v>
      </c>
      <c r="I495">
        <v>91.278032993257298</v>
      </c>
      <c r="J495">
        <v>250.36707424326801</v>
      </c>
      <c r="K495">
        <v>87.803802720332499</v>
      </c>
      <c r="L495">
        <v>6.0717373209548198</v>
      </c>
      <c r="M495">
        <v>74.893902849515499</v>
      </c>
      <c r="N495">
        <v>6.76800961330179</v>
      </c>
      <c r="O495">
        <v>48.924787084410497</v>
      </c>
      <c r="P495">
        <v>57.696267690364799</v>
      </c>
      <c r="Q495">
        <v>1</v>
      </c>
      <c r="R495">
        <v>0</v>
      </c>
      <c r="S495">
        <v>23.722810651876099</v>
      </c>
    </row>
    <row r="496" spans="1:19" x14ac:dyDescent="0.25">
      <c r="A496">
        <v>19</v>
      </c>
      <c r="B496">
        <v>177</v>
      </c>
      <c r="C496">
        <v>81</v>
      </c>
      <c r="D496" t="s">
        <v>20</v>
      </c>
      <c r="E496">
        <v>8.1889989622094195</v>
      </c>
      <c r="F496">
        <v>16</v>
      </c>
      <c r="G496">
        <v>3</v>
      </c>
      <c r="H496">
        <v>69.849829959417093</v>
      </c>
      <c r="I496">
        <v>73.041018099466797</v>
      </c>
      <c r="J496">
        <v>251.00716547190001</v>
      </c>
      <c r="K496">
        <v>84.735104649116806</v>
      </c>
      <c r="L496">
        <v>5.8279994949205802</v>
      </c>
      <c r="M496">
        <v>70.714092298157894</v>
      </c>
      <c r="N496">
        <v>7.4761751015939</v>
      </c>
      <c r="O496">
        <v>56.242681692748498</v>
      </c>
      <c r="P496">
        <v>63.621151905434999</v>
      </c>
      <c r="Q496">
        <v>0</v>
      </c>
      <c r="R496">
        <v>1</v>
      </c>
      <c r="S496">
        <v>25.854639471416199</v>
      </c>
    </row>
    <row r="497" spans="1:19" x14ac:dyDescent="0.25">
      <c r="A497">
        <v>20</v>
      </c>
      <c r="B497">
        <v>176</v>
      </c>
      <c r="C497">
        <v>61</v>
      </c>
      <c r="D497" t="s">
        <v>19</v>
      </c>
      <c r="E497">
        <v>7.2886339060630201</v>
      </c>
      <c r="F497">
        <v>34</v>
      </c>
      <c r="G497">
        <v>1</v>
      </c>
      <c r="H497">
        <v>59.540436779469502</v>
      </c>
      <c r="I497">
        <v>87.642089585415903</v>
      </c>
      <c r="J497">
        <v>252.409353128932</v>
      </c>
      <c r="K497">
        <v>67.755588474659206</v>
      </c>
      <c r="L497">
        <v>5.78089830064562</v>
      </c>
      <c r="M497">
        <v>79.629961751970896</v>
      </c>
      <c r="N497">
        <v>7.7517647581528903</v>
      </c>
      <c r="O497">
        <v>72.277085194861101</v>
      </c>
      <c r="P497">
        <v>73.191835028201695</v>
      </c>
      <c r="Q497">
        <v>1</v>
      </c>
      <c r="R497">
        <v>1</v>
      </c>
      <c r="S497">
        <v>19.692665289256102</v>
      </c>
    </row>
    <row r="498" spans="1:19" x14ac:dyDescent="0.25">
      <c r="A498">
        <v>23</v>
      </c>
      <c r="B498">
        <v>176</v>
      </c>
      <c r="C498">
        <v>59</v>
      </c>
      <c r="D498" t="s">
        <v>19</v>
      </c>
      <c r="E498">
        <v>8.9554381642573997</v>
      </c>
      <c r="F498">
        <v>12</v>
      </c>
      <c r="G498">
        <v>2</v>
      </c>
      <c r="H498">
        <v>72.415326137862905</v>
      </c>
      <c r="I498">
        <v>82.400732711260801</v>
      </c>
      <c r="J498">
        <v>271.48691740282101</v>
      </c>
      <c r="K498">
        <v>86.337944793650294</v>
      </c>
      <c r="L498">
        <v>5.7391236391945597</v>
      </c>
      <c r="M498">
        <v>81.372346117888895</v>
      </c>
      <c r="N498">
        <v>6.6445903497153402</v>
      </c>
      <c r="O498">
        <v>50.932956754712599</v>
      </c>
      <c r="P498">
        <v>82.586043900270496</v>
      </c>
      <c r="Q498">
        <v>1</v>
      </c>
      <c r="R498">
        <v>1</v>
      </c>
      <c r="S498">
        <v>19.0470041322314</v>
      </c>
    </row>
    <row r="499" spans="1:19" x14ac:dyDescent="0.25">
      <c r="A499">
        <v>23</v>
      </c>
      <c r="B499">
        <v>185</v>
      </c>
      <c r="C499">
        <v>76</v>
      </c>
      <c r="D499" t="s">
        <v>22</v>
      </c>
      <c r="E499">
        <v>7.5869143996671298</v>
      </c>
      <c r="F499">
        <v>30</v>
      </c>
      <c r="G499">
        <v>0</v>
      </c>
      <c r="H499">
        <v>75.896255454599896</v>
      </c>
      <c r="I499">
        <v>86.186736382242898</v>
      </c>
      <c r="J499">
        <v>207.669804284626</v>
      </c>
      <c r="K499">
        <v>89.727244193058098</v>
      </c>
      <c r="L499">
        <v>5.7407649371369001</v>
      </c>
      <c r="M499">
        <v>88.144712402161304</v>
      </c>
      <c r="N499">
        <v>7.9748015469717801</v>
      </c>
      <c r="O499">
        <v>41.906659418360803</v>
      </c>
      <c r="P499">
        <v>72.462499901873301</v>
      </c>
      <c r="Q499">
        <v>1</v>
      </c>
      <c r="R499">
        <v>0</v>
      </c>
      <c r="S499">
        <v>22.205989773557299</v>
      </c>
    </row>
    <row r="500" spans="1:19" x14ac:dyDescent="0.25">
      <c r="A500">
        <v>21</v>
      </c>
      <c r="B500">
        <v>165</v>
      </c>
      <c r="C500">
        <v>71</v>
      </c>
      <c r="D500" t="s">
        <v>19</v>
      </c>
      <c r="E500">
        <v>10.2584764579814</v>
      </c>
      <c r="F500">
        <v>37</v>
      </c>
      <c r="G500">
        <v>1</v>
      </c>
      <c r="H500">
        <v>88.988700186380797</v>
      </c>
      <c r="I500">
        <v>86.834871733034703</v>
      </c>
      <c r="J500">
        <v>244.14512463603899</v>
      </c>
      <c r="K500">
        <v>97.377238646088799</v>
      </c>
      <c r="L500">
        <v>6.1241428925505597</v>
      </c>
      <c r="M500">
        <v>80.364632504827696</v>
      </c>
      <c r="N500">
        <v>6.5162030344712596</v>
      </c>
      <c r="O500">
        <v>67.745732859958196</v>
      </c>
      <c r="P500">
        <v>93.472507523414293</v>
      </c>
      <c r="Q500">
        <v>1</v>
      </c>
      <c r="R500">
        <v>0</v>
      </c>
      <c r="S500">
        <v>26.078971533516899</v>
      </c>
    </row>
    <row r="501" spans="1:19" x14ac:dyDescent="0.25">
      <c r="A501">
        <v>23</v>
      </c>
      <c r="B501">
        <v>180</v>
      </c>
      <c r="C501">
        <v>81</v>
      </c>
      <c r="D501" t="s">
        <v>20</v>
      </c>
      <c r="E501">
        <v>8.4120196833566396</v>
      </c>
      <c r="F501">
        <v>14</v>
      </c>
      <c r="G501">
        <v>0</v>
      </c>
      <c r="H501">
        <v>77.784211154764705</v>
      </c>
      <c r="I501">
        <v>74.560471324138703</v>
      </c>
      <c r="J501">
        <v>276.10616112932399</v>
      </c>
      <c r="K501">
        <v>87.550290849337102</v>
      </c>
      <c r="L501">
        <v>5.10480450361334</v>
      </c>
      <c r="M501">
        <v>91.580665842971101</v>
      </c>
      <c r="N501">
        <v>8.1782976076985001</v>
      </c>
      <c r="O501">
        <v>45.906779996553603</v>
      </c>
      <c r="P501">
        <v>86.159038711703801</v>
      </c>
      <c r="Q501">
        <v>1</v>
      </c>
      <c r="R501">
        <v>0</v>
      </c>
      <c r="S501">
        <v>25</v>
      </c>
    </row>
    <row r="502" spans="1:19" x14ac:dyDescent="0.25">
      <c r="A502">
        <v>24</v>
      </c>
      <c r="B502">
        <v>173</v>
      </c>
      <c r="C502">
        <v>60</v>
      </c>
      <c r="D502" t="s">
        <v>21</v>
      </c>
      <c r="E502">
        <v>14.5937852005053</v>
      </c>
      <c r="F502">
        <v>20</v>
      </c>
      <c r="G502">
        <v>2</v>
      </c>
      <c r="H502">
        <v>86.660737743194204</v>
      </c>
      <c r="I502">
        <v>84.3829060138453</v>
      </c>
      <c r="J502">
        <v>211.13636759874399</v>
      </c>
      <c r="K502">
        <v>84.625527665438895</v>
      </c>
      <c r="L502">
        <v>6.0803313765590703</v>
      </c>
      <c r="M502">
        <v>80.232140765190294</v>
      </c>
      <c r="N502">
        <v>7.9452762440746802</v>
      </c>
      <c r="O502">
        <v>46.348364781112899</v>
      </c>
      <c r="P502">
        <v>66.3256047977343</v>
      </c>
      <c r="Q502">
        <v>0</v>
      </c>
      <c r="R502">
        <v>0</v>
      </c>
      <c r="S502">
        <v>20.047445621303702</v>
      </c>
    </row>
    <row r="503" spans="1:19" x14ac:dyDescent="0.25">
      <c r="A503">
        <v>18</v>
      </c>
      <c r="B503">
        <v>167</v>
      </c>
      <c r="C503">
        <v>59</v>
      </c>
      <c r="D503" t="s">
        <v>21</v>
      </c>
      <c r="E503">
        <v>10.9024342392647</v>
      </c>
      <c r="F503">
        <v>13</v>
      </c>
      <c r="G503">
        <v>1</v>
      </c>
      <c r="H503">
        <v>69.869378910178199</v>
      </c>
      <c r="I503">
        <v>90.328402087203798</v>
      </c>
      <c r="J503">
        <v>239.09523073089201</v>
      </c>
      <c r="K503">
        <v>90.647316350166506</v>
      </c>
      <c r="L503">
        <v>6.0873328692975797</v>
      </c>
      <c r="M503">
        <v>70.252579239849197</v>
      </c>
      <c r="N503">
        <v>7.1802790367900302</v>
      </c>
      <c r="O503">
        <v>40.293528741978797</v>
      </c>
      <c r="P503">
        <v>75.788791035642802</v>
      </c>
      <c r="Q503">
        <v>1</v>
      </c>
      <c r="R503">
        <v>0</v>
      </c>
      <c r="S503">
        <v>21.155294202015099</v>
      </c>
    </row>
    <row r="504" spans="1:19" x14ac:dyDescent="0.25">
      <c r="A504">
        <v>22</v>
      </c>
      <c r="B504">
        <v>176</v>
      </c>
      <c r="C504">
        <v>73</v>
      </c>
      <c r="D504" t="s">
        <v>19</v>
      </c>
      <c r="E504">
        <v>7.1916985635719</v>
      </c>
      <c r="F504">
        <v>27</v>
      </c>
      <c r="G504">
        <v>1</v>
      </c>
      <c r="H504">
        <v>79.247899679841893</v>
      </c>
      <c r="I504">
        <v>86.591011740236695</v>
      </c>
      <c r="J504">
        <v>253.09661149821699</v>
      </c>
      <c r="K504">
        <v>95.672900643400297</v>
      </c>
      <c r="L504">
        <v>6.1681781912425704</v>
      </c>
      <c r="M504">
        <v>82.538137209430403</v>
      </c>
      <c r="N504">
        <v>7.9033290443680997</v>
      </c>
      <c r="O504">
        <v>47.5613968949419</v>
      </c>
      <c r="P504">
        <v>90.567604701893202</v>
      </c>
      <c r="Q504">
        <v>0</v>
      </c>
      <c r="R504">
        <v>0</v>
      </c>
      <c r="S504">
        <v>23.566632231404899</v>
      </c>
    </row>
    <row r="505" spans="1:19" x14ac:dyDescent="0.25">
      <c r="A505">
        <v>20</v>
      </c>
      <c r="B505">
        <v>193</v>
      </c>
      <c r="C505">
        <v>76</v>
      </c>
      <c r="D505" t="s">
        <v>21</v>
      </c>
      <c r="E505">
        <v>14.2032310126095</v>
      </c>
      <c r="F505">
        <v>13</v>
      </c>
      <c r="G505">
        <v>1</v>
      </c>
      <c r="H505">
        <v>76.415670430721505</v>
      </c>
      <c r="I505">
        <v>86.866595787841305</v>
      </c>
      <c r="J505">
        <v>193.746050762934</v>
      </c>
      <c r="K505">
        <v>84.888529258607207</v>
      </c>
      <c r="L505">
        <v>6.0343362660802997</v>
      </c>
      <c r="M505">
        <v>83.093885692457704</v>
      </c>
      <c r="N505">
        <v>6.99577667392614</v>
      </c>
      <c r="O505">
        <v>56.454994359756398</v>
      </c>
      <c r="P505">
        <v>68.463027657172105</v>
      </c>
      <c r="Q505">
        <v>1</v>
      </c>
      <c r="R505">
        <v>0</v>
      </c>
      <c r="S505">
        <v>20.4032323015382</v>
      </c>
    </row>
    <row r="506" spans="1:19" x14ac:dyDescent="0.25">
      <c r="A506">
        <v>24</v>
      </c>
      <c r="B506">
        <v>183</v>
      </c>
      <c r="C506">
        <v>71</v>
      </c>
      <c r="D506" t="s">
        <v>20</v>
      </c>
      <c r="E506">
        <v>9.4984101245071706</v>
      </c>
      <c r="F506">
        <v>28</v>
      </c>
      <c r="G506">
        <v>2</v>
      </c>
      <c r="H506">
        <v>61.227626493139503</v>
      </c>
      <c r="I506">
        <v>77.039051950311602</v>
      </c>
      <c r="J506">
        <v>237.93169414068501</v>
      </c>
      <c r="K506">
        <v>92.530732004964904</v>
      </c>
      <c r="L506">
        <v>5.7160708686934996</v>
      </c>
      <c r="M506">
        <v>57.8308809193637</v>
      </c>
      <c r="N506">
        <v>7.3777974930191901</v>
      </c>
      <c r="O506">
        <v>59.4702573545866</v>
      </c>
      <c r="P506">
        <v>63.557843613619703</v>
      </c>
      <c r="Q506">
        <v>0</v>
      </c>
      <c r="R506">
        <v>1</v>
      </c>
      <c r="S506">
        <v>21.200991370300599</v>
      </c>
    </row>
    <row r="507" spans="1:19" x14ac:dyDescent="0.25">
      <c r="A507">
        <v>20</v>
      </c>
      <c r="B507">
        <v>175</v>
      </c>
      <c r="C507">
        <v>70</v>
      </c>
      <c r="D507" t="s">
        <v>21</v>
      </c>
      <c r="E507">
        <v>5.6103676298059302</v>
      </c>
      <c r="F507">
        <v>19</v>
      </c>
      <c r="G507">
        <v>1</v>
      </c>
      <c r="H507">
        <v>77.980822650892904</v>
      </c>
      <c r="I507">
        <v>93.569313265200094</v>
      </c>
      <c r="J507">
        <v>216.28599476506801</v>
      </c>
      <c r="K507">
        <v>75.108100415375503</v>
      </c>
      <c r="L507">
        <v>6.5442329342082202</v>
      </c>
      <c r="M507">
        <v>78.688640933056405</v>
      </c>
      <c r="N507">
        <v>8.0790805428981294</v>
      </c>
      <c r="O507">
        <v>39.989484331198597</v>
      </c>
      <c r="P507">
        <v>82.085177530632293</v>
      </c>
      <c r="Q507">
        <v>1</v>
      </c>
      <c r="R507">
        <v>0</v>
      </c>
      <c r="S507">
        <v>22.857142857142801</v>
      </c>
    </row>
    <row r="508" spans="1:19" x14ac:dyDescent="0.25">
      <c r="A508">
        <v>24</v>
      </c>
      <c r="B508">
        <v>178</v>
      </c>
      <c r="C508">
        <v>79</v>
      </c>
      <c r="D508" t="s">
        <v>21</v>
      </c>
      <c r="E508">
        <v>8.6357630646827293</v>
      </c>
      <c r="F508">
        <v>39</v>
      </c>
      <c r="G508">
        <v>1</v>
      </c>
      <c r="H508">
        <v>74.191920451330006</v>
      </c>
      <c r="I508">
        <v>78.292082698379801</v>
      </c>
      <c r="J508">
        <v>237.00462909286301</v>
      </c>
      <c r="K508">
        <v>89.332509996852096</v>
      </c>
      <c r="L508">
        <v>6.22910402182755</v>
      </c>
      <c r="M508">
        <v>73.895772797767705</v>
      </c>
      <c r="N508">
        <v>7.1177081650720302</v>
      </c>
      <c r="O508">
        <v>74.880012364932298</v>
      </c>
      <c r="P508">
        <v>63.211798542080999</v>
      </c>
      <c r="Q508">
        <v>0</v>
      </c>
      <c r="R508">
        <v>1</v>
      </c>
      <c r="S508">
        <v>24.9337204898371</v>
      </c>
    </row>
    <row r="509" spans="1:19" x14ac:dyDescent="0.25">
      <c r="A509">
        <v>18</v>
      </c>
      <c r="B509">
        <v>181</v>
      </c>
      <c r="C509">
        <v>59</v>
      </c>
      <c r="D509" t="s">
        <v>20</v>
      </c>
      <c r="E509">
        <v>5</v>
      </c>
      <c r="F509">
        <v>39</v>
      </c>
      <c r="G509">
        <v>1</v>
      </c>
      <c r="H509">
        <v>87.4058761850916</v>
      </c>
      <c r="I509">
        <v>86.977966960413795</v>
      </c>
      <c r="J509">
        <v>239.778265862886</v>
      </c>
      <c r="K509">
        <v>84.997370939413301</v>
      </c>
      <c r="L509">
        <v>5.9606356227109103</v>
      </c>
      <c r="M509">
        <v>92.253637309613296</v>
      </c>
      <c r="N509">
        <v>8.8809184338028899</v>
      </c>
      <c r="O509">
        <v>65.670983211806401</v>
      </c>
      <c r="P509">
        <v>52.529845455973003</v>
      </c>
      <c r="Q509">
        <v>1</v>
      </c>
      <c r="R509">
        <v>0</v>
      </c>
      <c r="S509">
        <v>18.0092182778303</v>
      </c>
    </row>
    <row r="510" spans="1:19" x14ac:dyDescent="0.25">
      <c r="A510">
        <v>23</v>
      </c>
      <c r="B510">
        <v>171</v>
      </c>
      <c r="C510">
        <v>78</v>
      </c>
      <c r="D510" t="s">
        <v>19</v>
      </c>
      <c r="E510">
        <v>8.13089631527364</v>
      </c>
      <c r="F510">
        <v>22</v>
      </c>
      <c r="G510">
        <v>3</v>
      </c>
      <c r="H510">
        <v>68.124008900889905</v>
      </c>
      <c r="I510">
        <v>68.528868000536406</v>
      </c>
      <c r="J510">
        <v>267.41198821993601</v>
      </c>
      <c r="K510">
        <v>76.707764901325802</v>
      </c>
      <c r="L510">
        <v>5.9271946677284797</v>
      </c>
      <c r="M510">
        <v>88.909518918987104</v>
      </c>
      <c r="N510">
        <v>6.9371215421901002</v>
      </c>
      <c r="O510">
        <v>56.4332105324686</v>
      </c>
      <c r="P510">
        <v>71.8464500280148</v>
      </c>
      <c r="Q510">
        <v>0</v>
      </c>
      <c r="R510">
        <v>1</v>
      </c>
      <c r="S510">
        <v>26.674874320303601</v>
      </c>
    </row>
    <row r="511" spans="1:19" x14ac:dyDescent="0.25">
      <c r="A511">
        <v>21</v>
      </c>
      <c r="B511">
        <v>175</v>
      </c>
      <c r="C511">
        <v>81</v>
      </c>
      <c r="D511" t="s">
        <v>20</v>
      </c>
      <c r="E511">
        <v>10.214932984646</v>
      </c>
      <c r="F511">
        <v>34</v>
      </c>
      <c r="G511">
        <v>3</v>
      </c>
      <c r="H511">
        <v>72.329224084423899</v>
      </c>
      <c r="I511">
        <v>90.816076304912002</v>
      </c>
      <c r="J511">
        <v>232.607959358784</v>
      </c>
      <c r="K511">
        <v>87.465145668635799</v>
      </c>
      <c r="L511">
        <v>5.9227998775988802</v>
      </c>
      <c r="M511">
        <v>79.093352872917293</v>
      </c>
      <c r="N511">
        <v>8.2002419701934297</v>
      </c>
      <c r="O511">
        <v>47.315659190353202</v>
      </c>
      <c r="P511">
        <v>64.012385409040505</v>
      </c>
      <c r="Q511">
        <v>1</v>
      </c>
      <c r="R511">
        <v>0</v>
      </c>
      <c r="S511">
        <v>26.4489795918367</v>
      </c>
    </row>
    <row r="512" spans="1:19" x14ac:dyDescent="0.25">
      <c r="A512">
        <v>19</v>
      </c>
      <c r="B512">
        <v>164</v>
      </c>
      <c r="C512">
        <v>73</v>
      </c>
      <c r="D512" t="s">
        <v>21</v>
      </c>
      <c r="E512">
        <v>11.2485404319031</v>
      </c>
      <c r="F512">
        <v>14</v>
      </c>
      <c r="G512">
        <v>3</v>
      </c>
      <c r="H512">
        <v>63.742404170244797</v>
      </c>
      <c r="I512">
        <v>72.042663065484405</v>
      </c>
      <c r="J512">
        <v>244.731964902024</v>
      </c>
      <c r="K512">
        <v>76.272575756404393</v>
      </c>
      <c r="L512">
        <v>5.4715812123064103</v>
      </c>
      <c r="M512">
        <v>76.671427820209203</v>
      </c>
      <c r="N512">
        <v>6.3973186663566697</v>
      </c>
      <c r="O512">
        <v>72.151034800847697</v>
      </c>
      <c r="P512">
        <v>71.280834640632193</v>
      </c>
      <c r="Q512">
        <v>0</v>
      </c>
      <c r="R512">
        <v>1</v>
      </c>
      <c r="S512">
        <v>27.141582391433602</v>
      </c>
    </row>
    <row r="513" spans="1:19" x14ac:dyDescent="0.25">
      <c r="A513">
        <v>19</v>
      </c>
      <c r="B513">
        <v>180</v>
      </c>
      <c r="C513">
        <v>81</v>
      </c>
      <c r="D513" t="s">
        <v>19</v>
      </c>
      <c r="E513">
        <v>16.349169948268901</v>
      </c>
      <c r="F513">
        <v>18</v>
      </c>
      <c r="G513">
        <v>0</v>
      </c>
      <c r="H513">
        <v>74.532483127743603</v>
      </c>
      <c r="I513">
        <v>62.6141829954204</v>
      </c>
      <c r="J513">
        <v>249.653227615801</v>
      </c>
      <c r="K513">
        <v>82.875943387332299</v>
      </c>
      <c r="L513">
        <v>6.2486352288084497</v>
      </c>
      <c r="M513">
        <v>79.932540967758797</v>
      </c>
      <c r="N513">
        <v>6.4028717532145301</v>
      </c>
      <c r="O513">
        <v>36.0100212679964</v>
      </c>
      <c r="P513">
        <v>63.5618131885902</v>
      </c>
      <c r="Q513">
        <v>0</v>
      </c>
      <c r="R513">
        <v>1</v>
      </c>
      <c r="S513">
        <v>25</v>
      </c>
    </row>
    <row r="514" spans="1:19" x14ac:dyDescent="0.25">
      <c r="A514">
        <v>19</v>
      </c>
      <c r="B514">
        <v>167</v>
      </c>
      <c r="C514">
        <v>78</v>
      </c>
      <c r="D514" t="s">
        <v>21</v>
      </c>
      <c r="E514">
        <v>8.3129633012949</v>
      </c>
      <c r="F514">
        <v>9</v>
      </c>
      <c r="G514">
        <v>1</v>
      </c>
      <c r="H514">
        <v>81.127345618092505</v>
      </c>
      <c r="I514">
        <v>81.472319776131201</v>
      </c>
      <c r="J514">
        <v>254.14921775376899</v>
      </c>
      <c r="K514">
        <v>84.171466877722906</v>
      </c>
      <c r="L514">
        <v>6.2967507582291002</v>
      </c>
      <c r="M514">
        <v>83.511247356581094</v>
      </c>
      <c r="N514">
        <v>8.9124269745226101</v>
      </c>
      <c r="O514">
        <v>52.143045784544</v>
      </c>
      <c r="P514">
        <v>76.385253199737093</v>
      </c>
      <c r="Q514">
        <v>0</v>
      </c>
      <c r="R514">
        <v>0</v>
      </c>
      <c r="S514">
        <v>27.968016063680999</v>
      </c>
    </row>
    <row r="515" spans="1:19" x14ac:dyDescent="0.25">
      <c r="A515">
        <v>21</v>
      </c>
      <c r="B515">
        <v>179</v>
      </c>
      <c r="C515">
        <v>76</v>
      </c>
      <c r="D515" t="s">
        <v>19</v>
      </c>
      <c r="E515">
        <v>9.5808427419610993</v>
      </c>
      <c r="F515">
        <v>8</v>
      </c>
      <c r="G515">
        <v>3</v>
      </c>
      <c r="H515">
        <v>70.531940888991301</v>
      </c>
      <c r="I515">
        <v>71.286526495565099</v>
      </c>
      <c r="J515">
        <v>303.07011485469297</v>
      </c>
      <c r="K515">
        <v>88.836296180330507</v>
      </c>
      <c r="L515">
        <v>5.5866037801374304</v>
      </c>
      <c r="M515">
        <v>69.183702086548294</v>
      </c>
      <c r="N515">
        <v>6.3769779587295998</v>
      </c>
      <c r="O515">
        <v>67.575454888321204</v>
      </c>
      <c r="P515">
        <v>73.951053157987104</v>
      </c>
      <c r="Q515">
        <v>0</v>
      </c>
      <c r="R515">
        <v>1</v>
      </c>
      <c r="S515">
        <v>23.719609250647601</v>
      </c>
    </row>
    <row r="516" spans="1:19" x14ac:dyDescent="0.25">
      <c r="A516">
        <v>21</v>
      </c>
      <c r="B516">
        <v>180</v>
      </c>
      <c r="C516">
        <v>78</v>
      </c>
      <c r="D516" t="s">
        <v>20</v>
      </c>
      <c r="E516">
        <v>8.9913865869181109</v>
      </c>
      <c r="F516">
        <v>7</v>
      </c>
      <c r="G516">
        <v>0</v>
      </c>
      <c r="H516">
        <v>84.900228335664096</v>
      </c>
      <c r="I516">
        <v>84.686499118728705</v>
      </c>
      <c r="J516">
        <v>235.13036724722301</v>
      </c>
      <c r="K516">
        <v>93.728034843970704</v>
      </c>
      <c r="L516">
        <v>5.8994836693285997</v>
      </c>
      <c r="M516">
        <v>78.696793733794394</v>
      </c>
      <c r="N516">
        <v>8.9869278516423297</v>
      </c>
      <c r="O516">
        <v>51.720122151005903</v>
      </c>
      <c r="P516">
        <v>78.431603379063304</v>
      </c>
      <c r="Q516">
        <v>1</v>
      </c>
      <c r="R516">
        <v>0</v>
      </c>
      <c r="S516">
        <v>24.074074074074002</v>
      </c>
    </row>
    <row r="517" spans="1:19" x14ac:dyDescent="0.25">
      <c r="A517">
        <v>24</v>
      </c>
      <c r="B517">
        <v>184</v>
      </c>
      <c r="C517">
        <v>64</v>
      </c>
      <c r="D517" t="s">
        <v>22</v>
      </c>
      <c r="E517">
        <v>10.0273954690627</v>
      </c>
      <c r="F517">
        <v>13</v>
      </c>
      <c r="G517">
        <v>0</v>
      </c>
      <c r="H517">
        <v>68.225237340962593</v>
      </c>
      <c r="I517">
        <v>89.977706732056902</v>
      </c>
      <c r="J517">
        <v>206.830562471972</v>
      </c>
      <c r="K517">
        <v>79.429267123948506</v>
      </c>
      <c r="L517">
        <v>6.6201717848788597</v>
      </c>
      <c r="M517">
        <v>89.410860075182399</v>
      </c>
      <c r="N517">
        <v>7.8584814765747604</v>
      </c>
      <c r="O517">
        <v>43.539430130550102</v>
      </c>
      <c r="P517">
        <v>67.263962312512405</v>
      </c>
      <c r="Q517">
        <v>0</v>
      </c>
      <c r="R517">
        <v>0</v>
      </c>
      <c r="S517">
        <v>18.903591682419599</v>
      </c>
    </row>
    <row r="518" spans="1:19" x14ac:dyDescent="0.25">
      <c r="A518">
        <v>24</v>
      </c>
      <c r="B518">
        <v>175</v>
      </c>
      <c r="C518">
        <v>68</v>
      </c>
      <c r="D518" t="s">
        <v>22</v>
      </c>
      <c r="E518">
        <v>8.4340881098447493</v>
      </c>
      <c r="F518">
        <v>39</v>
      </c>
      <c r="G518">
        <v>0</v>
      </c>
      <c r="H518">
        <v>83.010722856330403</v>
      </c>
      <c r="I518">
        <v>86.121081664807704</v>
      </c>
      <c r="J518">
        <v>229.900477390242</v>
      </c>
      <c r="K518">
        <v>84.525926371673805</v>
      </c>
      <c r="L518">
        <v>6.2197831378245096</v>
      </c>
      <c r="M518">
        <v>85.546755263075795</v>
      </c>
      <c r="N518">
        <v>8.4042482096402296</v>
      </c>
      <c r="O518">
        <v>30.729671125138601</v>
      </c>
      <c r="P518">
        <v>70.400016975195598</v>
      </c>
      <c r="Q518">
        <v>1</v>
      </c>
      <c r="R518">
        <v>0</v>
      </c>
      <c r="S518">
        <v>22.204081632653001</v>
      </c>
    </row>
    <row r="519" spans="1:19" x14ac:dyDescent="0.25">
      <c r="A519">
        <v>24</v>
      </c>
      <c r="B519">
        <v>179</v>
      </c>
      <c r="C519">
        <v>59</v>
      </c>
      <c r="D519" t="s">
        <v>19</v>
      </c>
      <c r="E519">
        <v>8.7412223700652891</v>
      </c>
      <c r="F519">
        <v>18</v>
      </c>
      <c r="G519">
        <v>1</v>
      </c>
      <c r="H519">
        <v>60.748247046534402</v>
      </c>
      <c r="I519">
        <v>83.879884854465701</v>
      </c>
      <c r="J519">
        <v>286.57372044152203</v>
      </c>
      <c r="K519">
        <v>84.975470343903694</v>
      </c>
      <c r="L519">
        <v>5.7660516626355598</v>
      </c>
      <c r="M519">
        <v>73.033853353880005</v>
      </c>
      <c r="N519">
        <v>6.6676055122702502</v>
      </c>
      <c r="O519">
        <v>61.438969527506103</v>
      </c>
      <c r="P519">
        <v>65.603495020797993</v>
      </c>
      <c r="Q519">
        <v>0</v>
      </c>
      <c r="R519">
        <v>1</v>
      </c>
      <c r="S519">
        <v>18.413907181423799</v>
      </c>
    </row>
    <row r="520" spans="1:19" x14ac:dyDescent="0.25">
      <c r="A520">
        <v>23</v>
      </c>
      <c r="B520">
        <v>182</v>
      </c>
      <c r="C520">
        <v>76</v>
      </c>
      <c r="D520" t="s">
        <v>21</v>
      </c>
      <c r="E520">
        <v>11.3952296583038</v>
      </c>
      <c r="F520">
        <v>10</v>
      </c>
      <c r="G520">
        <v>1</v>
      </c>
      <c r="H520">
        <v>73.137070408589395</v>
      </c>
      <c r="I520">
        <v>79.855310519591896</v>
      </c>
      <c r="J520">
        <v>226.99633110614201</v>
      </c>
      <c r="K520">
        <v>88.400986260914095</v>
      </c>
      <c r="L520">
        <v>6.2088679206608299</v>
      </c>
      <c r="M520">
        <v>76.958617861486005</v>
      </c>
      <c r="N520">
        <v>8.5866209263031692</v>
      </c>
      <c r="O520">
        <v>51.413279828463097</v>
      </c>
      <c r="P520">
        <v>83.955640828369994</v>
      </c>
      <c r="Q520">
        <v>0</v>
      </c>
      <c r="R520">
        <v>0</v>
      </c>
      <c r="S520">
        <v>22.944088878154801</v>
      </c>
    </row>
    <row r="521" spans="1:19" x14ac:dyDescent="0.25">
      <c r="A521">
        <v>24</v>
      </c>
      <c r="B521">
        <v>185</v>
      </c>
      <c r="C521">
        <v>61</v>
      </c>
      <c r="D521" t="s">
        <v>19</v>
      </c>
      <c r="E521">
        <v>6.4606710156845599</v>
      </c>
      <c r="F521">
        <v>29</v>
      </c>
      <c r="G521">
        <v>2</v>
      </c>
      <c r="H521">
        <v>69.890440941895804</v>
      </c>
      <c r="I521">
        <v>75.410627510373899</v>
      </c>
      <c r="J521">
        <v>264.62054083050799</v>
      </c>
      <c r="K521">
        <v>80.367539712836404</v>
      </c>
      <c r="L521">
        <v>5.90213252448138</v>
      </c>
      <c r="M521">
        <v>63.5175849772167</v>
      </c>
      <c r="N521">
        <v>6.4711774270265501</v>
      </c>
      <c r="O521">
        <v>60.4834182515118</v>
      </c>
      <c r="P521">
        <v>74.378631686595597</v>
      </c>
      <c r="Q521">
        <v>0</v>
      </c>
      <c r="R521">
        <v>1</v>
      </c>
      <c r="S521">
        <v>17.823228634039399</v>
      </c>
    </row>
    <row r="522" spans="1:19" x14ac:dyDescent="0.25">
      <c r="A522">
        <v>18</v>
      </c>
      <c r="B522">
        <v>183</v>
      </c>
      <c r="C522">
        <v>78</v>
      </c>
      <c r="D522" t="s">
        <v>20</v>
      </c>
      <c r="E522">
        <v>8.9122343038731699</v>
      </c>
      <c r="F522">
        <v>35</v>
      </c>
      <c r="G522">
        <v>3</v>
      </c>
      <c r="H522">
        <v>66.573783557531797</v>
      </c>
      <c r="I522">
        <v>82.515359530412098</v>
      </c>
      <c r="J522">
        <v>288.75402614713698</v>
      </c>
      <c r="K522">
        <v>81.635598294735203</v>
      </c>
      <c r="L522">
        <v>5.7291929803427397</v>
      </c>
      <c r="M522">
        <v>74.293997050720705</v>
      </c>
      <c r="N522">
        <v>6.7139164441017698</v>
      </c>
      <c r="O522">
        <v>51.870777815007003</v>
      </c>
      <c r="P522">
        <v>73.770939609593597</v>
      </c>
      <c r="Q522">
        <v>0</v>
      </c>
      <c r="R522">
        <v>1</v>
      </c>
      <c r="S522">
        <v>23.2912299561049</v>
      </c>
    </row>
    <row r="523" spans="1:19" x14ac:dyDescent="0.25">
      <c r="A523">
        <v>21</v>
      </c>
      <c r="B523">
        <v>192</v>
      </c>
      <c r="C523">
        <v>59</v>
      </c>
      <c r="D523" t="s">
        <v>22</v>
      </c>
      <c r="E523">
        <v>9.4388379099752306</v>
      </c>
      <c r="F523">
        <v>39</v>
      </c>
      <c r="G523">
        <v>2</v>
      </c>
      <c r="H523">
        <v>93.900051456457206</v>
      </c>
      <c r="I523">
        <v>82.774614835988501</v>
      </c>
      <c r="J523">
        <v>263.162273170753</v>
      </c>
      <c r="K523">
        <v>82.152445481322204</v>
      </c>
      <c r="L523">
        <v>6.13388559051557</v>
      </c>
      <c r="M523">
        <v>79.002039085638003</v>
      </c>
      <c r="N523">
        <v>7.1286349655356096</v>
      </c>
      <c r="O523">
        <v>43.689842437630197</v>
      </c>
      <c r="P523">
        <v>81.743426737113197</v>
      </c>
      <c r="Q523">
        <v>1</v>
      </c>
      <c r="R523">
        <v>0</v>
      </c>
      <c r="S523">
        <v>16.0047743055555</v>
      </c>
    </row>
    <row r="524" spans="1:19" x14ac:dyDescent="0.25">
      <c r="A524">
        <v>22</v>
      </c>
      <c r="B524">
        <v>174</v>
      </c>
      <c r="C524">
        <v>73</v>
      </c>
      <c r="D524" t="s">
        <v>21</v>
      </c>
      <c r="E524">
        <v>11.051320054676401</v>
      </c>
      <c r="F524">
        <v>23</v>
      </c>
      <c r="G524">
        <v>1</v>
      </c>
      <c r="H524">
        <v>88.049061963225398</v>
      </c>
      <c r="I524">
        <v>85.073776895895705</v>
      </c>
      <c r="J524">
        <v>223.275249188023</v>
      </c>
      <c r="K524">
        <v>96.2573103203855</v>
      </c>
      <c r="L524">
        <v>6.3956113620158801</v>
      </c>
      <c r="M524">
        <v>78.332231084952298</v>
      </c>
      <c r="N524">
        <v>7.10848801291288</v>
      </c>
      <c r="O524">
        <v>41.616774060141303</v>
      </c>
      <c r="P524">
        <v>74.350331107001097</v>
      </c>
      <c r="Q524">
        <v>0</v>
      </c>
      <c r="R524">
        <v>0</v>
      </c>
      <c r="S524">
        <v>24.111507464658398</v>
      </c>
    </row>
    <row r="525" spans="1:19" x14ac:dyDescent="0.25">
      <c r="A525">
        <v>23</v>
      </c>
      <c r="B525">
        <v>162</v>
      </c>
      <c r="C525">
        <v>65</v>
      </c>
      <c r="D525" t="s">
        <v>20</v>
      </c>
      <c r="E525">
        <v>11.673336912137801</v>
      </c>
      <c r="F525">
        <v>33</v>
      </c>
      <c r="G525">
        <v>0</v>
      </c>
      <c r="H525">
        <v>62.6102290271442</v>
      </c>
      <c r="I525">
        <v>74.137037841250006</v>
      </c>
      <c r="J525">
        <v>266.34299919281</v>
      </c>
      <c r="K525">
        <v>94.441794023877605</v>
      </c>
      <c r="L525">
        <v>6.0770700489050604</v>
      </c>
      <c r="M525">
        <v>72.994088925194106</v>
      </c>
      <c r="N525">
        <v>8.3326785106623102</v>
      </c>
      <c r="O525">
        <v>68.258993288661202</v>
      </c>
      <c r="P525">
        <v>72.925266614944704</v>
      </c>
      <c r="Q525">
        <v>0</v>
      </c>
      <c r="R525">
        <v>1</v>
      </c>
      <c r="S525">
        <v>24.767565919829199</v>
      </c>
    </row>
    <row r="526" spans="1:19" x14ac:dyDescent="0.25">
      <c r="A526">
        <v>22</v>
      </c>
      <c r="B526">
        <v>193</v>
      </c>
      <c r="C526">
        <v>63</v>
      </c>
      <c r="D526" t="s">
        <v>20</v>
      </c>
      <c r="E526">
        <v>12.080876528287799</v>
      </c>
      <c r="F526">
        <v>5</v>
      </c>
      <c r="G526">
        <v>3</v>
      </c>
      <c r="H526">
        <v>71.1023471010554</v>
      </c>
      <c r="I526">
        <v>79.336536328469606</v>
      </c>
      <c r="J526">
        <v>249.85272320015901</v>
      </c>
      <c r="K526">
        <v>87.320340277942506</v>
      </c>
      <c r="L526">
        <v>5.98639795556445</v>
      </c>
      <c r="M526">
        <v>77.823982235985895</v>
      </c>
      <c r="N526">
        <v>7.4789766302946896</v>
      </c>
      <c r="O526">
        <v>60.744226402349199</v>
      </c>
      <c r="P526">
        <v>66.208502693528601</v>
      </c>
      <c r="Q526">
        <v>0</v>
      </c>
      <c r="R526">
        <v>1</v>
      </c>
      <c r="S526">
        <v>16.9132057236435</v>
      </c>
    </row>
    <row r="527" spans="1:19" x14ac:dyDescent="0.25">
      <c r="A527">
        <v>20</v>
      </c>
      <c r="B527">
        <v>180</v>
      </c>
      <c r="C527">
        <v>89</v>
      </c>
      <c r="D527" t="s">
        <v>19</v>
      </c>
      <c r="E527">
        <v>14.9003809581783</v>
      </c>
      <c r="F527">
        <v>17</v>
      </c>
      <c r="G527">
        <v>0</v>
      </c>
      <c r="H527">
        <v>72.629091174650995</v>
      </c>
      <c r="I527">
        <v>82.874236897279999</v>
      </c>
      <c r="J527">
        <v>271.557788374111</v>
      </c>
      <c r="K527">
        <v>87.967318106101899</v>
      </c>
      <c r="L527">
        <v>5.9417211986130898</v>
      </c>
      <c r="M527">
        <v>74.9580916288661</v>
      </c>
      <c r="N527">
        <v>6.2431105072904201</v>
      </c>
      <c r="O527">
        <v>61.153681240377203</v>
      </c>
      <c r="P527">
        <v>79.992809796457806</v>
      </c>
      <c r="Q527">
        <v>1</v>
      </c>
      <c r="R527">
        <v>1</v>
      </c>
      <c r="S527">
        <v>27.469135802469101</v>
      </c>
    </row>
    <row r="528" spans="1:19" x14ac:dyDescent="0.25">
      <c r="A528">
        <v>19</v>
      </c>
      <c r="B528">
        <v>178</v>
      </c>
      <c r="C528">
        <v>85</v>
      </c>
      <c r="D528" t="s">
        <v>21</v>
      </c>
      <c r="E528">
        <v>10.473256727014901</v>
      </c>
      <c r="F528">
        <v>26</v>
      </c>
      <c r="G528">
        <v>1</v>
      </c>
      <c r="H528">
        <v>75.742270640431002</v>
      </c>
      <c r="I528">
        <v>82.767815742391505</v>
      </c>
      <c r="J528">
        <v>242.56237128071899</v>
      </c>
      <c r="K528">
        <v>91.549460215082703</v>
      </c>
      <c r="L528">
        <v>6.4525961459594203</v>
      </c>
      <c r="M528">
        <v>82.876741270523993</v>
      </c>
      <c r="N528">
        <v>7.59420957503227</v>
      </c>
      <c r="O528">
        <v>50.171254400039501</v>
      </c>
      <c r="P528">
        <v>77.7555151777444</v>
      </c>
      <c r="Q528">
        <v>1</v>
      </c>
      <c r="R528">
        <v>0</v>
      </c>
      <c r="S528">
        <v>26.827420780204498</v>
      </c>
    </row>
    <row r="529" spans="1:19" x14ac:dyDescent="0.25">
      <c r="A529">
        <v>23</v>
      </c>
      <c r="B529">
        <v>165</v>
      </c>
      <c r="C529">
        <v>71</v>
      </c>
      <c r="D529" t="s">
        <v>22</v>
      </c>
      <c r="E529">
        <v>11.0695243934784</v>
      </c>
      <c r="F529">
        <v>15</v>
      </c>
      <c r="G529">
        <v>0</v>
      </c>
      <c r="H529">
        <v>80.330880451209893</v>
      </c>
      <c r="I529">
        <v>87.183216872103699</v>
      </c>
      <c r="J529">
        <v>227.07188861017599</v>
      </c>
      <c r="K529">
        <v>91.615543531035897</v>
      </c>
      <c r="L529">
        <v>6.0026168688996098</v>
      </c>
      <c r="M529">
        <v>71.644623440203006</v>
      </c>
      <c r="N529">
        <v>7.8321236981749198</v>
      </c>
      <c r="O529">
        <v>62.185139572409199</v>
      </c>
      <c r="P529">
        <v>58.1036801067334</v>
      </c>
      <c r="Q529">
        <v>0</v>
      </c>
      <c r="R529">
        <v>1</v>
      </c>
      <c r="S529">
        <v>26.078971533516899</v>
      </c>
    </row>
    <row r="530" spans="1:19" x14ac:dyDescent="0.25">
      <c r="A530">
        <v>24</v>
      </c>
      <c r="B530">
        <v>175</v>
      </c>
      <c r="C530">
        <v>94</v>
      </c>
      <c r="D530" t="s">
        <v>20</v>
      </c>
      <c r="E530">
        <v>8.5976332375414799</v>
      </c>
      <c r="F530">
        <v>5</v>
      </c>
      <c r="G530">
        <v>1</v>
      </c>
      <c r="H530">
        <v>77.472888471419296</v>
      </c>
      <c r="I530">
        <v>91.060722100095603</v>
      </c>
      <c r="J530">
        <v>256.735944361892</v>
      </c>
      <c r="K530">
        <v>82.708419037417798</v>
      </c>
      <c r="L530">
        <v>5.8887899397767196</v>
      </c>
      <c r="M530">
        <v>79.639633236876193</v>
      </c>
      <c r="N530">
        <v>8.1387764834279697</v>
      </c>
      <c r="O530">
        <v>42.9614792703291</v>
      </c>
      <c r="P530">
        <v>65.741926247979805</v>
      </c>
      <c r="Q530">
        <v>1</v>
      </c>
      <c r="R530">
        <v>0</v>
      </c>
      <c r="S530">
        <v>30.6938775510204</v>
      </c>
    </row>
    <row r="531" spans="1:19" x14ac:dyDescent="0.25">
      <c r="A531">
        <v>19</v>
      </c>
      <c r="B531">
        <v>167</v>
      </c>
      <c r="C531">
        <v>69</v>
      </c>
      <c r="D531" t="s">
        <v>21</v>
      </c>
      <c r="E531">
        <v>10.0337152763198</v>
      </c>
      <c r="F531">
        <v>32</v>
      </c>
      <c r="G531">
        <v>0</v>
      </c>
      <c r="H531">
        <v>73.866119179161799</v>
      </c>
      <c r="I531">
        <v>79.901720426594196</v>
      </c>
      <c r="J531">
        <v>228.61454618136699</v>
      </c>
      <c r="K531">
        <v>80.576104774505595</v>
      </c>
      <c r="L531">
        <v>6.3913489394980099</v>
      </c>
      <c r="M531">
        <v>93.346344272840994</v>
      </c>
      <c r="N531">
        <v>7.1476155187777302</v>
      </c>
      <c r="O531">
        <v>68.2116287808268</v>
      </c>
      <c r="P531">
        <v>67.215751428736098</v>
      </c>
      <c r="Q531">
        <v>1</v>
      </c>
      <c r="R531">
        <v>0</v>
      </c>
      <c r="S531">
        <v>24.740937287102401</v>
      </c>
    </row>
    <row r="532" spans="1:19" x14ac:dyDescent="0.25">
      <c r="A532">
        <v>23</v>
      </c>
      <c r="B532">
        <v>176</v>
      </c>
      <c r="C532">
        <v>60</v>
      </c>
      <c r="D532" t="s">
        <v>20</v>
      </c>
      <c r="E532">
        <v>9.3152324422708492</v>
      </c>
      <c r="F532">
        <v>39</v>
      </c>
      <c r="G532">
        <v>2</v>
      </c>
      <c r="H532">
        <v>74.890294253540702</v>
      </c>
      <c r="I532">
        <v>91.776356509736701</v>
      </c>
      <c r="J532">
        <v>250.290376882441</v>
      </c>
      <c r="K532">
        <v>85.843486162060302</v>
      </c>
      <c r="L532">
        <v>6.1175052881354102</v>
      </c>
      <c r="M532">
        <v>76.187338527274605</v>
      </c>
      <c r="N532">
        <v>7.7028887038572202</v>
      </c>
      <c r="O532">
        <v>61.3737554724744</v>
      </c>
      <c r="P532">
        <v>63.664305158894798</v>
      </c>
      <c r="Q532">
        <v>1</v>
      </c>
      <c r="R532">
        <v>0</v>
      </c>
      <c r="S532">
        <v>19.369834710743799</v>
      </c>
    </row>
    <row r="533" spans="1:19" x14ac:dyDescent="0.25">
      <c r="A533">
        <v>21</v>
      </c>
      <c r="B533">
        <v>179</v>
      </c>
      <c r="C533">
        <v>60</v>
      </c>
      <c r="D533" t="s">
        <v>20</v>
      </c>
      <c r="E533">
        <v>10.7352183026067</v>
      </c>
      <c r="F533">
        <v>37</v>
      </c>
      <c r="G533">
        <v>1</v>
      </c>
      <c r="H533">
        <v>82.574182385273403</v>
      </c>
      <c r="I533">
        <v>79.833038863035497</v>
      </c>
      <c r="J533">
        <v>221.330297766765</v>
      </c>
      <c r="K533">
        <v>100</v>
      </c>
      <c r="L533">
        <v>6.6494563424721598</v>
      </c>
      <c r="M533">
        <v>84.369143941987005</v>
      </c>
      <c r="N533">
        <v>7.7591840083745902</v>
      </c>
      <c r="O533">
        <v>38.723209676325098</v>
      </c>
      <c r="P533">
        <v>86.820859350285303</v>
      </c>
      <c r="Q533">
        <v>1</v>
      </c>
      <c r="R533">
        <v>0</v>
      </c>
      <c r="S533">
        <v>18.726007303142801</v>
      </c>
    </row>
    <row r="534" spans="1:19" x14ac:dyDescent="0.25">
      <c r="A534">
        <v>24</v>
      </c>
      <c r="B534">
        <v>181</v>
      </c>
      <c r="C534">
        <v>58</v>
      </c>
      <c r="D534" t="s">
        <v>21</v>
      </c>
      <c r="E534">
        <v>9.6443755264597701</v>
      </c>
      <c r="F534">
        <v>21</v>
      </c>
      <c r="G534">
        <v>2</v>
      </c>
      <c r="H534">
        <v>71.222926987233706</v>
      </c>
      <c r="I534">
        <v>74.336218252318801</v>
      </c>
      <c r="J534">
        <v>237.82778104215799</v>
      </c>
      <c r="K534">
        <v>79.192201008153802</v>
      </c>
      <c r="L534">
        <v>5.73503409974641</v>
      </c>
      <c r="M534">
        <v>76.870274198618802</v>
      </c>
      <c r="N534">
        <v>6.86231464067522</v>
      </c>
      <c r="O534">
        <v>36.743453583264099</v>
      </c>
      <c r="P534">
        <v>58.331314403932602</v>
      </c>
      <c r="Q534">
        <v>0</v>
      </c>
      <c r="R534">
        <v>1</v>
      </c>
      <c r="S534">
        <v>17.703977290070501</v>
      </c>
    </row>
    <row r="535" spans="1:19" x14ac:dyDescent="0.25">
      <c r="A535">
        <v>20</v>
      </c>
      <c r="B535">
        <v>169</v>
      </c>
      <c r="C535">
        <v>73</v>
      </c>
      <c r="D535" t="s">
        <v>22</v>
      </c>
      <c r="E535">
        <v>8.1228487460541192</v>
      </c>
      <c r="F535">
        <v>10</v>
      </c>
      <c r="G535">
        <v>2</v>
      </c>
      <c r="H535">
        <v>79.070492162228803</v>
      </c>
      <c r="I535">
        <v>90.636618127986495</v>
      </c>
      <c r="J535">
        <v>255.95715729243901</v>
      </c>
      <c r="K535">
        <v>88.544163979153197</v>
      </c>
      <c r="L535">
        <v>6.3231855739170202</v>
      </c>
      <c r="M535">
        <v>82.042121589899907</v>
      </c>
      <c r="N535">
        <v>8.4183385648702806</v>
      </c>
      <c r="O535">
        <v>60.147325173243303</v>
      </c>
      <c r="P535">
        <v>86.5868183630174</v>
      </c>
      <c r="Q535">
        <v>1</v>
      </c>
      <c r="R535">
        <v>0</v>
      </c>
      <c r="S535">
        <v>25.559329155141601</v>
      </c>
    </row>
    <row r="536" spans="1:19" x14ac:dyDescent="0.25">
      <c r="A536">
        <v>18</v>
      </c>
      <c r="B536">
        <v>185</v>
      </c>
      <c r="C536">
        <v>69</v>
      </c>
      <c r="D536" t="s">
        <v>19</v>
      </c>
      <c r="E536">
        <v>5</v>
      </c>
      <c r="F536">
        <v>13</v>
      </c>
      <c r="G536">
        <v>0</v>
      </c>
      <c r="H536">
        <v>76.589800408058906</v>
      </c>
      <c r="I536">
        <v>78.120911578783193</v>
      </c>
      <c r="J536">
        <v>226.164746200217</v>
      </c>
      <c r="K536">
        <v>94.727607794417096</v>
      </c>
      <c r="L536">
        <v>5.7833716645667703</v>
      </c>
      <c r="M536">
        <v>90.856739592581107</v>
      </c>
      <c r="N536">
        <v>8.6535965495273306</v>
      </c>
      <c r="O536">
        <v>61.803370555887902</v>
      </c>
      <c r="P536">
        <v>88.40401821236</v>
      </c>
      <c r="Q536">
        <v>1</v>
      </c>
      <c r="R536">
        <v>0</v>
      </c>
      <c r="S536">
        <v>20.160701241782299</v>
      </c>
    </row>
    <row r="537" spans="1:19" x14ac:dyDescent="0.25">
      <c r="A537">
        <v>19</v>
      </c>
      <c r="B537">
        <v>183</v>
      </c>
      <c r="C537">
        <v>71</v>
      </c>
      <c r="D537" t="s">
        <v>22</v>
      </c>
      <c r="E537">
        <v>7.46793990819722</v>
      </c>
      <c r="F537">
        <v>25</v>
      </c>
      <c r="G537">
        <v>1</v>
      </c>
      <c r="H537">
        <v>69.252715991074197</v>
      </c>
      <c r="I537">
        <v>77.435005665895901</v>
      </c>
      <c r="J537">
        <v>239.42103114429199</v>
      </c>
      <c r="K537">
        <v>89.502539556717693</v>
      </c>
      <c r="L537">
        <v>6.0870701517666701</v>
      </c>
      <c r="M537">
        <v>58.837362129849097</v>
      </c>
      <c r="N537">
        <v>6.9907926263034099</v>
      </c>
      <c r="O537">
        <v>51.896699368453497</v>
      </c>
      <c r="P537">
        <v>84.926070024441202</v>
      </c>
      <c r="Q537">
        <v>1</v>
      </c>
      <c r="R537">
        <v>0</v>
      </c>
      <c r="S537">
        <v>21.200991370300599</v>
      </c>
    </row>
    <row r="538" spans="1:19" x14ac:dyDescent="0.25">
      <c r="A538">
        <v>23</v>
      </c>
      <c r="B538">
        <v>172</v>
      </c>
      <c r="C538">
        <v>64</v>
      </c>
      <c r="D538" t="s">
        <v>22</v>
      </c>
      <c r="E538">
        <v>9.2598972304350493</v>
      </c>
      <c r="F538">
        <v>19</v>
      </c>
      <c r="G538">
        <v>2</v>
      </c>
      <c r="H538">
        <v>82.669566077979297</v>
      </c>
      <c r="I538">
        <v>81.747151284538106</v>
      </c>
      <c r="J538">
        <v>251.90228995774299</v>
      </c>
      <c r="K538">
        <v>83.657009444892594</v>
      </c>
      <c r="L538">
        <v>6.4849370870967</v>
      </c>
      <c r="M538">
        <v>75.949057463594301</v>
      </c>
      <c r="N538">
        <v>8.6943122841754708</v>
      </c>
      <c r="O538">
        <v>36.244207981360901</v>
      </c>
      <c r="P538">
        <v>86.218567689643194</v>
      </c>
      <c r="Q538">
        <v>1</v>
      </c>
      <c r="R538">
        <v>0</v>
      </c>
      <c r="S538">
        <v>21.633315305570498</v>
      </c>
    </row>
    <row r="539" spans="1:19" x14ac:dyDescent="0.25">
      <c r="A539">
        <v>23</v>
      </c>
      <c r="B539">
        <v>175</v>
      </c>
      <c r="C539">
        <v>77</v>
      </c>
      <c r="D539" t="s">
        <v>21</v>
      </c>
      <c r="E539">
        <v>13.1095217005441</v>
      </c>
      <c r="F539">
        <v>33</v>
      </c>
      <c r="G539">
        <v>0</v>
      </c>
      <c r="H539">
        <v>79.020021589927197</v>
      </c>
      <c r="I539">
        <v>83.946756339142894</v>
      </c>
      <c r="J539">
        <v>225.79738569885299</v>
      </c>
      <c r="K539">
        <v>89.406654808322102</v>
      </c>
      <c r="L539">
        <v>6.5068652679650798</v>
      </c>
      <c r="M539">
        <v>75.055960079974696</v>
      </c>
      <c r="N539">
        <v>8.1409868595463806</v>
      </c>
      <c r="O539">
        <v>43.425923053655303</v>
      </c>
      <c r="P539">
        <v>80.973384140403397</v>
      </c>
      <c r="Q539">
        <v>1</v>
      </c>
      <c r="R539">
        <v>0</v>
      </c>
      <c r="S539">
        <v>25.1428571428571</v>
      </c>
    </row>
    <row r="540" spans="1:19" x14ac:dyDescent="0.25">
      <c r="A540">
        <v>22</v>
      </c>
      <c r="B540">
        <v>173</v>
      </c>
      <c r="C540">
        <v>65</v>
      </c>
      <c r="D540" t="s">
        <v>21</v>
      </c>
      <c r="E540">
        <v>8.4185817468687496</v>
      </c>
      <c r="F540">
        <v>39</v>
      </c>
      <c r="G540">
        <v>2</v>
      </c>
      <c r="H540">
        <v>80.932734505921999</v>
      </c>
      <c r="I540">
        <v>76.606838272023197</v>
      </c>
      <c r="J540">
        <v>234.61970353576601</v>
      </c>
      <c r="K540">
        <v>92.974643812757705</v>
      </c>
      <c r="L540">
        <v>6.2128877993969702</v>
      </c>
      <c r="M540">
        <v>72.321537324165604</v>
      </c>
      <c r="N540">
        <v>7.8231596512793402</v>
      </c>
      <c r="O540">
        <v>36.245446832063003</v>
      </c>
      <c r="P540">
        <v>80.091233885857704</v>
      </c>
      <c r="Q540">
        <v>0</v>
      </c>
      <c r="R540">
        <v>0</v>
      </c>
      <c r="S540">
        <v>21.718066089745701</v>
      </c>
    </row>
    <row r="541" spans="1:19" x14ac:dyDescent="0.25">
      <c r="A541">
        <v>21</v>
      </c>
      <c r="B541">
        <v>170</v>
      </c>
      <c r="C541">
        <v>80</v>
      </c>
      <c r="D541" t="s">
        <v>22</v>
      </c>
      <c r="E541">
        <v>5.3172995475298803</v>
      </c>
      <c r="F541">
        <v>34</v>
      </c>
      <c r="G541">
        <v>2</v>
      </c>
      <c r="H541">
        <v>64.356202887560599</v>
      </c>
      <c r="I541">
        <v>92.779475748021198</v>
      </c>
      <c r="J541">
        <v>270.65024706067197</v>
      </c>
      <c r="K541">
        <v>78.430394911933007</v>
      </c>
      <c r="L541">
        <v>5.8336180707436496</v>
      </c>
      <c r="M541">
        <v>62.884726171992597</v>
      </c>
      <c r="N541">
        <v>7.04755130339821</v>
      </c>
      <c r="O541">
        <v>70.565346322678195</v>
      </c>
      <c r="P541">
        <v>78.2663903078262</v>
      </c>
      <c r="Q541">
        <v>1</v>
      </c>
      <c r="R541">
        <v>1</v>
      </c>
      <c r="S541">
        <v>27.681660899653899</v>
      </c>
    </row>
    <row r="542" spans="1:19" x14ac:dyDescent="0.25">
      <c r="A542">
        <v>18</v>
      </c>
      <c r="B542">
        <v>177</v>
      </c>
      <c r="C542">
        <v>75</v>
      </c>
      <c r="D542" t="s">
        <v>19</v>
      </c>
      <c r="E542">
        <v>11.4937395508581</v>
      </c>
      <c r="F542">
        <v>9</v>
      </c>
      <c r="G542">
        <v>1</v>
      </c>
      <c r="H542">
        <v>77.174297230090701</v>
      </c>
      <c r="I542">
        <v>91.119243798627295</v>
      </c>
      <c r="J542">
        <v>243.54948950037101</v>
      </c>
      <c r="K542">
        <v>93.004058565237401</v>
      </c>
      <c r="L542">
        <v>6.2798779596703502</v>
      </c>
      <c r="M542">
        <v>85.514311682638905</v>
      </c>
      <c r="N542">
        <v>7.3072876110051697</v>
      </c>
      <c r="O542">
        <v>56.891989989248202</v>
      </c>
      <c r="P542">
        <v>67.834202099172998</v>
      </c>
      <c r="Q542">
        <v>0</v>
      </c>
      <c r="R542">
        <v>0</v>
      </c>
      <c r="S542">
        <v>23.939480992052001</v>
      </c>
    </row>
    <row r="543" spans="1:19" x14ac:dyDescent="0.25">
      <c r="A543">
        <v>18</v>
      </c>
      <c r="B543">
        <v>181</v>
      </c>
      <c r="C543">
        <v>57</v>
      </c>
      <c r="D543" t="s">
        <v>21</v>
      </c>
      <c r="E543">
        <v>11.251820542457001</v>
      </c>
      <c r="F543">
        <v>27</v>
      </c>
      <c r="G543">
        <v>2</v>
      </c>
      <c r="H543">
        <v>78.2191213993503</v>
      </c>
      <c r="I543">
        <v>66.037583084238506</v>
      </c>
      <c r="J543">
        <v>241.730836652969</v>
      </c>
      <c r="K543">
        <v>74.322271309957799</v>
      </c>
      <c r="L543">
        <v>5.9285928499043301</v>
      </c>
      <c r="M543">
        <v>66.7949667176905</v>
      </c>
      <c r="N543">
        <v>6.4103008424590797</v>
      </c>
      <c r="O543">
        <v>56.637608940887802</v>
      </c>
      <c r="P543">
        <v>65.427290598510396</v>
      </c>
      <c r="Q543">
        <v>0</v>
      </c>
      <c r="R543">
        <v>1</v>
      </c>
      <c r="S543">
        <v>17.398736302310599</v>
      </c>
    </row>
    <row r="544" spans="1:19" x14ac:dyDescent="0.25">
      <c r="A544">
        <v>24</v>
      </c>
      <c r="B544">
        <v>187</v>
      </c>
      <c r="C544">
        <v>56</v>
      </c>
      <c r="D544" t="s">
        <v>19</v>
      </c>
      <c r="E544">
        <v>10.654733024315201</v>
      </c>
      <c r="F544">
        <v>14</v>
      </c>
      <c r="G544">
        <v>3</v>
      </c>
      <c r="H544">
        <v>80.839781417428398</v>
      </c>
      <c r="I544">
        <v>80.445214038469601</v>
      </c>
      <c r="J544">
        <v>232.01117728658201</v>
      </c>
      <c r="K544">
        <v>85.235545529581799</v>
      </c>
      <c r="L544">
        <v>6.2199856183074402</v>
      </c>
      <c r="M544">
        <v>81.2701865951272</v>
      </c>
      <c r="N544">
        <v>7.5984314806248499</v>
      </c>
      <c r="O544">
        <v>58.185034301847097</v>
      </c>
      <c r="P544">
        <v>84.169399850951095</v>
      </c>
      <c r="Q544">
        <v>1</v>
      </c>
      <c r="R544">
        <v>0</v>
      </c>
      <c r="S544">
        <v>16.014183991535301</v>
      </c>
    </row>
    <row r="545" spans="1:19" x14ac:dyDescent="0.25">
      <c r="A545">
        <v>21</v>
      </c>
      <c r="B545">
        <v>176</v>
      </c>
      <c r="C545">
        <v>80</v>
      </c>
      <c r="D545" t="s">
        <v>19</v>
      </c>
      <c r="E545">
        <v>12.0489735010716</v>
      </c>
      <c r="F545">
        <v>34</v>
      </c>
      <c r="G545">
        <v>2</v>
      </c>
      <c r="H545">
        <v>81.276156882989596</v>
      </c>
      <c r="I545">
        <v>71.051436356161901</v>
      </c>
      <c r="J545">
        <v>266.60156416761401</v>
      </c>
      <c r="K545">
        <v>93.616759736518503</v>
      </c>
      <c r="L545">
        <v>5.9180110098486303</v>
      </c>
      <c r="M545">
        <v>80.063432963221899</v>
      </c>
      <c r="N545">
        <v>8.0977825527120402</v>
      </c>
      <c r="O545">
        <v>25.051871336797401</v>
      </c>
      <c r="P545">
        <v>86.790961899967598</v>
      </c>
      <c r="Q545">
        <v>0</v>
      </c>
      <c r="R545">
        <v>0</v>
      </c>
      <c r="S545">
        <v>25.8264462809917</v>
      </c>
    </row>
    <row r="546" spans="1:19" x14ac:dyDescent="0.25">
      <c r="A546">
        <v>23</v>
      </c>
      <c r="B546">
        <v>178</v>
      </c>
      <c r="C546">
        <v>59</v>
      </c>
      <c r="D546" t="s">
        <v>19</v>
      </c>
      <c r="E546">
        <v>12.831810332110299</v>
      </c>
      <c r="F546">
        <v>15</v>
      </c>
      <c r="G546">
        <v>0</v>
      </c>
      <c r="H546">
        <v>80.278031924883905</v>
      </c>
      <c r="I546">
        <v>86.927316010094998</v>
      </c>
      <c r="J546">
        <v>266.04773532574598</v>
      </c>
      <c r="K546">
        <v>75.836442320432894</v>
      </c>
      <c r="L546">
        <v>5.7095968036415403</v>
      </c>
      <c r="M546">
        <v>80.1055314710012</v>
      </c>
      <c r="N546">
        <v>7.5186653826566596</v>
      </c>
      <c r="O546">
        <v>25.939038506968</v>
      </c>
      <c r="P546">
        <v>85.775708624345597</v>
      </c>
      <c r="Q546">
        <v>1</v>
      </c>
      <c r="R546">
        <v>0</v>
      </c>
      <c r="S546">
        <v>18.621386188612501</v>
      </c>
    </row>
    <row r="547" spans="1:19" x14ac:dyDescent="0.25">
      <c r="A547">
        <v>20</v>
      </c>
      <c r="B547">
        <v>172</v>
      </c>
      <c r="C547">
        <v>73</v>
      </c>
      <c r="D547" t="s">
        <v>22</v>
      </c>
      <c r="E547">
        <v>8.52043344470869</v>
      </c>
      <c r="F547">
        <v>38</v>
      </c>
      <c r="G547">
        <v>5</v>
      </c>
      <c r="H547">
        <v>60.903645336116703</v>
      </c>
      <c r="I547">
        <v>72.749398799228601</v>
      </c>
      <c r="J547">
        <v>247.06710157520899</v>
      </c>
      <c r="K547">
        <v>84.252698279949399</v>
      </c>
      <c r="L547">
        <v>5.8047226131185097</v>
      </c>
      <c r="M547">
        <v>69.152541531237503</v>
      </c>
      <c r="N547">
        <v>8.1080321056183298</v>
      </c>
      <c r="O547">
        <v>54.475188095198398</v>
      </c>
      <c r="P547">
        <v>59.688886725963698</v>
      </c>
      <c r="Q547">
        <v>0</v>
      </c>
      <c r="R547">
        <v>1</v>
      </c>
      <c r="S547">
        <v>24.6755002704164</v>
      </c>
    </row>
    <row r="548" spans="1:19" x14ac:dyDescent="0.25">
      <c r="A548">
        <v>24</v>
      </c>
      <c r="B548">
        <v>182</v>
      </c>
      <c r="C548">
        <v>63</v>
      </c>
      <c r="D548" t="s">
        <v>19</v>
      </c>
      <c r="E548">
        <v>10.8038624232298</v>
      </c>
      <c r="F548">
        <v>17</v>
      </c>
      <c r="G548">
        <v>2</v>
      </c>
      <c r="H548">
        <v>69.391109685519694</v>
      </c>
      <c r="I548">
        <v>74.071706878959603</v>
      </c>
      <c r="J548">
        <v>248.12766746202001</v>
      </c>
      <c r="K548">
        <v>90.414344972497304</v>
      </c>
      <c r="L548">
        <v>5.7960833535062397</v>
      </c>
      <c r="M548">
        <v>75.261545819582494</v>
      </c>
      <c r="N548">
        <v>5.6234680211430899</v>
      </c>
      <c r="O548">
        <v>60.564776648893798</v>
      </c>
      <c r="P548">
        <v>67.5413937660188</v>
      </c>
      <c r="Q548">
        <v>0</v>
      </c>
      <c r="R548">
        <v>1</v>
      </c>
      <c r="S548">
        <v>19.019442096365101</v>
      </c>
    </row>
    <row r="549" spans="1:19" x14ac:dyDescent="0.25">
      <c r="A549">
        <v>23</v>
      </c>
      <c r="B549">
        <v>181</v>
      </c>
      <c r="C549">
        <v>69</v>
      </c>
      <c r="D549" t="s">
        <v>19</v>
      </c>
      <c r="E549">
        <v>11.2914407840808</v>
      </c>
      <c r="F549">
        <v>7</v>
      </c>
      <c r="G549">
        <v>2</v>
      </c>
      <c r="H549">
        <v>76.003507238186899</v>
      </c>
      <c r="I549">
        <v>83.390312829841307</v>
      </c>
      <c r="J549">
        <v>249.65986515072501</v>
      </c>
      <c r="K549">
        <v>98.775664998805794</v>
      </c>
      <c r="L549">
        <v>5.9289577233794502</v>
      </c>
      <c r="M549">
        <v>91.104962404687896</v>
      </c>
      <c r="N549">
        <v>7.1453298197647399</v>
      </c>
      <c r="O549">
        <v>40.662835097808099</v>
      </c>
      <c r="P549">
        <v>67.788856035242205</v>
      </c>
      <c r="Q549">
        <v>1</v>
      </c>
      <c r="R549">
        <v>0</v>
      </c>
      <c r="S549">
        <v>21.0616281554287</v>
      </c>
    </row>
    <row r="550" spans="1:19" x14ac:dyDescent="0.25">
      <c r="A550">
        <v>20</v>
      </c>
      <c r="B550">
        <v>170</v>
      </c>
      <c r="C550">
        <v>77</v>
      </c>
      <c r="D550" t="s">
        <v>20</v>
      </c>
      <c r="E550">
        <v>10.2451655948688</v>
      </c>
      <c r="F550">
        <v>5</v>
      </c>
      <c r="G550">
        <v>3</v>
      </c>
      <c r="H550">
        <v>62.5410266463645</v>
      </c>
      <c r="I550">
        <v>77.276313035817495</v>
      </c>
      <c r="J550">
        <v>231.53144951526801</v>
      </c>
      <c r="K550">
        <v>70.293278315735407</v>
      </c>
      <c r="L550">
        <v>5.7502902294332996</v>
      </c>
      <c r="M550">
        <v>87.329993514957295</v>
      </c>
      <c r="N550">
        <v>6.4986475522673803</v>
      </c>
      <c r="O550">
        <v>71.329059131373796</v>
      </c>
      <c r="P550">
        <v>85.845465248088203</v>
      </c>
      <c r="Q550">
        <v>1</v>
      </c>
      <c r="R550">
        <v>1</v>
      </c>
      <c r="S550">
        <v>26.6435986159169</v>
      </c>
    </row>
    <row r="551" spans="1:19" x14ac:dyDescent="0.25">
      <c r="A551">
        <v>24</v>
      </c>
      <c r="B551">
        <v>186</v>
      </c>
      <c r="C551">
        <v>60</v>
      </c>
      <c r="D551" t="s">
        <v>19</v>
      </c>
      <c r="E551">
        <v>11.614975104332499</v>
      </c>
      <c r="F551">
        <v>5</v>
      </c>
      <c r="G551">
        <v>0</v>
      </c>
      <c r="H551">
        <v>75.3032809768699</v>
      </c>
      <c r="I551">
        <v>76.6264413922774</v>
      </c>
      <c r="J551">
        <v>259.11807084541402</v>
      </c>
      <c r="K551">
        <v>95.367942733320206</v>
      </c>
      <c r="L551">
        <v>6.1786417128380702</v>
      </c>
      <c r="M551">
        <v>73.0947611793774</v>
      </c>
      <c r="N551">
        <v>9.0765996315704296</v>
      </c>
      <c r="O551">
        <v>53.143166806835801</v>
      </c>
      <c r="P551">
        <v>91.682516627304693</v>
      </c>
      <c r="Q551">
        <v>0</v>
      </c>
      <c r="R551">
        <v>0</v>
      </c>
      <c r="S551">
        <v>17.343045438779001</v>
      </c>
    </row>
    <row r="552" spans="1:19" x14ac:dyDescent="0.25">
      <c r="A552">
        <v>19</v>
      </c>
      <c r="B552">
        <v>184</v>
      </c>
      <c r="C552">
        <v>69</v>
      </c>
      <c r="D552" t="s">
        <v>19</v>
      </c>
      <c r="E552">
        <v>10.025505318883599</v>
      </c>
      <c r="F552">
        <v>32</v>
      </c>
      <c r="G552">
        <v>0</v>
      </c>
      <c r="H552">
        <v>69.776884762481799</v>
      </c>
      <c r="I552">
        <v>78.788136910620395</v>
      </c>
      <c r="J552">
        <v>229.55936512304399</v>
      </c>
      <c r="K552">
        <v>89.827875329948995</v>
      </c>
      <c r="L552">
        <v>6.2354851597137797</v>
      </c>
      <c r="M552">
        <v>75.920093144821394</v>
      </c>
      <c r="N552">
        <v>6.8294363570723498</v>
      </c>
      <c r="O552">
        <v>38.583467335308001</v>
      </c>
      <c r="P552">
        <v>86.742060215213201</v>
      </c>
      <c r="Q552">
        <v>1</v>
      </c>
      <c r="R552">
        <v>0</v>
      </c>
      <c r="S552">
        <v>20.380434782608599</v>
      </c>
    </row>
    <row r="553" spans="1:19" x14ac:dyDescent="0.25">
      <c r="A553">
        <v>22</v>
      </c>
      <c r="B553">
        <v>181</v>
      </c>
      <c r="C553">
        <v>72</v>
      </c>
      <c r="D553" t="s">
        <v>22</v>
      </c>
      <c r="E553">
        <v>11.6094855745107</v>
      </c>
      <c r="F553">
        <v>8</v>
      </c>
      <c r="G553">
        <v>3</v>
      </c>
      <c r="H553">
        <v>65.566917155992698</v>
      </c>
      <c r="I553">
        <v>69.581628475571407</v>
      </c>
      <c r="J553">
        <v>277.671228789027</v>
      </c>
      <c r="K553">
        <v>79.659230408786598</v>
      </c>
      <c r="L553">
        <v>5.4021591256640802</v>
      </c>
      <c r="M553">
        <v>70.560108769114095</v>
      </c>
      <c r="N553">
        <v>6.4293551116494001</v>
      </c>
      <c r="O553">
        <v>64.819730935617102</v>
      </c>
      <c r="P553">
        <v>73.0516307857973</v>
      </c>
      <c r="Q553">
        <v>0</v>
      </c>
      <c r="R553">
        <v>1</v>
      </c>
      <c r="S553">
        <v>21.977351118708199</v>
      </c>
    </row>
    <row r="554" spans="1:19" x14ac:dyDescent="0.25">
      <c r="A554">
        <v>19</v>
      </c>
      <c r="B554">
        <v>187</v>
      </c>
      <c r="C554">
        <v>61</v>
      </c>
      <c r="D554" t="s">
        <v>19</v>
      </c>
      <c r="E554">
        <v>5.2959102452379803</v>
      </c>
      <c r="F554">
        <v>24</v>
      </c>
      <c r="G554">
        <v>1</v>
      </c>
      <c r="H554">
        <v>71.779331722095094</v>
      </c>
      <c r="I554">
        <v>85.987744600779706</v>
      </c>
      <c r="J554">
        <v>273.68263861045398</v>
      </c>
      <c r="K554">
        <v>64.777770038882593</v>
      </c>
      <c r="L554">
        <v>5.7544324884132596</v>
      </c>
      <c r="M554">
        <v>79.163625189522705</v>
      </c>
      <c r="N554">
        <v>7.4858190105844304</v>
      </c>
      <c r="O554">
        <v>65.784601743234902</v>
      </c>
      <c r="P554">
        <v>68.979008519817199</v>
      </c>
      <c r="Q554">
        <v>1</v>
      </c>
      <c r="R554">
        <v>1</v>
      </c>
      <c r="S554">
        <v>17.4440218479224</v>
      </c>
    </row>
    <row r="555" spans="1:19" x14ac:dyDescent="0.25">
      <c r="A555">
        <v>23</v>
      </c>
      <c r="B555">
        <v>186</v>
      </c>
      <c r="C555">
        <v>91</v>
      </c>
      <c r="D555" t="s">
        <v>21</v>
      </c>
      <c r="E555">
        <v>9.5913364877592606</v>
      </c>
      <c r="F555">
        <v>25</v>
      </c>
      <c r="G555">
        <v>1</v>
      </c>
      <c r="H555">
        <v>66.063289214657104</v>
      </c>
      <c r="I555">
        <v>81.260257761357494</v>
      </c>
      <c r="J555">
        <v>235.83321520939299</v>
      </c>
      <c r="K555">
        <v>78.269001622512306</v>
      </c>
      <c r="L555">
        <v>5.8788811186480396</v>
      </c>
      <c r="M555">
        <v>80.636274521326598</v>
      </c>
      <c r="N555">
        <v>6.8293495777963296</v>
      </c>
      <c r="O555">
        <v>61.314515878369903</v>
      </c>
      <c r="P555">
        <v>71.883868082203307</v>
      </c>
      <c r="Q555">
        <v>0</v>
      </c>
      <c r="R555">
        <v>1</v>
      </c>
      <c r="S555">
        <v>26.303618915481501</v>
      </c>
    </row>
    <row r="556" spans="1:19" x14ac:dyDescent="0.25">
      <c r="A556">
        <v>20</v>
      </c>
      <c r="B556">
        <v>182</v>
      </c>
      <c r="C556">
        <v>73</v>
      </c>
      <c r="D556" t="s">
        <v>20</v>
      </c>
      <c r="E556">
        <v>12.9917091858491</v>
      </c>
      <c r="F556">
        <v>8</v>
      </c>
      <c r="G556">
        <v>2</v>
      </c>
      <c r="H556">
        <v>66.928881954391102</v>
      </c>
      <c r="I556">
        <v>92.470443261284601</v>
      </c>
      <c r="J556">
        <v>248.99187453568899</v>
      </c>
      <c r="K556">
        <v>88.722964299125806</v>
      </c>
      <c r="L556">
        <v>5.6610136728325804</v>
      </c>
      <c r="M556">
        <v>88.320684516946997</v>
      </c>
      <c r="N556">
        <v>7.2427670681299396</v>
      </c>
      <c r="O556">
        <v>61.4542985519968</v>
      </c>
      <c r="P556">
        <v>65.892213614931606</v>
      </c>
      <c r="Q556">
        <v>1</v>
      </c>
      <c r="R556">
        <v>0</v>
      </c>
      <c r="S556">
        <v>22.038401159280198</v>
      </c>
    </row>
    <row r="557" spans="1:19" x14ac:dyDescent="0.25">
      <c r="A557">
        <v>20</v>
      </c>
      <c r="B557">
        <v>181</v>
      </c>
      <c r="C557">
        <v>85</v>
      </c>
      <c r="D557" t="s">
        <v>19</v>
      </c>
      <c r="E557">
        <v>11.003963628729201</v>
      </c>
      <c r="F557">
        <v>37</v>
      </c>
      <c r="G557">
        <v>1</v>
      </c>
      <c r="H557">
        <v>65.959606993660898</v>
      </c>
      <c r="I557">
        <v>83.136794930757304</v>
      </c>
      <c r="J557">
        <v>221.63638645615001</v>
      </c>
      <c r="K557">
        <v>83.637069115670997</v>
      </c>
      <c r="L557">
        <v>6.1453491260113404</v>
      </c>
      <c r="M557">
        <v>97.687482981347799</v>
      </c>
      <c r="N557">
        <v>7.7354852119549804</v>
      </c>
      <c r="O557">
        <v>38.698284694824999</v>
      </c>
      <c r="P557">
        <v>86.553650353097296</v>
      </c>
      <c r="Q557">
        <v>0</v>
      </c>
      <c r="R557">
        <v>0</v>
      </c>
      <c r="S557">
        <v>25.945483959585999</v>
      </c>
    </row>
    <row r="558" spans="1:19" x14ac:dyDescent="0.25">
      <c r="A558">
        <v>18</v>
      </c>
      <c r="B558">
        <v>184</v>
      </c>
      <c r="C558">
        <v>74</v>
      </c>
      <c r="D558" t="s">
        <v>19</v>
      </c>
      <c r="E558">
        <v>5.9547411643457799</v>
      </c>
      <c r="F558">
        <v>19</v>
      </c>
      <c r="G558">
        <v>2</v>
      </c>
      <c r="H558">
        <v>66.003874852765094</v>
      </c>
      <c r="I558">
        <v>76.194211905417205</v>
      </c>
      <c r="J558">
        <v>269.444649719202</v>
      </c>
      <c r="K558">
        <v>88.451982055746996</v>
      </c>
      <c r="L558">
        <v>5.82576111633895</v>
      </c>
      <c r="M558">
        <v>68.973503057805104</v>
      </c>
      <c r="N558">
        <v>6.6998605116821697</v>
      </c>
      <c r="O558">
        <v>57.924598550175901</v>
      </c>
      <c r="P558">
        <v>78.712317084006699</v>
      </c>
      <c r="Q558">
        <v>1</v>
      </c>
      <c r="R558">
        <v>1</v>
      </c>
      <c r="S558">
        <v>21.8572778827977</v>
      </c>
    </row>
    <row r="559" spans="1:19" x14ac:dyDescent="0.25">
      <c r="A559">
        <v>19</v>
      </c>
      <c r="B559">
        <v>178</v>
      </c>
      <c r="C559">
        <v>63</v>
      </c>
      <c r="D559" t="s">
        <v>22</v>
      </c>
      <c r="E559">
        <v>8.8759619156366298</v>
      </c>
      <c r="F559">
        <v>6</v>
      </c>
      <c r="G559">
        <v>2</v>
      </c>
      <c r="H559">
        <v>75.200091057470104</v>
      </c>
      <c r="I559">
        <v>75.411803943039502</v>
      </c>
      <c r="J559">
        <v>247.41771877974301</v>
      </c>
      <c r="K559">
        <v>71.708390759276696</v>
      </c>
      <c r="L559">
        <v>5.9998759052835</v>
      </c>
      <c r="M559">
        <v>79.370171072473198</v>
      </c>
      <c r="N559">
        <v>7.9357354050128999</v>
      </c>
      <c r="O559">
        <v>29.673482639136701</v>
      </c>
      <c r="P559">
        <v>69.011633445429993</v>
      </c>
      <c r="Q559">
        <v>0</v>
      </c>
      <c r="R559">
        <v>0</v>
      </c>
      <c r="S559">
        <v>19.8838530488574</v>
      </c>
    </row>
    <row r="560" spans="1:19" x14ac:dyDescent="0.25">
      <c r="A560">
        <v>20</v>
      </c>
      <c r="B560">
        <v>168</v>
      </c>
      <c r="C560">
        <v>68</v>
      </c>
      <c r="D560" t="s">
        <v>21</v>
      </c>
      <c r="E560">
        <v>12.9546334949809</v>
      </c>
      <c r="F560">
        <v>22</v>
      </c>
      <c r="G560">
        <v>0</v>
      </c>
      <c r="H560">
        <v>79.326791211841893</v>
      </c>
      <c r="I560">
        <v>91.027350794904507</v>
      </c>
      <c r="J560">
        <v>235.80057981299601</v>
      </c>
      <c r="K560">
        <v>85.198690689909697</v>
      </c>
      <c r="L560">
        <v>6.2217888816837696</v>
      </c>
      <c r="M560">
        <v>81.506365297070005</v>
      </c>
      <c r="N560">
        <v>6.9645943886384698</v>
      </c>
      <c r="O560">
        <v>40.893084281090402</v>
      </c>
      <c r="P560">
        <v>75.127771989145899</v>
      </c>
      <c r="Q560">
        <v>1</v>
      </c>
      <c r="R560">
        <v>0</v>
      </c>
      <c r="S560">
        <v>24.092970521541901</v>
      </c>
    </row>
    <row r="561" spans="1:19" x14ac:dyDescent="0.25">
      <c r="A561">
        <v>23</v>
      </c>
      <c r="B561">
        <v>181</v>
      </c>
      <c r="C561">
        <v>68</v>
      </c>
      <c r="D561" t="s">
        <v>19</v>
      </c>
      <c r="E561">
        <v>10.581420795428601</v>
      </c>
      <c r="F561">
        <v>19</v>
      </c>
      <c r="G561">
        <v>6</v>
      </c>
      <c r="H561">
        <v>71.202298125537794</v>
      </c>
      <c r="I561">
        <v>75.537304529323706</v>
      </c>
      <c r="J561">
        <v>281.46099443675803</v>
      </c>
      <c r="K561">
        <v>84.514606034560401</v>
      </c>
      <c r="L561">
        <v>5.9216089124180797</v>
      </c>
      <c r="M561">
        <v>78.066164774472895</v>
      </c>
      <c r="N561">
        <v>7.9071382444260303</v>
      </c>
      <c r="O561">
        <v>51.649732785737797</v>
      </c>
      <c r="P561">
        <v>67.326176190641206</v>
      </c>
      <c r="Q561">
        <v>1</v>
      </c>
      <c r="R561">
        <v>1</v>
      </c>
      <c r="S561">
        <v>20.756387167668802</v>
      </c>
    </row>
    <row r="562" spans="1:19" x14ac:dyDescent="0.25">
      <c r="A562">
        <v>18</v>
      </c>
      <c r="B562">
        <v>176</v>
      </c>
      <c r="C562">
        <v>83</v>
      </c>
      <c r="D562" t="s">
        <v>22</v>
      </c>
      <c r="E562">
        <v>8.4769618023770406</v>
      </c>
      <c r="F562">
        <v>13</v>
      </c>
      <c r="G562">
        <v>1</v>
      </c>
      <c r="H562">
        <v>79.131245117443598</v>
      </c>
      <c r="I562">
        <v>78.059828010656204</v>
      </c>
      <c r="J562">
        <v>257.73907616708999</v>
      </c>
      <c r="K562">
        <v>80.526535418824395</v>
      </c>
      <c r="L562">
        <v>6.2548996055418202</v>
      </c>
      <c r="M562">
        <v>100</v>
      </c>
      <c r="N562">
        <v>8.6248407956269499</v>
      </c>
      <c r="O562">
        <v>35.616134146746397</v>
      </c>
      <c r="P562">
        <v>70.406285288158898</v>
      </c>
      <c r="Q562">
        <v>1</v>
      </c>
      <c r="R562">
        <v>0</v>
      </c>
      <c r="S562">
        <v>26.794938016528899</v>
      </c>
    </row>
    <row r="563" spans="1:19" x14ac:dyDescent="0.25">
      <c r="A563">
        <v>24</v>
      </c>
      <c r="B563">
        <v>181</v>
      </c>
      <c r="C563">
        <v>90</v>
      </c>
      <c r="D563" t="s">
        <v>20</v>
      </c>
      <c r="E563">
        <v>9.9616406043928496</v>
      </c>
      <c r="F563">
        <v>24</v>
      </c>
      <c r="G563">
        <v>1</v>
      </c>
      <c r="H563">
        <v>75.549154996237903</v>
      </c>
      <c r="I563">
        <v>94.894917506156602</v>
      </c>
      <c r="J563">
        <v>246.25020311857901</v>
      </c>
      <c r="K563">
        <v>90.666619475307101</v>
      </c>
      <c r="L563">
        <v>5.9825051280888299</v>
      </c>
      <c r="M563">
        <v>73.1926131208117</v>
      </c>
      <c r="N563">
        <v>5.9934134972883397</v>
      </c>
      <c r="O563">
        <v>57.486909242187302</v>
      </c>
      <c r="P563">
        <v>64.988509978517897</v>
      </c>
      <c r="Q563">
        <v>1</v>
      </c>
      <c r="R563">
        <v>1</v>
      </c>
      <c r="S563">
        <v>27.471688898385199</v>
      </c>
    </row>
    <row r="564" spans="1:19" x14ac:dyDescent="0.25">
      <c r="A564">
        <v>22</v>
      </c>
      <c r="B564">
        <v>169</v>
      </c>
      <c r="C564">
        <v>52</v>
      </c>
      <c r="D564" t="s">
        <v>20</v>
      </c>
      <c r="E564">
        <v>9.45378957997303</v>
      </c>
      <c r="F564">
        <v>34</v>
      </c>
      <c r="G564">
        <v>3</v>
      </c>
      <c r="H564">
        <v>71.277742649114003</v>
      </c>
      <c r="I564">
        <v>83.594435355811399</v>
      </c>
      <c r="J564">
        <v>195.590206546704</v>
      </c>
      <c r="K564">
        <v>90.7835412472446</v>
      </c>
      <c r="L564">
        <v>5.4680129782261</v>
      </c>
      <c r="M564">
        <v>72.981770681986404</v>
      </c>
      <c r="N564">
        <v>7.5017418098984301</v>
      </c>
      <c r="O564">
        <v>50.775278526978397</v>
      </c>
      <c r="P564">
        <v>76.165672424944802</v>
      </c>
      <c r="Q564">
        <v>0</v>
      </c>
      <c r="R564">
        <v>0</v>
      </c>
      <c r="S564">
        <v>18.206645425580302</v>
      </c>
    </row>
    <row r="565" spans="1:19" x14ac:dyDescent="0.25">
      <c r="A565">
        <v>23</v>
      </c>
      <c r="B565">
        <v>177</v>
      </c>
      <c r="C565">
        <v>58</v>
      </c>
      <c r="D565" t="s">
        <v>21</v>
      </c>
      <c r="E565">
        <v>11.2222308000618</v>
      </c>
      <c r="F565">
        <v>12</v>
      </c>
      <c r="G565">
        <v>1</v>
      </c>
      <c r="H565">
        <v>73.476473414756995</v>
      </c>
      <c r="I565">
        <v>83.809687745883807</v>
      </c>
      <c r="J565">
        <v>261.91213843970399</v>
      </c>
      <c r="K565">
        <v>84.220386143460104</v>
      </c>
      <c r="L565">
        <v>5.7014441533000202</v>
      </c>
      <c r="M565">
        <v>74.596693001987404</v>
      </c>
      <c r="N565">
        <v>7.3345962333322401</v>
      </c>
      <c r="O565">
        <v>67.209909755040599</v>
      </c>
      <c r="P565">
        <v>64.565821946546805</v>
      </c>
      <c r="Q565">
        <v>0</v>
      </c>
      <c r="R565">
        <v>1</v>
      </c>
      <c r="S565">
        <v>18.513198633853602</v>
      </c>
    </row>
    <row r="566" spans="1:19" x14ac:dyDescent="0.25">
      <c r="A566">
        <v>20</v>
      </c>
      <c r="B566">
        <v>179</v>
      </c>
      <c r="C566">
        <v>75</v>
      </c>
      <c r="D566" t="s">
        <v>19</v>
      </c>
      <c r="E566">
        <v>10.678872083515399</v>
      </c>
      <c r="F566">
        <v>26</v>
      </c>
      <c r="G566">
        <v>2</v>
      </c>
      <c r="H566">
        <v>72.772443459073003</v>
      </c>
      <c r="I566">
        <v>77.662766581051997</v>
      </c>
      <c r="J566">
        <v>255.57781339017001</v>
      </c>
      <c r="K566">
        <v>69.897740435034507</v>
      </c>
      <c r="L566">
        <v>6.3310039032634204</v>
      </c>
      <c r="M566">
        <v>88.300084979795699</v>
      </c>
      <c r="N566">
        <v>8.4795995512383104</v>
      </c>
      <c r="O566">
        <v>48.115505479843797</v>
      </c>
      <c r="P566">
        <v>77.565017477507695</v>
      </c>
      <c r="Q566">
        <v>1</v>
      </c>
      <c r="R566">
        <v>1</v>
      </c>
      <c r="S566">
        <v>23.407509128928499</v>
      </c>
    </row>
    <row r="567" spans="1:19" x14ac:dyDescent="0.25">
      <c r="A567">
        <v>23</v>
      </c>
      <c r="B567">
        <v>168</v>
      </c>
      <c r="C567">
        <v>69</v>
      </c>
      <c r="D567" t="s">
        <v>20</v>
      </c>
      <c r="E567">
        <v>9.0655772674837198</v>
      </c>
      <c r="F567">
        <v>34</v>
      </c>
      <c r="G567">
        <v>0</v>
      </c>
      <c r="H567">
        <v>79.678588443824296</v>
      </c>
      <c r="I567">
        <v>79.833329840278196</v>
      </c>
      <c r="J567">
        <v>261.26765113815998</v>
      </c>
      <c r="K567">
        <v>95.061333635181199</v>
      </c>
      <c r="L567">
        <v>6.4506196814026904</v>
      </c>
      <c r="M567">
        <v>87.887813747207801</v>
      </c>
      <c r="N567">
        <v>8.0500469312282501</v>
      </c>
      <c r="O567">
        <v>45.091374309479001</v>
      </c>
      <c r="P567">
        <v>86.956762692577897</v>
      </c>
      <c r="Q567">
        <v>1</v>
      </c>
      <c r="R567">
        <v>0</v>
      </c>
      <c r="S567">
        <v>24.447278911564599</v>
      </c>
    </row>
    <row r="568" spans="1:19" x14ac:dyDescent="0.25">
      <c r="A568">
        <v>23</v>
      </c>
      <c r="B568">
        <v>165</v>
      </c>
      <c r="C568">
        <v>69</v>
      </c>
      <c r="D568" t="s">
        <v>19</v>
      </c>
      <c r="E568">
        <v>8.83238097766165</v>
      </c>
      <c r="F568">
        <v>36</v>
      </c>
      <c r="G568">
        <v>0</v>
      </c>
      <c r="H568">
        <v>70.383698581770204</v>
      </c>
      <c r="I568">
        <v>87.260800493873205</v>
      </c>
      <c r="J568">
        <v>232.68463163667201</v>
      </c>
      <c r="K568">
        <v>89.142591624442801</v>
      </c>
      <c r="L568">
        <v>6.3933226777418897</v>
      </c>
      <c r="M568">
        <v>84.0897102302674</v>
      </c>
      <c r="N568">
        <v>6.1006025924512297</v>
      </c>
      <c r="O568">
        <v>59.868893191514097</v>
      </c>
      <c r="P568">
        <v>84.067394043836401</v>
      </c>
      <c r="Q568">
        <v>0</v>
      </c>
      <c r="R568">
        <v>0</v>
      </c>
      <c r="S568">
        <v>25.344352617079799</v>
      </c>
    </row>
    <row r="569" spans="1:19" x14ac:dyDescent="0.25">
      <c r="A569">
        <v>20</v>
      </c>
      <c r="B569">
        <v>175</v>
      </c>
      <c r="C569">
        <v>72</v>
      </c>
      <c r="D569" t="s">
        <v>19</v>
      </c>
      <c r="E569">
        <v>6.6002466046764798</v>
      </c>
      <c r="F569">
        <v>27</v>
      </c>
      <c r="G569">
        <v>0</v>
      </c>
      <c r="H569">
        <v>79.963214039688694</v>
      </c>
      <c r="I569">
        <v>75.336945500756102</v>
      </c>
      <c r="J569">
        <v>247.818974225495</v>
      </c>
      <c r="K569">
        <v>84.363461180305194</v>
      </c>
      <c r="L569">
        <v>5.63294566291425</v>
      </c>
      <c r="M569">
        <v>68.013417338615895</v>
      </c>
      <c r="N569">
        <v>7.2290743644370599</v>
      </c>
      <c r="O569">
        <v>52.7842437539719</v>
      </c>
      <c r="P569">
        <v>78.016983579667396</v>
      </c>
      <c r="Q569">
        <v>1</v>
      </c>
      <c r="R569">
        <v>0</v>
      </c>
      <c r="S569">
        <v>23.510204081632601</v>
      </c>
    </row>
    <row r="570" spans="1:19" x14ac:dyDescent="0.25">
      <c r="A570">
        <v>23</v>
      </c>
      <c r="B570">
        <v>193</v>
      </c>
      <c r="C570">
        <v>70</v>
      </c>
      <c r="D570" t="s">
        <v>20</v>
      </c>
      <c r="E570">
        <v>5</v>
      </c>
      <c r="F570">
        <v>23</v>
      </c>
      <c r="G570">
        <v>1</v>
      </c>
      <c r="H570">
        <v>74.218874522270497</v>
      </c>
      <c r="I570">
        <v>82.977163859051203</v>
      </c>
      <c r="J570">
        <v>276.02465050180399</v>
      </c>
      <c r="K570">
        <v>88.721699913185006</v>
      </c>
      <c r="L570">
        <v>6.1907830631200698</v>
      </c>
      <c r="M570">
        <v>79.166138091034597</v>
      </c>
      <c r="N570">
        <v>6.3654901439721598</v>
      </c>
      <c r="O570">
        <v>76.027756426897795</v>
      </c>
      <c r="P570">
        <v>64.7399790935808</v>
      </c>
      <c r="Q570">
        <v>1</v>
      </c>
      <c r="R570">
        <v>1</v>
      </c>
      <c r="S570">
        <v>18.7924508040484</v>
      </c>
    </row>
    <row r="571" spans="1:19" x14ac:dyDescent="0.25">
      <c r="A571">
        <v>20</v>
      </c>
      <c r="B571">
        <v>167</v>
      </c>
      <c r="C571">
        <v>58</v>
      </c>
      <c r="D571" t="s">
        <v>21</v>
      </c>
      <c r="E571">
        <v>7.8976715023722504</v>
      </c>
      <c r="F571">
        <v>28</v>
      </c>
      <c r="G571">
        <v>3</v>
      </c>
      <c r="H571">
        <v>66.7701016323022</v>
      </c>
      <c r="I571">
        <v>72.498503738648296</v>
      </c>
      <c r="J571">
        <v>275.01460151406701</v>
      </c>
      <c r="K571">
        <v>76.387997330926197</v>
      </c>
      <c r="L571">
        <v>5.8060050418049398</v>
      </c>
      <c r="M571">
        <v>69.3885522350934</v>
      </c>
      <c r="N571">
        <v>7.0018626674801299</v>
      </c>
      <c r="O571">
        <v>63.206437940905097</v>
      </c>
      <c r="P571">
        <v>84.311045408519703</v>
      </c>
      <c r="Q571">
        <v>1</v>
      </c>
      <c r="R571">
        <v>1</v>
      </c>
      <c r="S571">
        <v>20.796729893506399</v>
      </c>
    </row>
    <row r="572" spans="1:19" x14ac:dyDescent="0.25">
      <c r="A572">
        <v>23</v>
      </c>
      <c r="B572">
        <v>176</v>
      </c>
      <c r="C572">
        <v>55</v>
      </c>
      <c r="D572" t="s">
        <v>21</v>
      </c>
      <c r="E572">
        <v>7.9234341284953498</v>
      </c>
      <c r="F572">
        <v>38</v>
      </c>
      <c r="G572">
        <v>1</v>
      </c>
      <c r="H572">
        <v>80.165247187507006</v>
      </c>
      <c r="I572">
        <v>83.632921214495596</v>
      </c>
      <c r="J572">
        <v>219.09480904021601</v>
      </c>
      <c r="K572">
        <v>86.539483351334297</v>
      </c>
      <c r="L572">
        <v>6.1057848836082202</v>
      </c>
      <c r="M572">
        <v>84.417198523228706</v>
      </c>
      <c r="N572">
        <v>7.38021265110378</v>
      </c>
      <c r="O572">
        <v>51.566171228019499</v>
      </c>
      <c r="P572">
        <v>90.140906150804398</v>
      </c>
      <c r="Q572">
        <v>1</v>
      </c>
      <c r="R572">
        <v>0</v>
      </c>
      <c r="S572">
        <v>17.755681818181799</v>
      </c>
    </row>
    <row r="573" spans="1:19" x14ac:dyDescent="0.25">
      <c r="A573">
        <v>21</v>
      </c>
      <c r="B573">
        <v>183</v>
      </c>
      <c r="C573">
        <v>58</v>
      </c>
      <c r="D573" t="s">
        <v>21</v>
      </c>
      <c r="E573">
        <v>15.7683240800687</v>
      </c>
      <c r="F573">
        <v>30</v>
      </c>
      <c r="G573">
        <v>2</v>
      </c>
      <c r="H573">
        <v>65.555818407517904</v>
      </c>
      <c r="I573">
        <v>80.205874778024295</v>
      </c>
      <c r="J573">
        <v>237.23926117716201</v>
      </c>
      <c r="K573">
        <v>73.893772922939405</v>
      </c>
      <c r="L573">
        <v>5.9636623805020799</v>
      </c>
      <c r="M573">
        <v>80.743696782819399</v>
      </c>
      <c r="N573">
        <v>7.1839060132153403</v>
      </c>
      <c r="O573">
        <v>32.575751182905996</v>
      </c>
      <c r="P573">
        <v>82.562966795941705</v>
      </c>
      <c r="Q573">
        <v>0</v>
      </c>
      <c r="R573">
        <v>1</v>
      </c>
      <c r="S573">
        <v>17.319119710949799</v>
      </c>
    </row>
    <row r="574" spans="1:19" x14ac:dyDescent="0.25">
      <c r="A574">
        <v>24</v>
      </c>
      <c r="B574">
        <v>179</v>
      </c>
      <c r="C574">
        <v>69</v>
      </c>
      <c r="D574" t="s">
        <v>19</v>
      </c>
      <c r="E574">
        <v>9.1194906722538498</v>
      </c>
      <c r="F574">
        <v>34</v>
      </c>
      <c r="G574">
        <v>0</v>
      </c>
      <c r="H574">
        <v>73.811428325025204</v>
      </c>
      <c r="I574">
        <v>71.554603792026995</v>
      </c>
      <c r="J574">
        <v>241.300690308279</v>
      </c>
      <c r="K574">
        <v>89.341487569216099</v>
      </c>
      <c r="L574">
        <v>6.0456838367939998</v>
      </c>
      <c r="M574">
        <v>80.1857870573876</v>
      </c>
      <c r="N574">
        <v>7.9655152194483403</v>
      </c>
      <c r="O574">
        <v>51.669814534979501</v>
      </c>
      <c r="P574">
        <v>73.5046105011874</v>
      </c>
      <c r="Q574">
        <v>1</v>
      </c>
      <c r="R574">
        <v>0</v>
      </c>
      <c r="S574">
        <v>21.534908398614199</v>
      </c>
    </row>
    <row r="575" spans="1:19" x14ac:dyDescent="0.25">
      <c r="A575">
        <v>19</v>
      </c>
      <c r="B575">
        <v>191</v>
      </c>
      <c r="C575">
        <v>70</v>
      </c>
      <c r="D575" t="s">
        <v>19</v>
      </c>
      <c r="E575">
        <v>10.8791781730501</v>
      </c>
      <c r="F575">
        <v>14</v>
      </c>
      <c r="G575">
        <v>0</v>
      </c>
      <c r="H575">
        <v>73.968708095327898</v>
      </c>
      <c r="I575">
        <v>66.200404839847906</v>
      </c>
      <c r="J575">
        <v>230.87062497390301</v>
      </c>
      <c r="K575">
        <v>73.677171349891694</v>
      </c>
      <c r="L575">
        <v>6.2884491641435103</v>
      </c>
      <c r="M575">
        <v>89.153543459499701</v>
      </c>
      <c r="N575">
        <v>7.4923739997555803</v>
      </c>
      <c r="O575">
        <v>60.130835022352898</v>
      </c>
      <c r="P575">
        <v>75.577893782908703</v>
      </c>
      <c r="Q575">
        <v>1</v>
      </c>
      <c r="R575">
        <v>0</v>
      </c>
      <c r="S575">
        <v>19.1880705024533</v>
      </c>
    </row>
    <row r="576" spans="1:19" x14ac:dyDescent="0.25">
      <c r="A576">
        <v>21</v>
      </c>
      <c r="B576">
        <v>173</v>
      </c>
      <c r="C576">
        <v>81</v>
      </c>
      <c r="D576" t="s">
        <v>20</v>
      </c>
      <c r="E576">
        <v>10.9639981995153</v>
      </c>
      <c r="F576">
        <v>13</v>
      </c>
      <c r="G576">
        <v>2</v>
      </c>
      <c r="H576">
        <v>79.631501443917102</v>
      </c>
      <c r="I576">
        <v>74.533191353215202</v>
      </c>
      <c r="J576">
        <v>216.040507403758</v>
      </c>
      <c r="K576">
        <v>91.3310431680178</v>
      </c>
      <c r="L576">
        <v>6.0109096437640401</v>
      </c>
      <c r="M576">
        <v>79.194368678008104</v>
      </c>
      <c r="N576">
        <v>7.1725846478712398</v>
      </c>
      <c r="O576">
        <v>53.701164224888601</v>
      </c>
      <c r="P576">
        <v>94.5649621699352</v>
      </c>
      <c r="Q576">
        <v>1</v>
      </c>
      <c r="R576">
        <v>0</v>
      </c>
      <c r="S576">
        <v>27.064051588760002</v>
      </c>
    </row>
    <row r="577" spans="1:19" x14ac:dyDescent="0.25">
      <c r="A577">
        <v>24</v>
      </c>
      <c r="B577">
        <v>176</v>
      </c>
      <c r="C577">
        <v>80</v>
      </c>
      <c r="D577" t="s">
        <v>22</v>
      </c>
      <c r="E577">
        <v>10.933232435531901</v>
      </c>
      <c r="F577">
        <v>21</v>
      </c>
      <c r="G577">
        <v>2</v>
      </c>
      <c r="H577">
        <v>74.280750051301496</v>
      </c>
      <c r="I577">
        <v>88.222907741827299</v>
      </c>
      <c r="J577">
        <v>229.98474569927799</v>
      </c>
      <c r="K577">
        <v>87.856685869476095</v>
      </c>
      <c r="L577">
        <v>5.67346617159515</v>
      </c>
      <c r="M577">
        <v>93.765291787633103</v>
      </c>
      <c r="N577">
        <v>8.2380513489343592</v>
      </c>
      <c r="O577">
        <v>60.049902582142998</v>
      </c>
      <c r="P577">
        <v>74.836259450914696</v>
      </c>
      <c r="Q577">
        <v>1</v>
      </c>
      <c r="R577">
        <v>0</v>
      </c>
      <c r="S577">
        <v>25.8264462809917</v>
      </c>
    </row>
    <row r="578" spans="1:19" x14ac:dyDescent="0.25">
      <c r="A578">
        <v>19</v>
      </c>
      <c r="B578">
        <v>174</v>
      </c>
      <c r="C578">
        <v>91</v>
      </c>
      <c r="D578" t="s">
        <v>20</v>
      </c>
      <c r="E578">
        <v>9.0344145206365507</v>
      </c>
      <c r="F578">
        <v>29</v>
      </c>
      <c r="G578">
        <v>2</v>
      </c>
      <c r="H578">
        <v>60.491944291139497</v>
      </c>
      <c r="I578">
        <v>76.323234270024201</v>
      </c>
      <c r="J578">
        <v>256.89395146597701</v>
      </c>
      <c r="K578">
        <v>87.182577491119702</v>
      </c>
      <c r="L578">
        <v>5.87953474202852</v>
      </c>
      <c r="M578">
        <v>64.442268795468905</v>
      </c>
      <c r="N578">
        <v>6.9144126369185104</v>
      </c>
      <c r="O578">
        <v>73.841229768938106</v>
      </c>
      <c r="P578">
        <v>77.541155267991996</v>
      </c>
      <c r="Q578">
        <v>0</v>
      </c>
      <c r="R578">
        <v>1</v>
      </c>
      <c r="S578">
        <v>30.0568106751222</v>
      </c>
    </row>
    <row r="579" spans="1:19" x14ac:dyDescent="0.25">
      <c r="A579">
        <v>20</v>
      </c>
      <c r="B579">
        <v>180</v>
      </c>
      <c r="C579">
        <v>67</v>
      </c>
      <c r="D579" t="s">
        <v>20</v>
      </c>
      <c r="E579">
        <v>11.7611621085248</v>
      </c>
      <c r="F579">
        <v>17</v>
      </c>
      <c r="G579">
        <v>1</v>
      </c>
      <c r="H579">
        <v>73.290085362974395</v>
      </c>
      <c r="I579">
        <v>75.616383351886796</v>
      </c>
      <c r="J579">
        <v>249.216734604181</v>
      </c>
      <c r="K579">
        <v>81.804193600771896</v>
      </c>
      <c r="L579">
        <v>5.6989640278720497</v>
      </c>
      <c r="M579">
        <v>66.163554141853496</v>
      </c>
      <c r="N579">
        <v>6.67369117963342</v>
      </c>
      <c r="O579">
        <v>55.792771478525601</v>
      </c>
      <c r="P579">
        <v>79.288897151007006</v>
      </c>
      <c r="Q579">
        <v>1</v>
      </c>
      <c r="R579">
        <v>1</v>
      </c>
      <c r="S579">
        <v>20.679012345678998</v>
      </c>
    </row>
    <row r="580" spans="1:19" x14ac:dyDescent="0.25">
      <c r="A580">
        <v>19</v>
      </c>
      <c r="B580">
        <v>174</v>
      </c>
      <c r="C580">
        <v>53</v>
      </c>
      <c r="D580" t="s">
        <v>20</v>
      </c>
      <c r="E580">
        <v>12.935380244177299</v>
      </c>
      <c r="F580">
        <v>39</v>
      </c>
      <c r="G580">
        <v>2</v>
      </c>
      <c r="H580">
        <v>76.867502812160495</v>
      </c>
      <c r="I580">
        <v>85.562935575044904</v>
      </c>
      <c r="J580">
        <v>260.24840904479902</v>
      </c>
      <c r="K580">
        <v>83.369932081473905</v>
      </c>
      <c r="L580">
        <v>6.2625825955279</v>
      </c>
      <c r="M580">
        <v>80.180271322556706</v>
      </c>
      <c r="N580">
        <v>8.3104967112831698</v>
      </c>
      <c r="O580">
        <v>52.788797428436403</v>
      </c>
      <c r="P580">
        <v>90.953537316437604</v>
      </c>
      <c r="Q580">
        <v>1</v>
      </c>
      <c r="R580">
        <v>0</v>
      </c>
      <c r="S580">
        <v>17.505615008587601</v>
      </c>
    </row>
    <row r="581" spans="1:19" x14ac:dyDescent="0.25">
      <c r="A581">
        <v>21</v>
      </c>
      <c r="B581">
        <v>188</v>
      </c>
      <c r="C581">
        <v>71</v>
      </c>
      <c r="D581" t="s">
        <v>21</v>
      </c>
      <c r="E581">
        <v>9.2999030621241907</v>
      </c>
      <c r="F581">
        <v>13</v>
      </c>
      <c r="G581">
        <v>2</v>
      </c>
      <c r="H581">
        <v>73.441993998762598</v>
      </c>
      <c r="I581">
        <v>80.841464440961701</v>
      </c>
      <c r="J581">
        <v>240.83123234484199</v>
      </c>
      <c r="K581">
        <v>93.164493835202094</v>
      </c>
      <c r="L581">
        <v>6.2964663279441897</v>
      </c>
      <c r="M581">
        <v>89.634468768329995</v>
      </c>
      <c r="N581">
        <v>8.6671144140753906</v>
      </c>
      <c r="O581">
        <v>46.040878697718298</v>
      </c>
      <c r="P581">
        <v>84.280650504540006</v>
      </c>
      <c r="Q581">
        <v>1</v>
      </c>
      <c r="R581">
        <v>0</v>
      </c>
      <c r="S581">
        <v>20.088275237664099</v>
      </c>
    </row>
    <row r="582" spans="1:19" x14ac:dyDescent="0.25">
      <c r="A582">
        <v>21</v>
      </c>
      <c r="B582">
        <v>184</v>
      </c>
      <c r="C582">
        <v>74</v>
      </c>
      <c r="D582" t="s">
        <v>20</v>
      </c>
      <c r="E582">
        <v>5.2935416555663597</v>
      </c>
      <c r="F582">
        <v>23</v>
      </c>
      <c r="G582">
        <v>0</v>
      </c>
      <c r="H582">
        <v>77.822689615525206</v>
      </c>
      <c r="I582">
        <v>84.000458453146607</v>
      </c>
      <c r="J582">
        <v>215.71227697162001</v>
      </c>
      <c r="K582">
        <v>100</v>
      </c>
      <c r="L582">
        <v>6.4348206145429199</v>
      </c>
      <c r="M582">
        <v>95.1577472933118</v>
      </c>
      <c r="N582">
        <v>7.5529357742558201</v>
      </c>
      <c r="O582">
        <v>44.114462564688097</v>
      </c>
      <c r="P582">
        <v>88.741890655572206</v>
      </c>
      <c r="Q582">
        <v>1</v>
      </c>
      <c r="R582">
        <v>0</v>
      </c>
      <c r="S582">
        <v>21.8572778827977</v>
      </c>
    </row>
    <row r="583" spans="1:19" x14ac:dyDescent="0.25">
      <c r="A583">
        <v>22</v>
      </c>
      <c r="B583">
        <v>166</v>
      </c>
      <c r="C583">
        <v>82</v>
      </c>
      <c r="D583" t="s">
        <v>22</v>
      </c>
      <c r="E583">
        <v>12.2058244825686</v>
      </c>
      <c r="F583">
        <v>22</v>
      </c>
      <c r="G583">
        <v>0</v>
      </c>
      <c r="H583">
        <v>64.957765217412799</v>
      </c>
      <c r="I583">
        <v>70.767731297398001</v>
      </c>
      <c r="J583">
        <v>247.529265098537</v>
      </c>
      <c r="K583">
        <v>81.787905984579098</v>
      </c>
      <c r="L583">
        <v>5.8716083724779997</v>
      </c>
      <c r="M583">
        <v>86.519843309945998</v>
      </c>
      <c r="N583">
        <v>7.17964981336889</v>
      </c>
      <c r="O583">
        <v>38.091891708488603</v>
      </c>
      <c r="P583">
        <v>64.006660211842998</v>
      </c>
      <c r="Q583">
        <v>1</v>
      </c>
      <c r="R583">
        <v>1</v>
      </c>
      <c r="S583">
        <v>29.757584555087799</v>
      </c>
    </row>
    <row r="584" spans="1:19" x14ac:dyDescent="0.25">
      <c r="A584">
        <v>21</v>
      </c>
      <c r="B584">
        <v>174</v>
      </c>
      <c r="C584">
        <v>68</v>
      </c>
      <c r="D584" t="s">
        <v>20</v>
      </c>
      <c r="E584">
        <v>5.3487590830781402</v>
      </c>
      <c r="F584">
        <v>6</v>
      </c>
      <c r="G584">
        <v>0</v>
      </c>
      <c r="H584">
        <v>82.277386635132004</v>
      </c>
      <c r="I584">
        <v>81.884307941486597</v>
      </c>
      <c r="J584">
        <v>266.70091859609602</v>
      </c>
      <c r="K584">
        <v>93.135499541163099</v>
      </c>
      <c r="L584">
        <v>6.4333718896426699</v>
      </c>
      <c r="M584">
        <v>81.125004210741594</v>
      </c>
      <c r="N584">
        <v>7.9723176671914997</v>
      </c>
      <c r="O584">
        <v>50.951090668534199</v>
      </c>
      <c r="P584">
        <v>80.753389828723002</v>
      </c>
      <c r="Q584">
        <v>0</v>
      </c>
      <c r="R584">
        <v>0</v>
      </c>
      <c r="S584">
        <v>22.460034350640701</v>
      </c>
    </row>
    <row r="585" spans="1:19" x14ac:dyDescent="0.25">
      <c r="A585">
        <v>21</v>
      </c>
      <c r="B585">
        <v>184</v>
      </c>
      <c r="C585">
        <v>77</v>
      </c>
      <c r="D585" t="s">
        <v>21</v>
      </c>
      <c r="E585">
        <v>18.866608420604098</v>
      </c>
      <c r="F585">
        <v>31</v>
      </c>
      <c r="G585">
        <v>2</v>
      </c>
      <c r="H585">
        <v>63.900675791737399</v>
      </c>
      <c r="I585">
        <v>80.644099062354897</v>
      </c>
      <c r="J585">
        <v>240.40363752282499</v>
      </c>
      <c r="K585">
        <v>85.711524794697596</v>
      </c>
      <c r="L585">
        <v>5.9394251369931004</v>
      </c>
      <c r="M585">
        <v>76.313000538100397</v>
      </c>
      <c r="N585">
        <v>7.1008696638137403</v>
      </c>
      <c r="O585">
        <v>63.444397428732799</v>
      </c>
      <c r="P585">
        <v>65.901036822001402</v>
      </c>
      <c r="Q585">
        <v>0</v>
      </c>
      <c r="R585">
        <v>1</v>
      </c>
      <c r="S585">
        <v>22.743383742911099</v>
      </c>
    </row>
    <row r="586" spans="1:19" x14ac:dyDescent="0.25">
      <c r="A586">
        <v>20</v>
      </c>
      <c r="B586">
        <v>187</v>
      </c>
      <c r="C586">
        <v>72</v>
      </c>
      <c r="D586" t="s">
        <v>20</v>
      </c>
      <c r="E586">
        <v>11.773858127753799</v>
      </c>
      <c r="F586">
        <v>33</v>
      </c>
      <c r="G586">
        <v>3</v>
      </c>
      <c r="H586">
        <v>76.612381815610107</v>
      </c>
      <c r="I586">
        <v>65.596489705943597</v>
      </c>
      <c r="J586">
        <v>279.55209540409101</v>
      </c>
      <c r="K586">
        <v>93.007373816409796</v>
      </c>
      <c r="L586">
        <v>5.43260436359349</v>
      </c>
      <c r="M586">
        <v>64.656332154885405</v>
      </c>
      <c r="N586">
        <v>6.9548568523203196</v>
      </c>
      <c r="O586">
        <v>61.619218459804401</v>
      </c>
      <c r="P586">
        <v>80.466555140549005</v>
      </c>
      <c r="Q586">
        <v>1</v>
      </c>
      <c r="R586">
        <v>1</v>
      </c>
      <c r="S586">
        <v>20.589665131974002</v>
      </c>
    </row>
    <row r="587" spans="1:19" x14ac:dyDescent="0.25">
      <c r="A587">
        <v>20</v>
      </c>
      <c r="B587">
        <v>177</v>
      </c>
      <c r="C587">
        <v>65</v>
      </c>
      <c r="D587" t="s">
        <v>21</v>
      </c>
      <c r="E587">
        <v>11.032923337401501</v>
      </c>
      <c r="F587">
        <v>18</v>
      </c>
      <c r="G587">
        <v>3</v>
      </c>
      <c r="H587">
        <v>80.197386872203097</v>
      </c>
      <c r="I587">
        <v>80.045320882102899</v>
      </c>
      <c r="J587">
        <v>236.64799875207501</v>
      </c>
      <c r="K587">
        <v>83.962796253770605</v>
      </c>
      <c r="L587">
        <v>5.7872585905311702</v>
      </c>
      <c r="M587">
        <v>77.968420230637804</v>
      </c>
      <c r="N587">
        <v>5.9205227047140196</v>
      </c>
      <c r="O587">
        <v>50.611510970255097</v>
      </c>
      <c r="P587">
        <v>57.935569513766197</v>
      </c>
      <c r="Q587">
        <v>0</v>
      </c>
      <c r="R587">
        <v>1</v>
      </c>
      <c r="S587">
        <v>20.747550193111799</v>
      </c>
    </row>
    <row r="588" spans="1:19" x14ac:dyDescent="0.25">
      <c r="A588">
        <v>20</v>
      </c>
      <c r="B588">
        <v>187</v>
      </c>
      <c r="C588">
        <v>65</v>
      </c>
      <c r="D588" t="s">
        <v>21</v>
      </c>
      <c r="E588">
        <v>11.5971001525795</v>
      </c>
      <c r="F588">
        <v>34</v>
      </c>
      <c r="G588">
        <v>1</v>
      </c>
      <c r="H588">
        <v>89.304475908218194</v>
      </c>
      <c r="I588">
        <v>82.642018260192998</v>
      </c>
      <c r="J588">
        <v>255.12114807335999</v>
      </c>
      <c r="K588">
        <v>96.905571516679103</v>
      </c>
      <c r="L588">
        <v>5.7327417649967698</v>
      </c>
      <c r="M588">
        <v>87.424300769938498</v>
      </c>
      <c r="N588">
        <v>7.0737313397705401</v>
      </c>
      <c r="O588">
        <v>41.619807413181199</v>
      </c>
      <c r="P588">
        <v>89.241248962131905</v>
      </c>
      <c r="Q588">
        <v>0</v>
      </c>
      <c r="R588">
        <v>0</v>
      </c>
      <c r="S588">
        <v>18.587892133032099</v>
      </c>
    </row>
    <row r="589" spans="1:19" x14ac:dyDescent="0.25">
      <c r="A589">
        <v>21</v>
      </c>
      <c r="B589">
        <v>178</v>
      </c>
      <c r="C589">
        <v>82</v>
      </c>
      <c r="D589" t="s">
        <v>20</v>
      </c>
      <c r="E589">
        <v>8.8628200354323194</v>
      </c>
      <c r="F589">
        <v>33</v>
      </c>
      <c r="G589">
        <v>0</v>
      </c>
      <c r="H589">
        <v>74.973867340078399</v>
      </c>
      <c r="I589">
        <v>77.124189203134193</v>
      </c>
      <c r="J589">
        <v>261.69083757407202</v>
      </c>
      <c r="K589">
        <v>83.002855396222998</v>
      </c>
      <c r="L589">
        <v>5.4352759563343902</v>
      </c>
      <c r="M589">
        <v>78.172342533335197</v>
      </c>
      <c r="N589">
        <v>7.2731719223983502</v>
      </c>
      <c r="O589">
        <v>59.433334829750201</v>
      </c>
      <c r="P589">
        <v>70.402329882675701</v>
      </c>
      <c r="Q589">
        <v>0</v>
      </c>
      <c r="R589">
        <v>1</v>
      </c>
      <c r="S589">
        <v>25.880570635020799</v>
      </c>
    </row>
    <row r="590" spans="1:19" x14ac:dyDescent="0.25">
      <c r="A590">
        <v>21</v>
      </c>
      <c r="B590">
        <v>168</v>
      </c>
      <c r="C590">
        <v>77</v>
      </c>
      <c r="D590" t="s">
        <v>21</v>
      </c>
      <c r="E590">
        <v>11.579370801539699</v>
      </c>
      <c r="F590">
        <v>36</v>
      </c>
      <c r="G590">
        <v>2</v>
      </c>
      <c r="H590">
        <v>69.645291790957899</v>
      </c>
      <c r="I590">
        <v>83.144428800487404</v>
      </c>
      <c r="J590">
        <v>243.22607831103801</v>
      </c>
      <c r="K590">
        <v>86.086257440092396</v>
      </c>
      <c r="L590">
        <v>6.5600055655743903</v>
      </c>
      <c r="M590">
        <v>79.094056703686505</v>
      </c>
      <c r="N590">
        <v>6.5391378594582896</v>
      </c>
      <c r="O590">
        <v>52.129086697629603</v>
      </c>
      <c r="P590">
        <v>79.555738298158403</v>
      </c>
      <c r="Q590">
        <v>1</v>
      </c>
      <c r="R590">
        <v>0</v>
      </c>
      <c r="S590">
        <v>27.281746031746</v>
      </c>
    </row>
    <row r="591" spans="1:19" x14ac:dyDescent="0.25">
      <c r="A591">
        <v>22</v>
      </c>
      <c r="B591">
        <v>189</v>
      </c>
      <c r="C591">
        <v>65</v>
      </c>
      <c r="D591" t="s">
        <v>22</v>
      </c>
      <c r="E591">
        <v>6.3116742868867597</v>
      </c>
      <c r="F591">
        <v>16</v>
      </c>
      <c r="G591">
        <v>2</v>
      </c>
      <c r="H591">
        <v>73.689296840265897</v>
      </c>
      <c r="I591">
        <v>73.755737121869103</v>
      </c>
      <c r="J591">
        <v>276.671276873274</v>
      </c>
      <c r="K591">
        <v>73.830194638803107</v>
      </c>
      <c r="L591">
        <v>5.6741125886323696</v>
      </c>
      <c r="M591">
        <v>67.149686243480105</v>
      </c>
      <c r="N591">
        <v>6.7588502710455902</v>
      </c>
      <c r="O591">
        <v>59.3204563157759</v>
      </c>
      <c r="P591">
        <v>89.098766242508503</v>
      </c>
      <c r="Q591">
        <v>0</v>
      </c>
      <c r="R591">
        <v>1</v>
      </c>
      <c r="S591">
        <v>18.196579043139799</v>
      </c>
    </row>
    <row r="592" spans="1:19" x14ac:dyDescent="0.25">
      <c r="A592">
        <v>23</v>
      </c>
      <c r="B592">
        <v>177</v>
      </c>
      <c r="C592">
        <v>79</v>
      </c>
      <c r="D592" t="s">
        <v>19</v>
      </c>
      <c r="E592">
        <v>13.5792369151839</v>
      </c>
      <c r="F592">
        <v>28</v>
      </c>
      <c r="G592">
        <v>2</v>
      </c>
      <c r="H592">
        <v>73.075185035159805</v>
      </c>
      <c r="I592">
        <v>85.941410676871698</v>
      </c>
      <c r="J592">
        <v>244.122230233278</v>
      </c>
      <c r="K592">
        <v>73.526932672210904</v>
      </c>
      <c r="L592">
        <v>5.5636211320674596</v>
      </c>
      <c r="M592">
        <v>71.438273590008606</v>
      </c>
      <c r="N592">
        <v>6.0883594463766997</v>
      </c>
      <c r="O592">
        <v>53.668118770297703</v>
      </c>
      <c r="P592">
        <v>76.602107666057293</v>
      </c>
      <c r="Q592">
        <v>1</v>
      </c>
      <c r="R592">
        <v>1</v>
      </c>
      <c r="S592">
        <v>25.216253311628201</v>
      </c>
    </row>
    <row r="593" spans="1:19" x14ac:dyDescent="0.25">
      <c r="A593">
        <v>24</v>
      </c>
      <c r="B593">
        <v>167</v>
      </c>
      <c r="C593">
        <v>70</v>
      </c>
      <c r="D593" t="s">
        <v>22</v>
      </c>
      <c r="E593">
        <v>14.1135670678081</v>
      </c>
      <c r="F593">
        <v>9</v>
      </c>
      <c r="G593">
        <v>0</v>
      </c>
      <c r="H593">
        <v>69.040135166255197</v>
      </c>
      <c r="I593">
        <v>74.058058860459298</v>
      </c>
      <c r="J593">
        <v>283.30130728599499</v>
      </c>
      <c r="K593">
        <v>80.775426572591002</v>
      </c>
      <c r="L593">
        <v>5.8084185449810599</v>
      </c>
      <c r="M593">
        <v>73.111349963282905</v>
      </c>
      <c r="N593">
        <v>5.5694978613505004</v>
      </c>
      <c r="O593">
        <v>61.562675513503102</v>
      </c>
      <c r="P593">
        <v>67.993847502941094</v>
      </c>
      <c r="Q593">
        <v>1</v>
      </c>
      <c r="R593">
        <v>1</v>
      </c>
      <c r="S593">
        <v>25.099501595611098</v>
      </c>
    </row>
    <row r="594" spans="1:19" x14ac:dyDescent="0.25">
      <c r="A594">
        <v>23</v>
      </c>
      <c r="B594">
        <v>178</v>
      </c>
      <c r="C594">
        <v>75</v>
      </c>
      <c r="D594" t="s">
        <v>19</v>
      </c>
      <c r="E594">
        <v>11.087301213197</v>
      </c>
      <c r="F594">
        <v>29</v>
      </c>
      <c r="G594">
        <v>2</v>
      </c>
      <c r="H594">
        <v>85.246422717133498</v>
      </c>
      <c r="I594">
        <v>84.442197252762099</v>
      </c>
      <c r="J594">
        <v>232.23147769690999</v>
      </c>
      <c r="K594">
        <v>83.999497591391702</v>
      </c>
      <c r="L594">
        <v>6.0585586378915597</v>
      </c>
      <c r="M594">
        <v>86.321058865837799</v>
      </c>
      <c r="N594">
        <v>7.16940899795389</v>
      </c>
      <c r="O594">
        <v>52.263507397567899</v>
      </c>
      <c r="P594">
        <v>77.375363458421802</v>
      </c>
      <c r="Q594">
        <v>1</v>
      </c>
      <c r="R594">
        <v>0</v>
      </c>
      <c r="S594">
        <v>23.671253629592201</v>
      </c>
    </row>
    <row r="595" spans="1:19" x14ac:dyDescent="0.25">
      <c r="A595">
        <v>21</v>
      </c>
      <c r="B595">
        <v>184</v>
      </c>
      <c r="C595">
        <v>72</v>
      </c>
      <c r="D595" t="s">
        <v>19</v>
      </c>
      <c r="E595">
        <v>13.042976658856</v>
      </c>
      <c r="F595">
        <v>24</v>
      </c>
      <c r="G595">
        <v>4</v>
      </c>
      <c r="H595">
        <v>67.403529226798</v>
      </c>
      <c r="I595">
        <v>75.992650853242495</v>
      </c>
      <c r="J595">
        <v>265.717421135969</v>
      </c>
      <c r="K595">
        <v>68.979218111030903</v>
      </c>
      <c r="L595">
        <v>5.6975550708782396</v>
      </c>
      <c r="M595">
        <v>89.799414623054602</v>
      </c>
      <c r="N595">
        <v>6.9507552895267404</v>
      </c>
      <c r="O595">
        <v>67.305191597929706</v>
      </c>
      <c r="P595">
        <v>72.787591657886495</v>
      </c>
      <c r="Q595">
        <v>1</v>
      </c>
      <c r="R595">
        <v>1</v>
      </c>
      <c r="S595">
        <v>21.266540642722099</v>
      </c>
    </row>
    <row r="596" spans="1:19" x14ac:dyDescent="0.25">
      <c r="A596">
        <v>18</v>
      </c>
      <c r="B596">
        <v>169</v>
      </c>
      <c r="C596">
        <v>71</v>
      </c>
      <c r="D596" t="s">
        <v>19</v>
      </c>
      <c r="E596">
        <v>13.808557549238101</v>
      </c>
      <c r="F596">
        <v>38</v>
      </c>
      <c r="G596">
        <v>1</v>
      </c>
      <c r="H596">
        <v>56.6644815250609</v>
      </c>
      <c r="I596">
        <v>73.278333785901495</v>
      </c>
      <c r="J596">
        <v>263.96242663060099</v>
      </c>
      <c r="K596">
        <v>86.866006879262201</v>
      </c>
      <c r="L596">
        <v>5.8072813820092701</v>
      </c>
      <c r="M596">
        <v>73.617716740780693</v>
      </c>
      <c r="N596">
        <v>5.8246222118739501</v>
      </c>
      <c r="O596">
        <v>61.349900066954298</v>
      </c>
      <c r="P596">
        <v>76.774574517485405</v>
      </c>
      <c r="Q596">
        <v>1</v>
      </c>
      <c r="R596">
        <v>1</v>
      </c>
      <c r="S596">
        <v>24.85907356185</v>
      </c>
    </row>
    <row r="597" spans="1:19" x14ac:dyDescent="0.25">
      <c r="A597">
        <v>20</v>
      </c>
      <c r="B597">
        <v>177</v>
      </c>
      <c r="C597">
        <v>85</v>
      </c>
      <c r="D597" t="s">
        <v>19</v>
      </c>
      <c r="E597">
        <v>9.5766116076070205</v>
      </c>
      <c r="F597">
        <v>31</v>
      </c>
      <c r="G597">
        <v>1</v>
      </c>
      <c r="H597">
        <v>66.336396986422301</v>
      </c>
      <c r="I597">
        <v>64.579089805912801</v>
      </c>
      <c r="J597">
        <v>239.16659218613299</v>
      </c>
      <c r="K597">
        <v>78.602723500528896</v>
      </c>
      <c r="L597">
        <v>5.5164698481002397</v>
      </c>
      <c r="M597">
        <v>74.284448534536395</v>
      </c>
      <c r="N597">
        <v>7.0624407493066998</v>
      </c>
      <c r="O597">
        <v>50.9608774664202</v>
      </c>
      <c r="P597">
        <v>82.320332357401597</v>
      </c>
      <c r="Q597">
        <v>1</v>
      </c>
      <c r="R597">
        <v>1</v>
      </c>
      <c r="S597">
        <v>27.131411790992299</v>
      </c>
    </row>
    <row r="598" spans="1:19" x14ac:dyDescent="0.25">
      <c r="A598">
        <v>18</v>
      </c>
      <c r="B598">
        <v>178</v>
      </c>
      <c r="C598">
        <v>76</v>
      </c>
      <c r="D598" t="s">
        <v>21</v>
      </c>
      <c r="E598">
        <v>7.5677983589683198</v>
      </c>
      <c r="F598">
        <v>26</v>
      </c>
      <c r="G598">
        <v>0</v>
      </c>
      <c r="H598">
        <v>87.171156117473302</v>
      </c>
      <c r="I598">
        <v>88.834637960461393</v>
      </c>
      <c r="J598">
        <v>230.82357903105</v>
      </c>
      <c r="K598">
        <v>90.731072993120605</v>
      </c>
      <c r="L598">
        <v>5.90306640191986</v>
      </c>
      <c r="M598">
        <v>91.555973619591299</v>
      </c>
      <c r="N598">
        <v>7.5371045711150897</v>
      </c>
      <c r="O598">
        <v>40.446631504902697</v>
      </c>
      <c r="P598">
        <v>81.645656815661695</v>
      </c>
      <c r="Q598">
        <v>1</v>
      </c>
      <c r="R598">
        <v>0</v>
      </c>
      <c r="S598">
        <v>23.986870344653401</v>
      </c>
    </row>
    <row r="599" spans="1:19" x14ac:dyDescent="0.25">
      <c r="A599">
        <v>22</v>
      </c>
      <c r="B599">
        <v>167</v>
      </c>
      <c r="C599">
        <v>59</v>
      </c>
      <c r="D599" t="s">
        <v>20</v>
      </c>
      <c r="E599">
        <v>14.041789030238199</v>
      </c>
      <c r="F599">
        <v>10</v>
      </c>
      <c r="G599">
        <v>2</v>
      </c>
      <c r="H599">
        <v>77.197471947000494</v>
      </c>
      <c r="I599">
        <v>82.828863769838506</v>
      </c>
      <c r="J599">
        <v>262.14889815483099</v>
      </c>
      <c r="K599">
        <v>79.899757373587803</v>
      </c>
      <c r="L599">
        <v>5.4599457490310597</v>
      </c>
      <c r="M599">
        <v>77.235056905514597</v>
      </c>
      <c r="N599">
        <v>7.3865286800665002</v>
      </c>
      <c r="O599">
        <v>57.173884580872198</v>
      </c>
      <c r="P599">
        <v>76.639534669782506</v>
      </c>
      <c r="Q599">
        <v>0</v>
      </c>
      <c r="R599">
        <v>1</v>
      </c>
      <c r="S599">
        <v>21.155294202015099</v>
      </c>
    </row>
    <row r="600" spans="1:19" x14ac:dyDescent="0.25">
      <c r="A600">
        <v>21</v>
      </c>
      <c r="B600">
        <v>176</v>
      </c>
      <c r="C600">
        <v>84</v>
      </c>
      <c r="D600" t="s">
        <v>19</v>
      </c>
      <c r="E600">
        <v>8.5890658928551993</v>
      </c>
      <c r="F600">
        <v>36</v>
      </c>
      <c r="G600">
        <v>1</v>
      </c>
      <c r="H600">
        <v>77.299096362316902</v>
      </c>
      <c r="I600">
        <v>90.717707680346706</v>
      </c>
      <c r="J600">
        <v>252.285522826826</v>
      </c>
      <c r="K600">
        <v>77.491130827267398</v>
      </c>
      <c r="L600">
        <v>6.1315844429781503</v>
      </c>
      <c r="M600">
        <v>92.896729315262306</v>
      </c>
      <c r="N600">
        <v>7.7339598417955999</v>
      </c>
      <c r="O600">
        <v>55.3480668695601</v>
      </c>
      <c r="P600">
        <v>95.890571152372701</v>
      </c>
      <c r="Q600">
        <v>0</v>
      </c>
      <c r="R600">
        <v>0</v>
      </c>
      <c r="S600">
        <v>27.117768595041301</v>
      </c>
    </row>
    <row r="601" spans="1:19" x14ac:dyDescent="0.25">
      <c r="A601">
        <v>21</v>
      </c>
      <c r="B601">
        <v>191</v>
      </c>
      <c r="C601">
        <v>77</v>
      </c>
      <c r="D601" t="s">
        <v>20</v>
      </c>
      <c r="E601">
        <v>10.5416807144094</v>
      </c>
      <c r="F601">
        <v>8</v>
      </c>
      <c r="G601">
        <v>3</v>
      </c>
      <c r="H601">
        <v>68.122038289537898</v>
      </c>
      <c r="I601">
        <v>68.551676609744206</v>
      </c>
      <c r="J601">
        <v>244.70110197817201</v>
      </c>
      <c r="K601">
        <v>91.507575716735204</v>
      </c>
      <c r="L601">
        <v>6.3197760812654797</v>
      </c>
      <c r="M601">
        <v>85.379274448176801</v>
      </c>
      <c r="N601">
        <v>8.3037786721771205</v>
      </c>
      <c r="O601">
        <v>68.885299183300702</v>
      </c>
      <c r="P601">
        <v>75.756092662031705</v>
      </c>
      <c r="Q601">
        <v>0</v>
      </c>
      <c r="R601">
        <v>0</v>
      </c>
      <c r="S601">
        <v>21.106877552698599</v>
      </c>
    </row>
    <row r="602" spans="1:19" x14ac:dyDescent="0.25">
      <c r="A602">
        <v>24</v>
      </c>
      <c r="B602">
        <v>175</v>
      </c>
      <c r="C602">
        <v>70</v>
      </c>
      <c r="D602" t="s">
        <v>21</v>
      </c>
      <c r="E602">
        <v>7.8889663328692397</v>
      </c>
      <c r="F602">
        <v>5</v>
      </c>
      <c r="G602">
        <v>0</v>
      </c>
      <c r="H602">
        <v>74.219592042291197</v>
      </c>
      <c r="I602">
        <v>69.961639911741699</v>
      </c>
      <c r="J602">
        <v>271.48987617545498</v>
      </c>
      <c r="K602">
        <v>87.498288374116697</v>
      </c>
      <c r="L602">
        <v>6.0038508709715597</v>
      </c>
      <c r="M602">
        <v>72.058437018646401</v>
      </c>
      <c r="N602">
        <v>7.4547947926765596</v>
      </c>
      <c r="O602">
        <v>61.018065015884297</v>
      </c>
      <c r="P602">
        <v>79.351819595047601</v>
      </c>
      <c r="Q602">
        <v>1</v>
      </c>
      <c r="R602">
        <v>1</v>
      </c>
      <c r="S602">
        <v>22.857142857142801</v>
      </c>
    </row>
    <row r="603" spans="1:19" x14ac:dyDescent="0.25">
      <c r="A603">
        <v>21</v>
      </c>
      <c r="B603">
        <v>181</v>
      </c>
      <c r="C603">
        <v>89</v>
      </c>
      <c r="D603" t="s">
        <v>22</v>
      </c>
      <c r="E603">
        <v>16.294754484639501</v>
      </c>
      <c r="F603">
        <v>18</v>
      </c>
      <c r="G603">
        <v>1</v>
      </c>
      <c r="H603">
        <v>74.042859280029305</v>
      </c>
      <c r="I603">
        <v>87.162325788571493</v>
      </c>
      <c r="J603">
        <v>221.29282539707199</v>
      </c>
      <c r="K603">
        <v>77.850996269648604</v>
      </c>
      <c r="L603">
        <v>6.5658374949995197</v>
      </c>
      <c r="M603">
        <v>90.8452695850021</v>
      </c>
      <c r="N603">
        <v>8.4739903771293896</v>
      </c>
      <c r="O603">
        <v>36.030686968196598</v>
      </c>
      <c r="P603">
        <v>74.972834715428107</v>
      </c>
      <c r="Q603">
        <v>0</v>
      </c>
      <c r="R603">
        <v>0</v>
      </c>
      <c r="S603">
        <v>27.166447910625401</v>
      </c>
    </row>
    <row r="604" spans="1:19" x14ac:dyDescent="0.25">
      <c r="A604">
        <v>20</v>
      </c>
      <c r="B604">
        <v>183</v>
      </c>
      <c r="C604">
        <v>68</v>
      </c>
      <c r="D604" t="s">
        <v>22</v>
      </c>
      <c r="E604">
        <v>6.41544703442369</v>
      </c>
      <c r="F604">
        <v>38</v>
      </c>
      <c r="G604">
        <v>0</v>
      </c>
      <c r="H604">
        <v>78.311437841565905</v>
      </c>
      <c r="I604">
        <v>74.240253412512203</v>
      </c>
      <c r="J604">
        <v>271.34002032685402</v>
      </c>
      <c r="K604">
        <v>86.443746759942698</v>
      </c>
      <c r="L604">
        <v>5.7544241303744696</v>
      </c>
      <c r="M604">
        <v>76.674651904399298</v>
      </c>
      <c r="N604">
        <v>7.7784905709105399</v>
      </c>
      <c r="O604">
        <v>46.676335818628303</v>
      </c>
      <c r="P604">
        <v>79.711399760391998</v>
      </c>
      <c r="Q604">
        <v>1</v>
      </c>
      <c r="R604">
        <v>0</v>
      </c>
      <c r="S604">
        <v>20.305174833527399</v>
      </c>
    </row>
    <row r="605" spans="1:19" x14ac:dyDescent="0.25">
      <c r="A605">
        <v>19</v>
      </c>
      <c r="B605">
        <v>185</v>
      </c>
      <c r="C605">
        <v>69</v>
      </c>
      <c r="D605" t="s">
        <v>19</v>
      </c>
      <c r="E605">
        <v>9.5394542844155801</v>
      </c>
      <c r="F605">
        <v>24</v>
      </c>
      <c r="G605">
        <v>1</v>
      </c>
      <c r="H605">
        <v>75.489483153317195</v>
      </c>
      <c r="I605">
        <v>76.924255619434305</v>
      </c>
      <c r="J605">
        <v>245.986794312775</v>
      </c>
      <c r="K605">
        <v>82.355308307229905</v>
      </c>
      <c r="L605">
        <v>5.8724782892863203</v>
      </c>
      <c r="M605">
        <v>73.347928694439204</v>
      </c>
      <c r="N605">
        <v>8.7220678100277702</v>
      </c>
      <c r="O605">
        <v>52.494432858953999</v>
      </c>
      <c r="P605">
        <v>67.711061467256599</v>
      </c>
      <c r="Q605">
        <v>1</v>
      </c>
      <c r="R605">
        <v>0</v>
      </c>
      <c r="S605">
        <v>20.160701241782299</v>
      </c>
    </row>
    <row r="606" spans="1:19" x14ac:dyDescent="0.25">
      <c r="A606">
        <v>22</v>
      </c>
      <c r="B606">
        <v>174</v>
      </c>
      <c r="C606">
        <v>61</v>
      </c>
      <c r="D606" t="s">
        <v>20</v>
      </c>
      <c r="E606">
        <v>10.8758692917585</v>
      </c>
      <c r="F606">
        <v>11</v>
      </c>
      <c r="G606">
        <v>2</v>
      </c>
      <c r="H606">
        <v>75.302994541492197</v>
      </c>
      <c r="I606">
        <v>73.709531351790304</v>
      </c>
      <c r="J606">
        <v>231.83688864130301</v>
      </c>
      <c r="K606">
        <v>85.705085266758701</v>
      </c>
      <c r="L606">
        <v>6.1825098911707803</v>
      </c>
      <c r="M606">
        <v>79.412747953201105</v>
      </c>
      <c r="N606">
        <v>7.9999947290906004</v>
      </c>
      <c r="O606">
        <v>28.5130079199132</v>
      </c>
      <c r="P606">
        <v>82.507278750742003</v>
      </c>
      <c r="Q606">
        <v>1</v>
      </c>
      <c r="R606">
        <v>0</v>
      </c>
      <c r="S606">
        <v>20.147971991015901</v>
      </c>
    </row>
    <row r="607" spans="1:19" x14ac:dyDescent="0.25">
      <c r="A607">
        <v>20</v>
      </c>
      <c r="B607">
        <v>170</v>
      </c>
      <c r="C607">
        <v>78</v>
      </c>
      <c r="D607" t="s">
        <v>21</v>
      </c>
      <c r="E607">
        <v>10.1323129294515</v>
      </c>
      <c r="F607">
        <v>27</v>
      </c>
      <c r="G607">
        <v>5</v>
      </c>
      <c r="H607">
        <v>84.453050235477505</v>
      </c>
      <c r="I607">
        <v>90.519342106933905</v>
      </c>
      <c r="J607">
        <v>268.09695713411003</v>
      </c>
      <c r="K607">
        <v>82.890891735456094</v>
      </c>
      <c r="L607">
        <v>5.8434082533015799</v>
      </c>
      <c r="M607">
        <v>88.910173236142299</v>
      </c>
      <c r="N607">
        <v>7.0431539917139201</v>
      </c>
      <c r="O607">
        <v>58.118150184314899</v>
      </c>
      <c r="P607">
        <v>69.932864222641399</v>
      </c>
      <c r="Q607">
        <v>0</v>
      </c>
      <c r="R607">
        <v>1</v>
      </c>
      <c r="S607">
        <v>26.989619377162601</v>
      </c>
    </row>
    <row r="608" spans="1:19" x14ac:dyDescent="0.25">
      <c r="A608">
        <v>18</v>
      </c>
      <c r="B608">
        <v>180</v>
      </c>
      <c r="C608">
        <v>82</v>
      </c>
      <c r="D608" t="s">
        <v>20</v>
      </c>
      <c r="E608">
        <v>8.9482043075631097</v>
      </c>
      <c r="F608">
        <v>26</v>
      </c>
      <c r="G608">
        <v>0</v>
      </c>
      <c r="H608">
        <v>84.443468077492597</v>
      </c>
      <c r="I608">
        <v>90.764294209554393</v>
      </c>
      <c r="J608">
        <v>232.890353793304</v>
      </c>
      <c r="K608">
        <v>82.199026253731802</v>
      </c>
      <c r="L608">
        <v>6.7564231646730697</v>
      </c>
      <c r="M608">
        <v>82.724192636884595</v>
      </c>
      <c r="N608">
        <v>6.7381181041835001</v>
      </c>
      <c r="O608">
        <v>28.7471074393344</v>
      </c>
      <c r="P608">
        <v>85.169365320034998</v>
      </c>
      <c r="Q608">
        <v>1</v>
      </c>
      <c r="R608">
        <v>0</v>
      </c>
      <c r="S608">
        <v>25.3086419753086</v>
      </c>
    </row>
    <row r="609" spans="1:19" x14ac:dyDescent="0.25">
      <c r="A609">
        <v>20</v>
      </c>
      <c r="B609">
        <v>178</v>
      </c>
      <c r="C609">
        <v>72</v>
      </c>
      <c r="D609" t="s">
        <v>19</v>
      </c>
      <c r="E609">
        <v>11.2979924513377</v>
      </c>
      <c r="F609">
        <v>14</v>
      </c>
      <c r="G609">
        <v>2</v>
      </c>
      <c r="H609">
        <v>81.857176570856893</v>
      </c>
      <c r="I609">
        <v>71.712956253019101</v>
      </c>
      <c r="J609">
        <v>243.48525025220201</v>
      </c>
      <c r="K609">
        <v>87.322733435207795</v>
      </c>
      <c r="L609">
        <v>6.1204228859503598</v>
      </c>
      <c r="M609">
        <v>83.592643559813993</v>
      </c>
      <c r="N609">
        <v>8.7341472799530298</v>
      </c>
      <c r="O609">
        <v>53.498681294886097</v>
      </c>
      <c r="P609">
        <v>83.415255341157902</v>
      </c>
      <c r="Q609">
        <v>1</v>
      </c>
      <c r="R609">
        <v>0</v>
      </c>
      <c r="S609">
        <v>22.724403484408501</v>
      </c>
    </row>
    <row r="610" spans="1:19" x14ac:dyDescent="0.25">
      <c r="A610">
        <v>24</v>
      </c>
      <c r="B610">
        <v>176</v>
      </c>
      <c r="C610">
        <v>93</v>
      </c>
      <c r="D610" t="s">
        <v>22</v>
      </c>
      <c r="E610">
        <v>10.937699741581</v>
      </c>
      <c r="F610">
        <v>25</v>
      </c>
      <c r="G610">
        <v>2</v>
      </c>
      <c r="H610">
        <v>75.339844665825893</v>
      </c>
      <c r="I610">
        <v>78.779053785109397</v>
      </c>
      <c r="J610">
        <v>221.638175220091</v>
      </c>
      <c r="K610">
        <v>83.438735699445203</v>
      </c>
      <c r="L610">
        <v>5.5486152490525198</v>
      </c>
      <c r="M610">
        <v>76.7274719360163</v>
      </c>
      <c r="N610">
        <v>8.4007118685059208</v>
      </c>
      <c r="O610">
        <v>64.016048466031805</v>
      </c>
      <c r="P610">
        <v>70.208631184918204</v>
      </c>
      <c r="Q610">
        <v>1</v>
      </c>
      <c r="R610">
        <v>0</v>
      </c>
      <c r="S610">
        <v>30.0232438016528</v>
      </c>
    </row>
    <row r="611" spans="1:19" x14ac:dyDescent="0.25">
      <c r="A611">
        <v>24</v>
      </c>
      <c r="B611">
        <v>185</v>
      </c>
      <c r="C611">
        <v>80</v>
      </c>
      <c r="D611" t="s">
        <v>20</v>
      </c>
      <c r="E611">
        <v>6.8501639646217001</v>
      </c>
      <c r="F611">
        <v>22</v>
      </c>
      <c r="G611">
        <v>0</v>
      </c>
      <c r="H611">
        <v>74.241261670726502</v>
      </c>
      <c r="I611">
        <v>81.367881253412605</v>
      </c>
      <c r="J611">
        <v>262.72149261190998</v>
      </c>
      <c r="K611">
        <v>84.607540089343104</v>
      </c>
      <c r="L611">
        <v>6.0544975150543801</v>
      </c>
      <c r="M611">
        <v>90.256003590534107</v>
      </c>
      <c r="N611">
        <v>7.2259086797024796</v>
      </c>
      <c r="O611">
        <v>56.086535638793997</v>
      </c>
      <c r="P611">
        <v>63.602957908491902</v>
      </c>
      <c r="Q611">
        <v>1</v>
      </c>
      <c r="R611">
        <v>0</v>
      </c>
      <c r="S611">
        <v>23.374726077428701</v>
      </c>
    </row>
    <row r="612" spans="1:19" x14ac:dyDescent="0.25">
      <c r="A612">
        <v>20</v>
      </c>
      <c r="B612">
        <v>188</v>
      </c>
      <c r="C612">
        <v>67</v>
      </c>
      <c r="D612" t="s">
        <v>22</v>
      </c>
      <c r="E612">
        <v>10.2268522907512</v>
      </c>
      <c r="F612">
        <v>23</v>
      </c>
      <c r="G612">
        <v>2</v>
      </c>
      <c r="H612">
        <v>68.201012054506094</v>
      </c>
      <c r="I612">
        <v>66.586636017424993</v>
      </c>
      <c r="J612">
        <v>290.75458488037702</v>
      </c>
      <c r="K612">
        <v>84.395467154574504</v>
      </c>
      <c r="L612">
        <v>6.06246408430136</v>
      </c>
      <c r="M612">
        <v>71.031450100338205</v>
      </c>
      <c r="N612">
        <v>8.6344472048889607</v>
      </c>
      <c r="O612">
        <v>54.0946936945438</v>
      </c>
      <c r="P612">
        <v>75.134403536160505</v>
      </c>
      <c r="Q612">
        <v>1</v>
      </c>
      <c r="R612">
        <v>1</v>
      </c>
      <c r="S612">
        <v>18.956541421457601</v>
      </c>
    </row>
    <row r="613" spans="1:19" x14ac:dyDescent="0.25">
      <c r="A613">
        <v>22</v>
      </c>
      <c r="B613">
        <v>180</v>
      </c>
      <c r="C613">
        <v>63</v>
      </c>
      <c r="D613" t="s">
        <v>19</v>
      </c>
      <c r="E613">
        <v>13.504475749713301</v>
      </c>
      <c r="F613">
        <v>31</v>
      </c>
      <c r="G613">
        <v>2</v>
      </c>
      <c r="H613">
        <v>80.938717336783199</v>
      </c>
      <c r="I613">
        <v>80.385175962580007</v>
      </c>
      <c r="J613">
        <v>207.651238917955</v>
      </c>
      <c r="K613">
        <v>99.276614901806994</v>
      </c>
      <c r="L613">
        <v>6.2553058037513001</v>
      </c>
      <c r="M613">
        <v>94.199342709136204</v>
      </c>
      <c r="N613">
        <v>7.9786656793157498</v>
      </c>
      <c r="O613">
        <v>49.235614732371602</v>
      </c>
      <c r="P613">
        <v>79.405918122368007</v>
      </c>
      <c r="Q613">
        <v>0</v>
      </c>
      <c r="R613">
        <v>0</v>
      </c>
      <c r="S613">
        <v>19.4444444444444</v>
      </c>
    </row>
    <row r="614" spans="1:19" x14ac:dyDescent="0.25">
      <c r="A614">
        <v>22</v>
      </c>
      <c r="B614">
        <v>182</v>
      </c>
      <c r="C614">
        <v>66</v>
      </c>
      <c r="D614" t="s">
        <v>22</v>
      </c>
      <c r="E614">
        <v>8.0598592394315496</v>
      </c>
      <c r="F614">
        <v>26</v>
      </c>
      <c r="G614">
        <v>1</v>
      </c>
      <c r="H614">
        <v>74.942119564776206</v>
      </c>
      <c r="I614">
        <v>80.524437765540497</v>
      </c>
      <c r="J614">
        <v>242.534404646844</v>
      </c>
      <c r="K614">
        <v>87.751389207863596</v>
      </c>
      <c r="L614">
        <v>6.32846605932136</v>
      </c>
      <c r="M614">
        <v>78.106703526048804</v>
      </c>
      <c r="N614">
        <v>7.9148727027220502</v>
      </c>
      <c r="O614">
        <v>52.570109043610998</v>
      </c>
      <c r="P614">
        <v>71.733950938209105</v>
      </c>
      <c r="Q614">
        <v>1</v>
      </c>
      <c r="R614">
        <v>0</v>
      </c>
      <c r="S614">
        <v>19.9251298152397</v>
      </c>
    </row>
    <row r="615" spans="1:19" x14ac:dyDescent="0.25">
      <c r="A615">
        <v>19</v>
      </c>
      <c r="B615">
        <v>177</v>
      </c>
      <c r="C615">
        <v>89</v>
      </c>
      <c r="D615" t="s">
        <v>19</v>
      </c>
      <c r="E615">
        <v>12.137811757421099</v>
      </c>
      <c r="F615">
        <v>17</v>
      </c>
      <c r="G615">
        <v>0</v>
      </c>
      <c r="H615">
        <v>79.104295679022201</v>
      </c>
      <c r="I615">
        <v>86.361765409543594</v>
      </c>
      <c r="J615">
        <v>263.988260176285</v>
      </c>
      <c r="K615">
        <v>83.443153070794494</v>
      </c>
      <c r="L615">
        <v>5.89752418611931</v>
      </c>
      <c r="M615">
        <v>74.115125047584101</v>
      </c>
      <c r="N615">
        <v>6.1632245084389599</v>
      </c>
      <c r="O615">
        <v>51.338652522822002</v>
      </c>
      <c r="P615">
        <v>66.965791114246201</v>
      </c>
      <c r="Q615">
        <v>0</v>
      </c>
      <c r="R615">
        <v>1</v>
      </c>
      <c r="S615">
        <v>28.408184110568399</v>
      </c>
    </row>
    <row r="616" spans="1:19" x14ac:dyDescent="0.25">
      <c r="A616">
        <v>24</v>
      </c>
      <c r="B616">
        <v>188</v>
      </c>
      <c r="C616">
        <v>89</v>
      </c>
      <c r="D616" t="s">
        <v>20</v>
      </c>
      <c r="E616">
        <v>12.5277463329257</v>
      </c>
      <c r="F616">
        <v>27</v>
      </c>
      <c r="G616">
        <v>2</v>
      </c>
      <c r="H616">
        <v>78.547613059963695</v>
      </c>
      <c r="I616">
        <v>78.061504537758296</v>
      </c>
      <c r="J616">
        <v>248.55944933398999</v>
      </c>
      <c r="K616">
        <v>84.586580780486798</v>
      </c>
      <c r="L616">
        <v>6.0198955389490303</v>
      </c>
      <c r="M616">
        <v>94.668408189104198</v>
      </c>
      <c r="N616">
        <v>6.8459821637074096</v>
      </c>
      <c r="O616">
        <v>43.896208797958401</v>
      </c>
      <c r="P616">
        <v>85.218498848542197</v>
      </c>
      <c r="Q616">
        <v>0</v>
      </c>
      <c r="R616">
        <v>0</v>
      </c>
      <c r="S616">
        <v>25.181077410593002</v>
      </c>
    </row>
    <row r="617" spans="1:19" x14ac:dyDescent="0.25">
      <c r="A617">
        <v>22</v>
      </c>
      <c r="B617">
        <v>174</v>
      </c>
      <c r="C617">
        <v>80</v>
      </c>
      <c r="D617" t="s">
        <v>20</v>
      </c>
      <c r="E617">
        <v>9.8838700003967297</v>
      </c>
      <c r="F617">
        <v>12</v>
      </c>
      <c r="G617">
        <v>1</v>
      </c>
      <c r="H617">
        <v>75.251751227929802</v>
      </c>
      <c r="I617">
        <v>84.144265086836995</v>
      </c>
      <c r="J617">
        <v>225.85182996037801</v>
      </c>
      <c r="K617">
        <v>95.044509101901397</v>
      </c>
      <c r="L617">
        <v>5.7368566691742098</v>
      </c>
      <c r="M617">
        <v>82.237572672597693</v>
      </c>
      <c r="N617">
        <v>7.8221510907724801</v>
      </c>
      <c r="O617">
        <v>44.416623277155303</v>
      </c>
      <c r="P617">
        <v>76.448754576722706</v>
      </c>
      <c r="Q617">
        <v>1</v>
      </c>
      <c r="R617">
        <v>0</v>
      </c>
      <c r="S617">
        <v>26.423569824283199</v>
      </c>
    </row>
    <row r="618" spans="1:19" x14ac:dyDescent="0.25">
      <c r="A618">
        <v>22</v>
      </c>
      <c r="B618">
        <v>173</v>
      </c>
      <c r="C618">
        <v>81</v>
      </c>
      <c r="D618" t="s">
        <v>19</v>
      </c>
      <c r="E618">
        <v>5.9782443425045999</v>
      </c>
      <c r="F618">
        <v>15</v>
      </c>
      <c r="G618">
        <v>1</v>
      </c>
      <c r="H618">
        <v>80.617669774232894</v>
      </c>
      <c r="I618">
        <v>78.546537380349207</v>
      </c>
      <c r="J618">
        <v>213.75551227796799</v>
      </c>
      <c r="K618">
        <v>91.486359549550798</v>
      </c>
      <c r="L618">
        <v>6.0845456463739396</v>
      </c>
      <c r="M618">
        <v>78.948503838343299</v>
      </c>
      <c r="N618">
        <v>7.7582624409060301</v>
      </c>
      <c r="O618">
        <v>50.609202567109399</v>
      </c>
      <c r="P618">
        <v>69.708496906049007</v>
      </c>
      <c r="Q618">
        <v>1</v>
      </c>
      <c r="R618">
        <v>0</v>
      </c>
      <c r="S618">
        <v>27.064051588760002</v>
      </c>
    </row>
    <row r="619" spans="1:19" x14ac:dyDescent="0.25">
      <c r="A619">
        <v>18</v>
      </c>
      <c r="B619">
        <v>183</v>
      </c>
      <c r="C619">
        <v>78</v>
      </c>
      <c r="D619" t="s">
        <v>19</v>
      </c>
      <c r="E619">
        <v>9.1660569829529699</v>
      </c>
      <c r="F619">
        <v>12</v>
      </c>
      <c r="G619">
        <v>1</v>
      </c>
      <c r="H619">
        <v>72.457154733123801</v>
      </c>
      <c r="I619">
        <v>74.546243986912103</v>
      </c>
      <c r="J619">
        <v>285.06115236361302</v>
      </c>
      <c r="K619">
        <v>81.756833384793097</v>
      </c>
      <c r="L619">
        <v>5.9377163640259401</v>
      </c>
      <c r="M619">
        <v>78.672863331960897</v>
      </c>
      <c r="N619">
        <v>5.5568652326861896</v>
      </c>
      <c r="O619">
        <v>55.796254362155302</v>
      </c>
      <c r="P619">
        <v>74.633735641136496</v>
      </c>
      <c r="Q619">
        <v>1</v>
      </c>
      <c r="R619">
        <v>1</v>
      </c>
      <c r="S619">
        <v>23.2912299561049</v>
      </c>
    </row>
    <row r="620" spans="1:19" x14ac:dyDescent="0.25">
      <c r="A620">
        <v>21</v>
      </c>
      <c r="B620">
        <v>171</v>
      </c>
      <c r="C620">
        <v>67</v>
      </c>
      <c r="D620" t="s">
        <v>21</v>
      </c>
      <c r="E620">
        <v>9.0583563286465392</v>
      </c>
      <c r="F620">
        <v>22</v>
      </c>
      <c r="G620">
        <v>4</v>
      </c>
      <c r="H620">
        <v>79.630905016259007</v>
      </c>
      <c r="I620">
        <v>78.213509710871094</v>
      </c>
      <c r="J620">
        <v>303.30029475555898</v>
      </c>
      <c r="K620">
        <v>83.728949245357398</v>
      </c>
      <c r="L620">
        <v>6.51690578826351</v>
      </c>
      <c r="M620">
        <v>77.452984306778305</v>
      </c>
      <c r="N620">
        <v>6.9777793736230702</v>
      </c>
      <c r="O620">
        <v>62.014528198955603</v>
      </c>
      <c r="P620">
        <v>78.655101090612405</v>
      </c>
      <c r="Q620">
        <v>1</v>
      </c>
      <c r="R620">
        <v>1</v>
      </c>
      <c r="S620">
        <v>22.913033070004399</v>
      </c>
    </row>
    <row r="621" spans="1:19" x14ac:dyDescent="0.25">
      <c r="A621">
        <v>22</v>
      </c>
      <c r="B621">
        <v>177</v>
      </c>
      <c r="C621">
        <v>74</v>
      </c>
      <c r="D621" t="s">
        <v>19</v>
      </c>
      <c r="E621">
        <v>12.4036798387109</v>
      </c>
      <c r="F621">
        <v>24</v>
      </c>
      <c r="G621">
        <v>0</v>
      </c>
      <c r="H621">
        <v>81.108681495932899</v>
      </c>
      <c r="I621">
        <v>73.0245678839824</v>
      </c>
      <c r="J621">
        <v>200.48681720525701</v>
      </c>
      <c r="K621">
        <v>84.685850614370096</v>
      </c>
      <c r="L621">
        <v>5.9408040348241</v>
      </c>
      <c r="M621">
        <v>84.486626122108106</v>
      </c>
      <c r="N621">
        <v>7.9144045080398397</v>
      </c>
      <c r="O621">
        <v>60.077965821459003</v>
      </c>
      <c r="P621">
        <v>82.717663982262295</v>
      </c>
      <c r="Q621">
        <v>1</v>
      </c>
      <c r="R621">
        <v>0</v>
      </c>
      <c r="S621">
        <v>23.620287912157998</v>
      </c>
    </row>
    <row r="622" spans="1:19" x14ac:dyDescent="0.25">
      <c r="A622">
        <v>23</v>
      </c>
      <c r="B622">
        <v>177</v>
      </c>
      <c r="C622">
        <v>88</v>
      </c>
      <c r="D622" t="s">
        <v>20</v>
      </c>
      <c r="E622">
        <v>6.0827464789770804</v>
      </c>
      <c r="F622">
        <v>15</v>
      </c>
      <c r="G622">
        <v>1</v>
      </c>
      <c r="H622">
        <v>72.904751896037297</v>
      </c>
      <c r="I622">
        <v>84.203498384891603</v>
      </c>
      <c r="J622">
        <v>213.86187391020599</v>
      </c>
      <c r="K622">
        <v>86.496869183837703</v>
      </c>
      <c r="L622">
        <v>5.9008089018574204</v>
      </c>
      <c r="M622">
        <v>86.522590312126994</v>
      </c>
      <c r="N622">
        <v>8.2202924013410499</v>
      </c>
      <c r="O622">
        <v>53.315571986676197</v>
      </c>
      <c r="P622">
        <v>53.788259785807497</v>
      </c>
      <c r="Q622">
        <v>1</v>
      </c>
      <c r="R622">
        <v>0</v>
      </c>
      <c r="S622">
        <v>28.0889910306744</v>
      </c>
    </row>
    <row r="623" spans="1:19" x14ac:dyDescent="0.25">
      <c r="A623">
        <v>22</v>
      </c>
      <c r="B623">
        <v>173</v>
      </c>
      <c r="C623">
        <v>74</v>
      </c>
      <c r="D623" t="s">
        <v>22</v>
      </c>
      <c r="E623">
        <v>13.3834276127071</v>
      </c>
      <c r="F623">
        <v>12</v>
      </c>
      <c r="G623">
        <v>1</v>
      </c>
      <c r="H623">
        <v>73.748106624625095</v>
      </c>
      <c r="I623">
        <v>71.549882337381803</v>
      </c>
      <c r="J623">
        <v>243.99280460149501</v>
      </c>
      <c r="K623">
        <v>87.059195306550905</v>
      </c>
      <c r="L623">
        <v>5.1074893987924304</v>
      </c>
      <c r="M623">
        <v>80.527578590778901</v>
      </c>
      <c r="N623">
        <v>6.3631961088807198</v>
      </c>
      <c r="O623">
        <v>34.702364891077302</v>
      </c>
      <c r="P623">
        <v>64.781849358306204</v>
      </c>
      <c r="Q623">
        <v>0</v>
      </c>
      <c r="R623">
        <v>1</v>
      </c>
      <c r="S623">
        <v>24.725182932941198</v>
      </c>
    </row>
    <row r="624" spans="1:19" x14ac:dyDescent="0.25">
      <c r="A624">
        <v>22</v>
      </c>
      <c r="B624">
        <v>164</v>
      </c>
      <c r="C624">
        <v>62</v>
      </c>
      <c r="D624" t="s">
        <v>22</v>
      </c>
      <c r="E624">
        <v>8.7254750724404797</v>
      </c>
      <c r="F624">
        <v>13</v>
      </c>
      <c r="G624">
        <v>1</v>
      </c>
      <c r="H624">
        <v>62.174421229221899</v>
      </c>
      <c r="I624">
        <v>82.773275541241503</v>
      </c>
      <c r="J624">
        <v>209.94908550154099</v>
      </c>
      <c r="K624">
        <v>77.371515438979799</v>
      </c>
      <c r="L624">
        <v>5.5808699898811804</v>
      </c>
      <c r="M624">
        <v>73.156167191589702</v>
      </c>
      <c r="N624">
        <v>6.8531565629364604</v>
      </c>
      <c r="O624">
        <v>61.613145321876601</v>
      </c>
      <c r="P624">
        <v>61.542872761877597</v>
      </c>
      <c r="Q624">
        <v>0</v>
      </c>
      <c r="R624">
        <v>1</v>
      </c>
      <c r="S624">
        <v>23.051754907792901</v>
      </c>
    </row>
    <row r="625" spans="1:19" x14ac:dyDescent="0.25">
      <c r="A625">
        <v>22</v>
      </c>
      <c r="B625">
        <v>170</v>
      </c>
      <c r="C625">
        <v>65</v>
      </c>
      <c r="D625" t="s">
        <v>21</v>
      </c>
      <c r="E625">
        <v>5.4861241766492599</v>
      </c>
      <c r="F625">
        <v>10</v>
      </c>
      <c r="G625">
        <v>1</v>
      </c>
      <c r="H625">
        <v>69.941293999883101</v>
      </c>
      <c r="I625">
        <v>77.660227672664206</v>
      </c>
      <c r="J625">
        <v>229.11240821303599</v>
      </c>
      <c r="K625">
        <v>89.046026199559194</v>
      </c>
      <c r="L625">
        <v>6.0973309694906801</v>
      </c>
      <c r="M625">
        <v>75.679382524965504</v>
      </c>
      <c r="N625">
        <v>8.3015461415248009</v>
      </c>
      <c r="O625">
        <v>35.648413537207098</v>
      </c>
      <c r="P625">
        <v>81.616178536275996</v>
      </c>
      <c r="Q625">
        <v>1</v>
      </c>
      <c r="R625">
        <v>0</v>
      </c>
      <c r="S625">
        <v>22.4913494809688</v>
      </c>
    </row>
    <row r="626" spans="1:19" x14ac:dyDescent="0.25">
      <c r="A626">
        <v>23</v>
      </c>
      <c r="B626">
        <v>171</v>
      </c>
      <c r="C626">
        <v>80</v>
      </c>
      <c r="D626" t="s">
        <v>22</v>
      </c>
      <c r="E626">
        <v>5</v>
      </c>
      <c r="F626">
        <v>12</v>
      </c>
      <c r="G626">
        <v>0</v>
      </c>
      <c r="H626">
        <v>78.493239665246406</v>
      </c>
      <c r="I626">
        <v>67.711580591593702</v>
      </c>
      <c r="J626">
        <v>241.753418222384</v>
      </c>
      <c r="K626">
        <v>81.790430114683303</v>
      </c>
      <c r="L626">
        <v>5.8360435067759697</v>
      </c>
      <c r="M626">
        <v>63.818534971496497</v>
      </c>
      <c r="N626">
        <v>7.5887235479562998</v>
      </c>
      <c r="O626">
        <v>64.918272101653102</v>
      </c>
      <c r="P626">
        <v>73.342544995999205</v>
      </c>
      <c r="Q626">
        <v>0</v>
      </c>
      <c r="R626">
        <v>1</v>
      </c>
      <c r="S626">
        <v>27.358845456721699</v>
      </c>
    </row>
    <row r="627" spans="1:19" x14ac:dyDescent="0.25">
      <c r="A627">
        <v>19</v>
      </c>
      <c r="B627">
        <v>164</v>
      </c>
      <c r="C627">
        <v>74</v>
      </c>
      <c r="D627" t="s">
        <v>21</v>
      </c>
      <c r="E627">
        <v>11.359660989585301</v>
      </c>
      <c r="F627">
        <v>38</v>
      </c>
      <c r="G627">
        <v>1</v>
      </c>
      <c r="H627">
        <v>78.386020433768905</v>
      </c>
      <c r="I627">
        <v>86.763839019618004</v>
      </c>
      <c r="J627">
        <v>244.35278128237999</v>
      </c>
      <c r="K627">
        <v>91.848489373126299</v>
      </c>
      <c r="L627">
        <v>5.9001674990542297</v>
      </c>
      <c r="M627">
        <v>85.261585453236407</v>
      </c>
      <c r="N627">
        <v>7.57405602760823</v>
      </c>
      <c r="O627">
        <v>52.368819542155997</v>
      </c>
      <c r="P627">
        <v>79.675998076344399</v>
      </c>
      <c r="Q627">
        <v>0</v>
      </c>
      <c r="R627">
        <v>0</v>
      </c>
      <c r="S627">
        <v>27.513384889946401</v>
      </c>
    </row>
    <row r="628" spans="1:19" x14ac:dyDescent="0.25">
      <c r="A628">
        <v>19</v>
      </c>
      <c r="B628">
        <v>175</v>
      </c>
      <c r="C628">
        <v>86</v>
      </c>
      <c r="D628" t="s">
        <v>21</v>
      </c>
      <c r="E628">
        <v>13.8357660162039</v>
      </c>
      <c r="F628">
        <v>18</v>
      </c>
      <c r="G628">
        <v>1</v>
      </c>
      <c r="H628">
        <v>81.301005512619597</v>
      </c>
      <c r="I628">
        <v>84.054015419951597</v>
      </c>
      <c r="J628">
        <v>180</v>
      </c>
      <c r="K628">
        <v>88.984960099491403</v>
      </c>
      <c r="L628">
        <v>6.3162216529939004</v>
      </c>
      <c r="M628">
        <v>89.997489875158806</v>
      </c>
      <c r="N628">
        <v>7.6357633359912596</v>
      </c>
      <c r="O628">
        <v>29.786196359311301</v>
      </c>
      <c r="P628">
        <v>78.327423309410506</v>
      </c>
      <c r="Q628">
        <v>1</v>
      </c>
      <c r="R628">
        <v>0</v>
      </c>
      <c r="S628">
        <v>28.081632653061199</v>
      </c>
    </row>
    <row r="629" spans="1:19" x14ac:dyDescent="0.25">
      <c r="A629">
        <v>20</v>
      </c>
      <c r="B629">
        <v>166</v>
      </c>
      <c r="C629">
        <v>61</v>
      </c>
      <c r="D629" t="s">
        <v>21</v>
      </c>
      <c r="E629">
        <v>11.0436623215249</v>
      </c>
      <c r="F629">
        <v>18</v>
      </c>
      <c r="G629">
        <v>1</v>
      </c>
      <c r="H629">
        <v>81.106490821186895</v>
      </c>
      <c r="I629">
        <v>78.541551447807294</v>
      </c>
      <c r="J629">
        <v>281.16105564003198</v>
      </c>
      <c r="K629">
        <v>76.809128938275705</v>
      </c>
      <c r="L629">
        <v>5.5850327665583004</v>
      </c>
      <c r="M629">
        <v>71.029575912721995</v>
      </c>
      <c r="N629">
        <v>7.0865607870853999</v>
      </c>
      <c r="O629">
        <v>64.791204375270098</v>
      </c>
      <c r="P629">
        <v>85.799422272335306</v>
      </c>
      <c r="Q629">
        <v>1</v>
      </c>
      <c r="R629">
        <v>1</v>
      </c>
      <c r="S629">
        <v>22.136739730004301</v>
      </c>
    </row>
    <row r="630" spans="1:19" x14ac:dyDescent="0.25">
      <c r="A630">
        <v>22</v>
      </c>
      <c r="B630">
        <v>176</v>
      </c>
      <c r="C630">
        <v>69</v>
      </c>
      <c r="D630" t="s">
        <v>22</v>
      </c>
      <c r="E630">
        <v>7.5771086753306598</v>
      </c>
      <c r="F630">
        <v>9</v>
      </c>
      <c r="G630">
        <v>1</v>
      </c>
      <c r="H630">
        <v>79.963361016833105</v>
      </c>
      <c r="I630">
        <v>78.793832991729303</v>
      </c>
      <c r="J630">
        <v>258.09811075006598</v>
      </c>
      <c r="K630">
        <v>81.760596967874903</v>
      </c>
      <c r="L630">
        <v>5.6725017211916802</v>
      </c>
      <c r="M630">
        <v>81.125914995444205</v>
      </c>
      <c r="N630">
        <v>7.7633111563181298</v>
      </c>
      <c r="O630">
        <v>60.177086841699001</v>
      </c>
      <c r="P630">
        <v>66.965220705526903</v>
      </c>
      <c r="Q630">
        <v>0</v>
      </c>
      <c r="R630">
        <v>1</v>
      </c>
      <c r="S630">
        <v>22.275309917355301</v>
      </c>
    </row>
    <row r="631" spans="1:19" x14ac:dyDescent="0.25">
      <c r="A631">
        <v>20</v>
      </c>
      <c r="B631">
        <v>183</v>
      </c>
      <c r="C631">
        <v>71</v>
      </c>
      <c r="D631" t="s">
        <v>21</v>
      </c>
      <c r="E631">
        <v>10.216731394906599</v>
      </c>
      <c r="F631">
        <v>39</v>
      </c>
      <c r="G631">
        <v>2</v>
      </c>
      <c r="H631">
        <v>83.792824973422299</v>
      </c>
      <c r="I631">
        <v>83.455448136141896</v>
      </c>
      <c r="J631">
        <v>260.25616019340902</v>
      </c>
      <c r="K631">
        <v>92.8363450297702</v>
      </c>
      <c r="L631">
        <v>5.6196618931761799</v>
      </c>
      <c r="M631">
        <v>86.999094156331296</v>
      </c>
      <c r="N631">
        <v>7.65749679468761</v>
      </c>
      <c r="O631">
        <v>52.191992744261697</v>
      </c>
      <c r="P631">
        <v>85.804311744748503</v>
      </c>
      <c r="Q631">
        <v>1</v>
      </c>
      <c r="R631">
        <v>0</v>
      </c>
      <c r="S631">
        <v>21.200991370300599</v>
      </c>
    </row>
    <row r="632" spans="1:19" x14ac:dyDescent="0.25">
      <c r="A632">
        <v>20</v>
      </c>
      <c r="B632">
        <v>177</v>
      </c>
      <c r="C632">
        <v>83</v>
      </c>
      <c r="D632" t="s">
        <v>22</v>
      </c>
      <c r="E632">
        <v>13.5157703013292</v>
      </c>
      <c r="F632">
        <v>25</v>
      </c>
      <c r="G632">
        <v>2</v>
      </c>
      <c r="H632">
        <v>83.711568655873094</v>
      </c>
      <c r="I632">
        <v>83.116858250068503</v>
      </c>
      <c r="J632">
        <v>268.140895286545</v>
      </c>
      <c r="K632">
        <v>76.6570704435875</v>
      </c>
      <c r="L632">
        <v>6.1925435991275304</v>
      </c>
      <c r="M632">
        <v>78.588764122690804</v>
      </c>
      <c r="N632">
        <v>8.4443681112838096</v>
      </c>
      <c r="O632">
        <v>43.326413684104097</v>
      </c>
      <c r="P632">
        <v>66.0806963594991</v>
      </c>
      <c r="Q632">
        <v>1</v>
      </c>
      <c r="R632">
        <v>1</v>
      </c>
      <c r="S632">
        <v>26.493025631204301</v>
      </c>
    </row>
    <row r="633" spans="1:19" x14ac:dyDescent="0.25">
      <c r="A633">
        <v>18</v>
      </c>
      <c r="B633">
        <v>181</v>
      </c>
      <c r="C633">
        <v>65</v>
      </c>
      <c r="D633" t="s">
        <v>19</v>
      </c>
      <c r="E633">
        <v>11.650911751759701</v>
      </c>
      <c r="F633">
        <v>25</v>
      </c>
      <c r="G633">
        <v>1</v>
      </c>
      <c r="H633">
        <v>77.3749690478693</v>
      </c>
      <c r="I633">
        <v>86.053656128828706</v>
      </c>
      <c r="J633">
        <v>288.54118807900602</v>
      </c>
      <c r="K633">
        <v>77.753776608642198</v>
      </c>
      <c r="L633">
        <v>5.79805669211125</v>
      </c>
      <c r="M633">
        <v>62.835094391214</v>
      </c>
      <c r="N633">
        <v>6.4800442167049903</v>
      </c>
      <c r="O633">
        <v>67.480546242946502</v>
      </c>
      <c r="P633">
        <v>70.290397671379196</v>
      </c>
      <c r="Q633">
        <v>0</v>
      </c>
      <c r="R633">
        <v>1</v>
      </c>
      <c r="S633">
        <v>19.840664204389299</v>
      </c>
    </row>
    <row r="634" spans="1:19" x14ac:dyDescent="0.25">
      <c r="A634">
        <v>22</v>
      </c>
      <c r="B634">
        <v>178</v>
      </c>
      <c r="C634">
        <v>86</v>
      </c>
      <c r="D634" t="s">
        <v>20</v>
      </c>
      <c r="E634">
        <v>7.5033189219679501</v>
      </c>
      <c r="F634">
        <v>23</v>
      </c>
      <c r="G634">
        <v>4</v>
      </c>
      <c r="H634">
        <v>69.412925038848499</v>
      </c>
      <c r="I634">
        <v>79.681251738976897</v>
      </c>
      <c r="J634">
        <v>229.614178646504</v>
      </c>
      <c r="K634">
        <v>81.367092316979907</v>
      </c>
      <c r="L634">
        <v>6.1345765149241496</v>
      </c>
      <c r="M634">
        <v>72.684829555842597</v>
      </c>
      <c r="N634">
        <v>7.6602455633364803</v>
      </c>
      <c r="O634">
        <v>49.754052915326596</v>
      </c>
      <c r="P634">
        <v>67.993225497426707</v>
      </c>
      <c r="Q634">
        <v>0</v>
      </c>
      <c r="R634">
        <v>1</v>
      </c>
      <c r="S634">
        <v>27.143037495265698</v>
      </c>
    </row>
    <row r="635" spans="1:19" x14ac:dyDescent="0.25">
      <c r="A635">
        <v>21</v>
      </c>
      <c r="B635">
        <v>191</v>
      </c>
      <c r="C635">
        <v>83</v>
      </c>
      <c r="D635" t="s">
        <v>19</v>
      </c>
      <c r="E635">
        <v>8.7823555306833594</v>
      </c>
      <c r="F635">
        <v>22</v>
      </c>
      <c r="G635">
        <v>4</v>
      </c>
      <c r="H635">
        <v>73.7045772660571</v>
      </c>
      <c r="I635">
        <v>74.829349383687997</v>
      </c>
      <c r="J635">
        <v>269.485986905478</v>
      </c>
      <c r="K635">
        <v>80.737669472683606</v>
      </c>
      <c r="L635">
        <v>5.9794010636809096</v>
      </c>
      <c r="M635">
        <v>69.155899940770695</v>
      </c>
      <c r="N635">
        <v>7.0427935541429996</v>
      </c>
      <c r="O635">
        <v>68.164054595615298</v>
      </c>
      <c r="P635">
        <v>62.644932893117897</v>
      </c>
      <c r="Q635">
        <v>1</v>
      </c>
      <c r="R635">
        <v>1</v>
      </c>
      <c r="S635">
        <v>22.751569310051799</v>
      </c>
    </row>
    <row r="636" spans="1:19" x14ac:dyDescent="0.25">
      <c r="A636">
        <v>19</v>
      </c>
      <c r="B636">
        <v>172</v>
      </c>
      <c r="C636">
        <v>85</v>
      </c>
      <c r="D636" t="s">
        <v>20</v>
      </c>
      <c r="E636">
        <v>6.4504666582486099</v>
      </c>
      <c r="F636">
        <v>6</v>
      </c>
      <c r="G636">
        <v>0</v>
      </c>
      <c r="H636">
        <v>66.750079266633804</v>
      </c>
      <c r="I636">
        <v>86.143451925698699</v>
      </c>
      <c r="J636">
        <v>198.544182017645</v>
      </c>
      <c r="K636">
        <v>82.074152591626003</v>
      </c>
      <c r="L636">
        <v>5.94567779639456</v>
      </c>
      <c r="M636">
        <v>80.123217531477295</v>
      </c>
      <c r="N636">
        <v>7.5728255503474804</v>
      </c>
      <c r="O636">
        <v>54.339291094024503</v>
      </c>
      <c r="P636">
        <v>89.038781746840201</v>
      </c>
      <c r="Q636">
        <v>0</v>
      </c>
      <c r="R636">
        <v>0</v>
      </c>
      <c r="S636">
        <v>28.7317468902109</v>
      </c>
    </row>
    <row r="637" spans="1:19" x14ac:dyDescent="0.25">
      <c r="A637">
        <v>21</v>
      </c>
      <c r="B637">
        <v>166</v>
      </c>
      <c r="C637">
        <v>65</v>
      </c>
      <c r="D637" t="s">
        <v>22</v>
      </c>
      <c r="E637">
        <v>11.0658820746486</v>
      </c>
      <c r="F637">
        <v>34</v>
      </c>
      <c r="G637">
        <v>3</v>
      </c>
      <c r="H637">
        <v>81.558957398321198</v>
      </c>
      <c r="I637">
        <v>81.854904881777998</v>
      </c>
      <c r="J637">
        <v>253.32371532300101</v>
      </c>
      <c r="K637">
        <v>78.294372202285899</v>
      </c>
      <c r="L637">
        <v>5.9292811726399703</v>
      </c>
      <c r="M637">
        <v>61.305726963489199</v>
      </c>
      <c r="N637">
        <v>8.6763244952842609</v>
      </c>
      <c r="O637">
        <v>35.6440751316525</v>
      </c>
      <c r="P637">
        <v>65.928685122603397</v>
      </c>
      <c r="Q637">
        <v>1</v>
      </c>
      <c r="R637">
        <v>0</v>
      </c>
      <c r="S637">
        <v>23.588329220496401</v>
      </c>
    </row>
    <row r="638" spans="1:19" x14ac:dyDescent="0.25">
      <c r="A638">
        <v>23</v>
      </c>
      <c r="B638">
        <v>182</v>
      </c>
      <c r="C638">
        <v>82</v>
      </c>
      <c r="D638" t="s">
        <v>22</v>
      </c>
      <c r="E638">
        <v>11.445600334051401</v>
      </c>
      <c r="F638">
        <v>33</v>
      </c>
      <c r="G638">
        <v>2</v>
      </c>
      <c r="H638">
        <v>67.823246093906704</v>
      </c>
      <c r="I638">
        <v>81.850462728870696</v>
      </c>
      <c r="J638">
        <v>225.65583873852299</v>
      </c>
      <c r="K638">
        <v>86.715529448151997</v>
      </c>
      <c r="L638">
        <v>5.9357960092016304</v>
      </c>
      <c r="M638">
        <v>77.329882437174604</v>
      </c>
      <c r="N638">
        <v>6.9309105561650997</v>
      </c>
      <c r="O638">
        <v>62.001646875365303</v>
      </c>
      <c r="P638">
        <v>64.614174341471795</v>
      </c>
      <c r="Q638">
        <v>0</v>
      </c>
      <c r="R638">
        <v>0</v>
      </c>
      <c r="S638">
        <v>24.755464315903801</v>
      </c>
    </row>
    <row r="639" spans="1:19" x14ac:dyDescent="0.25">
      <c r="A639">
        <v>22</v>
      </c>
      <c r="B639">
        <v>171</v>
      </c>
      <c r="C639">
        <v>69</v>
      </c>
      <c r="D639" t="s">
        <v>20</v>
      </c>
      <c r="E639">
        <v>10.372178683044</v>
      </c>
      <c r="F639">
        <v>13</v>
      </c>
      <c r="G639">
        <v>1</v>
      </c>
      <c r="H639">
        <v>71.192741226953601</v>
      </c>
      <c r="I639">
        <v>76.124095556170303</v>
      </c>
      <c r="J639">
        <v>251.05808027249199</v>
      </c>
      <c r="K639">
        <v>78.959214890745997</v>
      </c>
      <c r="L639">
        <v>5.9899055635738403</v>
      </c>
      <c r="M639">
        <v>71.196150598487407</v>
      </c>
      <c r="N639">
        <v>6.3143061358953601</v>
      </c>
      <c r="O639">
        <v>60.4883995341429</v>
      </c>
      <c r="P639">
        <v>61.231817670377602</v>
      </c>
      <c r="Q639">
        <v>1</v>
      </c>
      <c r="R639">
        <v>1</v>
      </c>
      <c r="S639">
        <v>23.597004206422401</v>
      </c>
    </row>
    <row r="640" spans="1:19" x14ac:dyDescent="0.25">
      <c r="A640">
        <v>19</v>
      </c>
      <c r="B640">
        <v>169</v>
      </c>
      <c r="C640">
        <v>59</v>
      </c>
      <c r="D640" t="s">
        <v>20</v>
      </c>
      <c r="E640">
        <v>11.189160047225</v>
      </c>
      <c r="F640">
        <v>6</v>
      </c>
      <c r="G640">
        <v>1</v>
      </c>
      <c r="H640">
        <v>79.480920317585898</v>
      </c>
      <c r="I640">
        <v>70.240104864357093</v>
      </c>
      <c r="J640">
        <v>222.41127898487201</v>
      </c>
      <c r="K640">
        <v>92.984489984388603</v>
      </c>
      <c r="L640">
        <v>6.0868983452246699</v>
      </c>
      <c r="M640">
        <v>96.817813037711701</v>
      </c>
      <c r="N640">
        <v>7.2393093482867599</v>
      </c>
      <c r="O640">
        <v>37.919725964506</v>
      </c>
      <c r="P640">
        <v>82.918029185777399</v>
      </c>
      <c r="Q640">
        <v>1</v>
      </c>
      <c r="R640">
        <v>0</v>
      </c>
      <c r="S640">
        <v>20.657540002100699</v>
      </c>
    </row>
    <row r="641" spans="1:19" x14ac:dyDescent="0.25">
      <c r="A641">
        <v>20</v>
      </c>
      <c r="B641">
        <v>171</v>
      </c>
      <c r="C641">
        <v>78</v>
      </c>
      <c r="D641" t="s">
        <v>19</v>
      </c>
      <c r="E641">
        <v>9.6279601999318896</v>
      </c>
      <c r="F641">
        <v>28</v>
      </c>
      <c r="G641">
        <v>0</v>
      </c>
      <c r="H641">
        <v>80.713708104749799</v>
      </c>
      <c r="I641">
        <v>81.042208129656103</v>
      </c>
      <c r="J641">
        <v>242.30874728879101</v>
      </c>
      <c r="K641">
        <v>84.675663125026205</v>
      </c>
      <c r="L641">
        <v>6.3286983330804203</v>
      </c>
      <c r="M641">
        <v>90.390408095260298</v>
      </c>
      <c r="N641">
        <v>7.88138365603435</v>
      </c>
      <c r="O641">
        <v>61.470563250803103</v>
      </c>
      <c r="P641">
        <v>89.448083959379602</v>
      </c>
      <c r="Q641">
        <v>1</v>
      </c>
      <c r="R641">
        <v>0</v>
      </c>
      <c r="S641">
        <v>26.674874320303601</v>
      </c>
    </row>
    <row r="642" spans="1:19" x14ac:dyDescent="0.25">
      <c r="A642">
        <v>18</v>
      </c>
      <c r="B642">
        <v>183</v>
      </c>
      <c r="C642">
        <v>72</v>
      </c>
      <c r="D642" t="s">
        <v>22</v>
      </c>
      <c r="E642">
        <v>10.348422805939601</v>
      </c>
      <c r="F642">
        <v>32</v>
      </c>
      <c r="G642">
        <v>1</v>
      </c>
      <c r="H642">
        <v>84.750831419889295</v>
      </c>
      <c r="I642">
        <v>82.114081814415201</v>
      </c>
      <c r="J642">
        <v>269.322856609459</v>
      </c>
      <c r="K642">
        <v>95.093973916154397</v>
      </c>
      <c r="L642">
        <v>5.8865022422253404</v>
      </c>
      <c r="M642">
        <v>81.840573311507399</v>
      </c>
      <c r="N642">
        <v>8.3326886870172192</v>
      </c>
      <c r="O642">
        <v>33.349497796912502</v>
      </c>
      <c r="P642">
        <v>72.699024460886406</v>
      </c>
      <c r="Q642">
        <v>1</v>
      </c>
      <c r="R642">
        <v>0</v>
      </c>
      <c r="S642">
        <v>21.4995968825584</v>
      </c>
    </row>
    <row r="643" spans="1:19" x14ac:dyDescent="0.25">
      <c r="A643">
        <v>21</v>
      </c>
      <c r="B643">
        <v>183</v>
      </c>
      <c r="C643">
        <v>71</v>
      </c>
      <c r="D643" t="s">
        <v>19</v>
      </c>
      <c r="E643">
        <v>8.9311242691130506</v>
      </c>
      <c r="F643">
        <v>36</v>
      </c>
      <c r="G643">
        <v>0</v>
      </c>
      <c r="H643">
        <v>88.317681400475493</v>
      </c>
      <c r="I643">
        <v>76.852810598550803</v>
      </c>
      <c r="J643">
        <v>250.921595073611</v>
      </c>
      <c r="K643">
        <v>91.981248893367095</v>
      </c>
      <c r="L643">
        <v>6.0269810772969299</v>
      </c>
      <c r="M643">
        <v>84.922674524313706</v>
      </c>
      <c r="N643">
        <v>7.4285763710431203</v>
      </c>
      <c r="O643">
        <v>30.793456336166699</v>
      </c>
      <c r="P643">
        <v>79.792038133883594</v>
      </c>
      <c r="Q643">
        <v>1</v>
      </c>
      <c r="R643">
        <v>0</v>
      </c>
      <c r="S643">
        <v>21.200991370300599</v>
      </c>
    </row>
    <row r="644" spans="1:19" x14ac:dyDescent="0.25">
      <c r="A644">
        <v>23</v>
      </c>
      <c r="B644">
        <v>182</v>
      </c>
      <c r="C644">
        <v>63</v>
      </c>
      <c r="D644" t="s">
        <v>21</v>
      </c>
      <c r="E644">
        <v>10.411016450889599</v>
      </c>
      <c r="F644">
        <v>16</v>
      </c>
      <c r="G644">
        <v>1</v>
      </c>
      <c r="H644">
        <v>85.308366448567597</v>
      </c>
      <c r="I644">
        <v>91.483524742277098</v>
      </c>
      <c r="J644">
        <v>262.67694797381398</v>
      </c>
      <c r="K644">
        <v>84.796886650337399</v>
      </c>
      <c r="L644">
        <v>5.9107843359764098</v>
      </c>
      <c r="M644">
        <v>77.102559502418401</v>
      </c>
      <c r="N644">
        <v>7.2710648904251798</v>
      </c>
      <c r="O644">
        <v>48.098171423742301</v>
      </c>
      <c r="P644">
        <v>71.019022542822299</v>
      </c>
      <c r="Q644">
        <v>0</v>
      </c>
      <c r="R644">
        <v>0</v>
      </c>
      <c r="S644">
        <v>19.019442096365101</v>
      </c>
    </row>
    <row r="645" spans="1:19" x14ac:dyDescent="0.25">
      <c r="A645">
        <v>18</v>
      </c>
      <c r="B645">
        <v>184</v>
      </c>
      <c r="C645">
        <v>52</v>
      </c>
      <c r="D645" t="s">
        <v>19</v>
      </c>
      <c r="E645">
        <v>7.0336899439373397</v>
      </c>
      <c r="F645">
        <v>22</v>
      </c>
      <c r="G645">
        <v>0</v>
      </c>
      <c r="H645">
        <v>69.316085275657002</v>
      </c>
      <c r="I645">
        <v>86.041005652787803</v>
      </c>
      <c r="J645">
        <v>211.880935823047</v>
      </c>
      <c r="K645">
        <v>93.5760150937448</v>
      </c>
      <c r="L645">
        <v>5.8980178004562802</v>
      </c>
      <c r="M645">
        <v>77.155870911451998</v>
      </c>
      <c r="N645">
        <v>8.0054457724820001</v>
      </c>
      <c r="O645">
        <v>45.665724206066201</v>
      </c>
      <c r="P645">
        <v>87.889510135075398</v>
      </c>
      <c r="Q645">
        <v>0</v>
      </c>
      <c r="R645">
        <v>0</v>
      </c>
      <c r="S645">
        <v>15.3591682419659</v>
      </c>
    </row>
    <row r="646" spans="1:19" x14ac:dyDescent="0.25">
      <c r="A646">
        <v>19</v>
      </c>
      <c r="B646">
        <v>177</v>
      </c>
      <c r="C646">
        <v>82</v>
      </c>
      <c r="D646" t="s">
        <v>19</v>
      </c>
      <c r="E646">
        <v>6.3295431708439196</v>
      </c>
      <c r="F646">
        <v>38</v>
      </c>
      <c r="G646">
        <v>0</v>
      </c>
      <c r="H646">
        <v>79.614745713237696</v>
      </c>
      <c r="I646">
        <v>68.608826295447003</v>
      </c>
      <c r="J646">
        <v>244.83382934524101</v>
      </c>
      <c r="K646">
        <v>91.139059737421505</v>
      </c>
      <c r="L646">
        <v>6.4248927087592298</v>
      </c>
      <c r="M646">
        <v>82.303181512378302</v>
      </c>
      <c r="N646">
        <v>7.1045749115322696</v>
      </c>
      <c r="O646">
        <v>38.847289938105803</v>
      </c>
      <c r="P646">
        <v>82.324508612407598</v>
      </c>
      <c r="Q646">
        <v>1</v>
      </c>
      <c r="R646">
        <v>0</v>
      </c>
      <c r="S646">
        <v>26.173832551310198</v>
      </c>
    </row>
    <row r="647" spans="1:19" x14ac:dyDescent="0.25">
      <c r="A647">
        <v>23</v>
      </c>
      <c r="B647">
        <v>177</v>
      </c>
      <c r="C647">
        <v>58</v>
      </c>
      <c r="D647" t="s">
        <v>19</v>
      </c>
      <c r="E647">
        <v>13.729059390636699</v>
      </c>
      <c r="F647">
        <v>11</v>
      </c>
      <c r="G647">
        <v>3</v>
      </c>
      <c r="H647">
        <v>64.476692839444397</v>
      </c>
      <c r="I647">
        <v>93.451457056040297</v>
      </c>
      <c r="J647">
        <v>230.063164903363</v>
      </c>
      <c r="K647">
        <v>93.714051050930394</v>
      </c>
      <c r="L647">
        <v>5.7566342749962196</v>
      </c>
      <c r="M647">
        <v>87.093815847357405</v>
      </c>
      <c r="N647">
        <v>8.2000499772506608</v>
      </c>
      <c r="O647">
        <v>40.255864844776198</v>
      </c>
      <c r="P647">
        <v>86.467115516646899</v>
      </c>
      <c r="Q647">
        <v>1</v>
      </c>
      <c r="R647">
        <v>0</v>
      </c>
      <c r="S647">
        <v>18.513198633853602</v>
      </c>
    </row>
    <row r="648" spans="1:19" x14ac:dyDescent="0.25">
      <c r="A648">
        <v>19</v>
      </c>
      <c r="B648">
        <v>176</v>
      </c>
      <c r="C648">
        <v>60</v>
      </c>
      <c r="D648" t="s">
        <v>21</v>
      </c>
      <c r="E648">
        <v>7.2911699933880998</v>
      </c>
      <c r="F648">
        <v>17</v>
      </c>
      <c r="G648">
        <v>1</v>
      </c>
      <c r="H648">
        <v>78.9231939247898</v>
      </c>
      <c r="I648">
        <v>72.119729625140295</v>
      </c>
      <c r="J648">
        <v>206.40899034295501</v>
      </c>
      <c r="K648">
        <v>82.046039417276702</v>
      </c>
      <c r="L648">
        <v>6.1774347593006498</v>
      </c>
      <c r="M648">
        <v>82.313935592189793</v>
      </c>
      <c r="N648">
        <v>7.4006106293640901</v>
      </c>
      <c r="O648">
        <v>30.317169261033001</v>
      </c>
      <c r="P648">
        <v>64.631913340541601</v>
      </c>
      <c r="Q648">
        <v>1</v>
      </c>
      <c r="R648">
        <v>0</v>
      </c>
      <c r="S648">
        <v>19.369834710743799</v>
      </c>
    </row>
    <row r="649" spans="1:19" x14ac:dyDescent="0.25">
      <c r="A649">
        <v>20</v>
      </c>
      <c r="B649">
        <v>185</v>
      </c>
      <c r="C649">
        <v>77</v>
      </c>
      <c r="D649" t="s">
        <v>20</v>
      </c>
      <c r="E649">
        <v>8.7822529099545807</v>
      </c>
      <c r="F649">
        <v>32</v>
      </c>
      <c r="G649">
        <v>0</v>
      </c>
      <c r="H649">
        <v>73.718169266455405</v>
      </c>
      <c r="I649">
        <v>96.487291623177398</v>
      </c>
      <c r="J649">
        <v>256.52961369665297</v>
      </c>
      <c r="K649">
        <v>95.389848333336801</v>
      </c>
      <c r="L649">
        <v>5.9760109036145703</v>
      </c>
      <c r="M649">
        <v>79.500519404195401</v>
      </c>
      <c r="N649">
        <v>8.1271280012788907</v>
      </c>
      <c r="O649">
        <v>62.561419042844598</v>
      </c>
      <c r="P649">
        <v>84.088898959532102</v>
      </c>
      <c r="Q649">
        <v>0</v>
      </c>
      <c r="R649">
        <v>0</v>
      </c>
      <c r="S649">
        <v>22.498173849525099</v>
      </c>
    </row>
    <row r="650" spans="1:19" x14ac:dyDescent="0.25">
      <c r="A650">
        <v>18</v>
      </c>
      <c r="B650">
        <v>187</v>
      </c>
      <c r="C650">
        <v>91</v>
      </c>
      <c r="D650" t="s">
        <v>19</v>
      </c>
      <c r="E650">
        <v>10.258491451314899</v>
      </c>
      <c r="F650">
        <v>10</v>
      </c>
      <c r="G650">
        <v>2</v>
      </c>
      <c r="H650">
        <v>72.500880497961603</v>
      </c>
      <c r="I650">
        <v>79.815953960306402</v>
      </c>
      <c r="J650">
        <v>215.20438917413901</v>
      </c>
      <c r="K650">
        <v>82.017025614965206</v>
      </c>
      <c r="L650">
        <v>6.2207259683758798</v>
      </c>
      <c r="M650">
        <v>67.753534238824599</v>
      </c>
      <c r="N650">
        <v>7.9037647494028702</v>
      </c>
      <c r="O650">
        <v>52.1939114064878</v>
      </c>
      <c r="P650">
        <v>72.565038056597203</v>
      </c>
      <c r="Q650">
        <v>1</v>
      </c>
      <c r="R650">
        <v>0</v>
      </c>
      <c r="S650">
        <v>26.023048986244898</v>
      </c>
    </row>
    <row r="651" spans="1:19" x14ac:dyDescent="0.25">
      <c r="A651">
        <v>22</v>
      </c>
      <c r="B651">
        <v>175</v>
      </c>
      <c r="C651">
        <v>62</v>
      </c>
      <c r="D651" t="s">
        <v>21</v>
      </c>
      <c r="E651">
        <v>11.554064596187899</v>
      </c>
      <c r="F651">
        <v>17</v>
      </c>
      <c r="G651">
        <v>2</v>
      </c>
      <c r="H651">
        <v>80.781717970748005</v>
      </c>
      <c r="I651">
        <v>74.512127983859202</v>
      </c>
      <c r="J651">
        <v>222.40648771123901</v>
      </c>
      <c r="K651">
        <v>83.325287464012206</v>
      </c>
      <c r="L651">
        <v>5.5726115537439904</v>
      </c>
      <c r="M651">
        <v>63.894423847468801</v>
      </c>
      <c r="N651">
        <v>8.2585208293364705</v>
      </c>
      <c r="O651">
        <v>44.635576043834497</v>
      </c>
      <c r="P651">
        <v>71.088881104064995</v>
      </c>
      <c r="Q651">
        <v>1</v>
      </c>
      <c r="R651">
        <v>1</v>
      </c>
      <c r="S651">
        <v>20.2448979591836</v>
      </c>
    </row>
    <row r="652" spans="1:19" x14ac:dyDescent="0.25">
      <c r="A652">
        <v>18</v>
      </c>
      <c r="B652">
        <v>175</v>
      </c>
      <c r="C652">
        <v>76</v>
      </c>
      <c r="D652" t="s">
        <v>20</v>
      </c>
      <c r="E652">
        <v>13.513198110427799</v>
      </c>
      <c r="F652">
        <v>5</v>
      </c>
      <c r="G652">
        <v>1</v>
      </c>
      <c r="H652">
        <v>77.843372707305207</v>
      </c>
      <c r="I652">
        <v>79.000422071200703</v>
      </c>
      <c r="J652">
        <v>239.85026530403701</v>
      </c>
      <c r="K652">
        <v>82.258468460089901</v>
      </c>
      <c r="L652">
        <v>5.7021753786310896</v>
      </c>
      <c r="M652">
        <v>77.784476442611606</v>
      </c>
      <c r="N652">
        <v>6.0125232017741101</v>
      </c>
      <c r="O652">
        <v>50.1002229382579</v>
      </c>
      <c r="P652">
        <v>67.835936405897996</v>
      </c>
      <c r="Q652">
        <v>0</v>
      </c>
      <c r="R652">
        <v>1</v>
      </c>
      <c r="S652">
        <v>24.816326530612201</v>
      </c>
    </row>
    <row r="653" spans="1:19" x14ac:dyDescent="0.25">
      <c r="A653">
        <v>21</v>
      </c>
      <c r="B653">
        <v>167</v>
      </c>
      <c r="C653">
        <v>91</v>
      </c>
      <c r="D653" t="s">
        <v>20</v>
      </c>
      <c r="E653">
        <v>10.956531017477101</v>
      </c>
      <c r="F653">
        <v>6</v>
      </c>
      <c r="G653">
        <v>1</v>
      </c>
      <c r="H653">
        <v>79.923521297960804</v>
      </c>
      <c r="I653">
        <v>78.116659272390194</v>
      </c>
      <c r="J653">
        <v>306.47186909326598</v>
      </c>
      <c r="K653">
        <v>73.136803180644506</v>
      </c>
      <c r="L653">
        <v>6.4313364330875604</v>
      </c>
      <c r="M653">
        <v>78.583947145439495</v>
      </c>
      <c r="N653">
        <v>7.9900541976765904</v>
      </c>
      <c r="O653">
        <v>60.642561179548899</v>
      </c>
      <c r="P653">
        <v>80.338381848729099</v>
      </c>
      <c r="Q653">
        <v>1</v>
      </c>
      <c r="R653">
        <v>1</v>
      </c>
      <c r="S653">
        <v>32.629352074294502</v>
      </c>
    </row>
    <row r="654" spans="1:19" x14ac:dyDescent="0.25">
      <c r="A654">
        <v>23</v>
      </c>
      <c r="B654">
        <v>165</v>
      </c>
      <c r="C654">
        <v>83</v>
      </c>
      <c r="D654" t="s">
        <v>21</v>
      </c>
      <c r="E654">
        <v>6.4099012028133</v>
      </c>
      <c r="F654">
        <v>31</v>
      </c>
      <c r="G654">
        <v>1</v>
      </c>
      <c r="H654">
        <v>83.0653036762955</v>
      </c>
      <c r="I654">
        <v>92.348662406783006</v>
      </c>
      <c r="J654">
        <v>256.77780951854902</v>
      </c>
      <c r="K654">
        <v>76.225077605511501</v>
      </c>
      <c r="L654">
        <v>6.1338605157264103</v>
      </c>
      <c r="M654">
        <v>77.555170225394804</v>
      </c>
      <c r="N654">
        <v>7.5436942734297396</v>
      </c>
      <c r="O654">
        <v>55.764572270377698</v>
      </c>
      <c r="P654">
        <v>64.988382479742398</v>
      </c>
      <c r="Q654">
        <v>1</v>
      </c>
      <c r="R654">
        <v>0</v>
      </c>
      <c r="S654">
        <v>30.486685032139501</v>
      </c>
    </row>
    <row r="655" spans="1:19" x14ac:dyDescent="0.25">
      <c r="A655">
        <v>22</v>
      </c>
      <c r="B655">
        <v>176</v>
      </c>
      <c r="C655">
        <v>80</v>
      </c>
      <c r="D655" t="s">
        <v>22</v>
      </c>
      <c r="E655">
        <v>7.4337546447770704</v>
      </c>
      <c r="F655">
        <v>8</v>
      </c>
      <c r="G655">
        <v>1</v>
      </c>
      <c r="H655">
        <v>73.529817486096803</v>
      </c>
      <c r="I655">
        <v>80.746977945257896</v>
      </c>
      <c r="J655">
        <v>254.78297615215001</v>
      </c>
      <c r="K655">
        <v>81.234596960061197</v>
      </c>
      <c r="L655">
        <v>5.5327554904667604</v>
      </c>
      <c r="M655">
        <v>79.576442129803596</v>
      </c>
      <c r="N655">
        <v>7.3586082837578104</v>
      </c>
      <c r="O655">
        <v>54.485891281010502</v>
      </c>
      <c r="P655">
        <v>78.286266975089603</v>
      </c>
      <c r="Q655">
        <v>1</v>
      </c>
      <c r="R655">
        <v>1</v>
      </c>
      <c r="S655">
        <v>25.8264462809917</v>
      </c>
    </row>
    <row r="656" spans="1:19" x14ac:dyDescent="0.25">
      <c r="A656">
        <v>21</v>
      </c>
      <c r="B656">
        <v>185</v>
      </c>
      <c r="C656">
        <v>64</v>
      </c>
      <c r="D656" t="s">
        <v>22</v>
      </c>
      <c r="E656">
        <v>8.0207603434841808</v>
      </c>
      <c r="F656">
        <v>18</v>
      </c>
      <c r="G656">
        <v>0</v>
      </c>
      <c r="H656">
        <v>77.388756161346606</v>
      </c>
      <c r="I656">
        <v>87.765414577405494</v>
      </c>
      <c r="J656">
        <v>230.38292489408099</v>
      </c>
      <c r="K656">
        <v>83.293713137972006</v>
      </c>
      <c r="L656">
        <v>5.86471432233468</v>
      </c>
      <c r="M656">
        <v>78.2045515647266</v>
      </c>
      <c r="N656">
        <v>7.9786198589633903</v>
      </c>
      <c r="O656">
        <v>41.958354327655101</v>
      </c>
      <c r="P656">
        <v>86.437714299118696</v>
      </c>
      <c r="Q656">
        <v>0</v>
      </c>
      <c r="R656">
        <v>0</v>
      </c>
      <c r="S656">
        <v>18.699780861943001</v>
      </c>
    </row>
    <row r="657" spans="1:19" x14ac:dyDescent="0.25">
      <c r="A657">
        <v>24</v>
      </c>
      <c r="B657">
        <v>174</v>
      </c>
      <c r="C657">
        <v>68</v>
      </c>
      <c r="D657" t="s">
        <v>21</v>
      </c>
      <c r="E657">
        <v>10.6698819492489</v>
      </c>
      <c r="F657">
        <v>37</v>
      </c>
      <c r="G657">
        <v>3</v>
      </c>
      <c r="H657">
        <v>70.877676103625205</v>
      </c>
      <c r="I657">
        <v>72.466036076069201</v>
      </c>
      <c r="J657">
        <v>265.06731197091102</v>
      </c>
      <c r="K657">
        <v>75.688049125816903</v>
      </c>
      <c r="L657">
        <v>6.0775816492017798</v>
      </c>
      <c r="M657">
        <v>60.052811470887299</v>
      </c>
      <c r="N657">
        <v>7.1802936449206296</v>
      </c>
      <c r="O657">
        <v>61.128005514174603</v>
      </c>
      <c r="P657">
        <v>71.872645235775494</v>
      </c>
      <c r="Q657">
        <v>0</v>
      </c>
      <c r="R657">
        <v>1</v>
      </c>
      <c r="S657">
        <v>22.460034350640701</v>
      </c>
    </row>
    <row r="658" spans="1:19" x14ac:dyDescent="0.25">
      <c r="A658">
        <v>24</v>
      </c>
      <c r="B658">
        <v>174</v>
      </c>
      <c r="C658">
        <v>63</v>
      </c>
      <c r="D658" t="s">
        <v>20</v>
      </c>
      <c r="E658">
        <v>6.38427579869761</v>
      </c>
      <c r="F658">
        <v>36</v>
      </c>
      <c r="G658">
        <v>1</v>
      </c>
      <c r="H658">
        <v>77.829214075345604</v>
      </c>
      <c r="I658">
        <v>86.281373283544994</v>
      </c>
      <c r="J658">
        <v>225.23295990684201</v>
      </c>
      <c r="K658">
        <v>97.290953996944097</v>
      </c>
      <c r="L658">
        <v>6.0896449768872998</v>
      </c>
      <c r="M658">
        <v>94.051287033200197</v>
      </c>
      <c r="N658">
        <v>8.2487066339197899</v>
      </c>
      <c r="O658">
        <v>61.239129336376699</v>
      </c>
      <c r="P658">
        <v>74.258400476773502</v>
      </c>
      <c r="Q658">
        <v>1</v>
      </c>
      <c r="R658">
        <v>0</v>
      </c>
      <c r="S658">
        <v>20.808561236623</v>
      </c>
    </row>
    <row r="659" spans="1:19" x14ac:dyDescent="0.25">
      <c r="A659">
        <v>19</v>
      </c>
      <c r="B659">
        <v>175</v>
      </c>
      <c r="C659">
        <v>66</v>
      </c>
      <c r="D659" t="s">
        <v>22</v>
      </c>
      <c r="E659">
        <v>8.1060532428551593</v>
      </c>
      <c r="F659">
        <v>36</v>
      </c>
      <c r="G659">
        <v>1</v>
      </c>
      <c r="H659">
        <v>75.631877104188305</v>
      </c>
      <c r="I659">
        <v>79.088769520297504</v>
      </c>
      <c r="J659">
        <v>208.21733064954199</v>
      </c>
      <c r="K659">
        <v>93.5419332502846</v>
      </c>
      <c r="L659">
        <v>6.05698179435434</v>
      </c>
      <c r="M659">
        <v>69.063316522975001</v>
      </c>
      <c r="N659">
        <v>8.1959361149866403</v>
      </c>
      <c r="O659">
        <v>44.783560340518903</v>
      </c>
      <c r="P659">
        <v>75.100747225320106</v>
      </c>
      <c r="Q659">
        <v>0</v>
      </c>
      <c r="R659">
        <v>0</v>
      </c>
      <c r="S659">
        <v>21.5510204081632</v>
      </c>
    </row>
    <row r="660" spans="1:19" x14ac:dyDescent="0.25">
      <c r="A660">
        <v>22</v>
      </c>
      <c r="B660">
        <v>175</v>
      </c>
      <c r="C660">
        <v>62</v>
      </c>
      <c r="D660" t="s">
        <v>19</v>
      </c>
      <c r="E660">
        <v>7.0241676872391201</v>
      </c>
      <c r="F660">
        <v>5</v>
      </c>
      <c r="G660">
        <v>1</v>
      </c>
      <c r="H660">
        <v>75.124543039059503</v>
      </c>
      <c r="I660">
        <v>81.824253623788493</v>
      </c>
      <c r="J660">
        <v>229.41920372650301</v>
      </c>
      <c r="K660">
        <v>97.412686158712802</v>
      </c>
      <c r="L660">
        <v>5.9204871297820896</v>
      </c>
      <c r="M660">
        <v>92.720782529956395</v>
      </c>
      <c r="N660">
        <v>8.9941816558319694</v>
      </c>
      <c r="O660">
        <v>56.953369224215201</v>
      </c>
      <c r="P660">
        <v>88.622867944798898</v>
      </c>
      <c r="Q660">
        <v>1</v>
      </c>
      <c r="R660">
        <v>0</v>
      </c>
      <c r="S660">
        <v>20.2448979591836</v>
      </c>
    </row>
    <row r="661" spans="1:19" x14ac:dyDescent="0.25">
      <c r="A661">
        <v>20</v>
      </c>
      <c r="B661">
        <v>185</v>
      </c>
      <c r="C661">
        <v>76</v>
      </c>
      <c r="D661" t="s">
        <v>21</v>
      </c>
      <c r="E661">
        <v>17.238249219719901</v>
      </c>
      <c r="F661">
        <v>12</v>
      </c>
      <c r="G661">
        <v>0</v>
      </c>
      <c r="H661">
        <v>80.080913631475497</v>
      </c>
      <c r="I661">
        <v>79.4023820887451</v>
      </c>
      <c r="J661">
        <v>214.94829102915401</v>
      </c>
      <c r="K661">
        <v>92.543401001021493</v>
      </c>
      <c r="L661">
        <v>5.8455865915866703</v>
      </c>
      <c r="M661">
        <v>83.917305790364594</v>
      </c>
      <c r="N661">
        <v>8.7793130630890808</v>
      </c>
      <c r="O661">
        <v>44.428265118919001</v>
      </c>
      <c r="P661">
        <v>76.963644880164495</v>
      </c>
      <c r="Q661">
        <v>0</v>
      </c>
      <c r="R661">
        <v>0</v>
      </c>
      <c r="S661">
        <v>22.205989773557299</v>
      </c>
    </row>
    <row r="662" spans="1:19" x14ac:dyDescent="0.25">
      <c r="A662">
        <v>19</v>
      </c>
      <c r="B662">
        <v>175</v>
      </c>
      <c r="C662">
        <v>82</v>
      </c>
      <c r="D662" t="s">
        <v>21</v>
      </c>
      <c r="E662">
        <v>15.290192202012999</v>
      </c>
      <c r="F662">
        <v>32</v>
      </c>
      <c r="G662">
        <v>1</v>
      </c>
      <c r="H662">
        <v>74.867113378991505</v>
      </c>
      <c r="I662">
        <v>76.3046200278161</v>
      </c>
      <c r="J662">
        <v>288.53522547276299</v>
      </c>
      <c r="K662">
        <v>86.983351089356304</v>
      </c>
      <c r="L662">
        <v>4.9989327846635696</v>
      </c>
      <c r="M662">
        <v>69.769949523310999</v>
      </c>
      <c r="N662">
        <v>6.7297411376070597</v>
      </c>
      <c r="O662">
        <v>64.929277952285901</v>
      </c>
      <c r="P662">
        <v>72.016916448276504</v>
      </c>
      <c r="Q662">
        <v>0</v>
      </c>
      <c r="R662">
        <v>1</v>
      </c>
      <c r="S662">
        <v>26.775510204081598</v>
      </c>
    </row>
    <row r="663" spans="1:19" x14ac:dyDescent="0.25">
      <c r="A663">
        <v>21</v>
      </c>
      <c r="B663">
        <v>175</v>
      </c>
      <c r="C663">
        <v>58</v>
      </c>
      <c r="D663" t="s">
        <v>20</v>
      </c>
      <c r="E663">
        <v>14.2187551666287</v>
      </c>
      <c r="F663">
        <v>15</v>
      </c>
      <c r="G663">
        <v>2</v>
      </c>
      <c r="H663">
        <v>82.410286408929394</v>
      </c>
      <c r="I663">
        <v>81.855345862014104</v>
      </c>
      <c r="J663">
        <v>265.66669992217601</v>
      </c>
      <c r="K663">
        <v>89.574377341965601</v>
      </c>
      <c r="L663">
        <v>6.3139761141167901</v>
      </c>
      <c r="M663">
        <v>84.205647125176498</v>
      </c>
      <c r="N663">
        <v>8.5447222592537493</v>
      </c>
      <c r="O663">
        <v>41.550444527501398</v>
      </c>
      <c r="P663">
        <v>83.912113127643195</v>
      </c>
      <c r="Q663">
        <v>1</v>
      </c>
      <c r="R663">
        <v>0</v>
      </c>
      <c r="S663">
        <v>18.938775510204</v>
      </c>
    </row>
    <row r="664" spans="1:19" x14ac:dyDescent="0.25">
      <c r="A664">
        <v>21</v>
      </c>
      <c r="B664">
        <v>169</v>
      </c>
      <c r="C664">
        <v>87</v>
      </c>
      <c r="D664" t="s">
        <v>21</v>
      </c>
      <c r="E664">
        <v>9.0548808530091396</v>
      </c>
      <c r="F664">
        <v>26</v>
      </c>
      <c r="G664">
        <v>0</v>
      </c>
      <c r="H664">
        <v>70.413007971292402</v>
      </c>
      <c r="I664">
        <v>86.696829263479401</v>
      </c>
      <c r="J664">
        <v>247.951634208596</v>
      </c>
      <c r="K664">
        <v>82.040730744617207</v>
      </c>
      <c r="L664">
        <v>6.0179758455653101</v>
      </c>
      <c r="M664">
        <v>64.456107301090697</v>
      </c>
      <c r="N664">
        <v>7.1723954640720899</v>
      </c>
      <c r="O664">
        <v>67.000039303832907</v>
      </c>
      <c r="P664">
        <v>63.148614460120598</v>
      </c>
      <c r="Q664">
        <v>1</v>
      </c>
      <c r="R664">
        <v>1</v>
      </c>
      <c r="S664">
        <v>30.4611183081824</v>
      </c>
    </row>
    <row r="665" spans="1:19" x14ac:dyDescent="0.25">
      <c r="A665">
        <v>24</v>
      </c>
      <c r="B665">
        <v>171</v>
      </c>
      <c r="C665">
        <v>80</v>
      </c>
      <c r="D665" t="s">
        <v>19</v>
      </c>
      <c r="E665">
        <v>8.6774044453534405</v>
      </c>
      <c r="F665">
        <v>38</v>
      </c>
      <c r="G665">
        <v>0</v>
      </c>
      <c r="H665">
        <v>83.696720920138603</v>
      </c>
      <c r="I665">
        <v>77.048541534278598</v>
      </c>
      <c r="J665">
        <v>225.345600613545</v>
      </c>
      <c r="K665">
        <v>89.6834861020196</v>
      </c>
      <c r="L665">
        <v>6.2507090507449403</v>
      </c>
      <c r="M665">
        <v>68.307081126852793</v>
      </c>
      <c r="N665">
        <v>7.8867395541598704</v>
      </c>
      <c r="O665">
        <v>44.424313281665697</v>
      </c>
      <c r="P665">
        <v>80.279244519286806</v>
      </c>
      <c r="Q665">
        <v>0</v>
      </c>
      <c r="R665">
        <v>0</v>
      </c>
      <c r="S665">
        <v>27.358845456721699</v>
      </c>
    </row>
    <row r="666" spans="1:19" x14ac:dyDescent="0.25">
      <c r="A666">
        <v>21</v>
      </c>
      <c r="B666">
        <v>184</v>
      </c>
      <c r="C666">
        <v>77</v>
      </c>
      <c r="D666" t="s">
        <v>22</v>
      </c>
      <c r="E666">
        <v>10.093960702894799</v>
      </c>
      <c r="F666">
        <v>35</v>
      </c>
      <c r="G666">
        <v>0</v>
      </c>
      <c r="H666">
        <v>83.812710205255797</v>
      </c>
      <c r="I666">
        <v>84.1887716110501</v>
      </c>
      <c r="J666">
        <v>238.544549662798</v>
      </c>
      <c r="K666">
        <v>89.540590187553093</v>
      </c>
      <c r="L666">
        <v>6.5002618321877801</v>
      </c>
      <c r="M666">
        <v>79.708504060597306</v>
      </c>
      <c r="N666">
        <v>8.5375134086625497</v>
      </c>
      <c r="O666">
        <v>53.097333240450197</v>
      </c>
      <c r="P666">
        <v>69.816951869841105</v>
      </c>
      <c r="Q666">
        <v>0</v>
      </c>
      <c r="R666">
        <v>0</v>
      </c>
      <c r="S666">
        <v>22.743383742911099</v>
      </c>
    </row>
    <row r="667" spans="1:19" x14ac:dyDescent="0.25">
      <c r="A667">
        <v>20</v>
      </c>
      <c r="B667">
        <v>183</v>
      </c>
      <c r="C667">
        <v>61</v>
      </c>
      <c r="D667" t="s">
        <v>20</v>
      </c>
      <c r="E667">
        <v>7.24209150642137</v>
      </c>
      <c r="F667">
        <v>26</v>
      </c>
      <c r="G667">
        <v>0</v>
      </c>
      <c r="H667">
        <v>72.304310025323502</v>
      </c>
      <c r="I667">
        <v>83.300307246628407</v>
      </c>
      <c r="J667">
        <v>222.778189921701</v>
      </c>
      <c r="K667">
        <v>90.608864680023203</v>
      </c>
      <c r="L667">
        <v>6.2126428139632397</v>
      </c>
      <c r="M667">
        <v>82.013827382788193</v>
      </c>
      <c r="N667">
        <v>9.3309553581647702</v>
      </c>
      <c r="O667">
        <v>58.420740860519899</v>
      </c>
      <c r="P667">
        <v>80.406250712757995</v>
      </c>
      <c r="Q667">
        <v>0</v>
      </c>
      <c r="R667">
        <v>0</v>
      </c>
      <c r="S667">
        <v>18.214936247723099</v>
      </c>
    </row>
    <row r="668" spans="1:19" x14ac:dyDescent="0.25">
      <c r="A668">
        <v>19</v>
      </c>
      <c r="B668">
        <v>178</v>
      </c>
      <c r="C668">
        <v>80</v>
      </c>
      <c r="D668" t="s">
        <v>22</v>
      </c>
      <c r="E668">
        <v>13.850168099357001</v>
      </c>
      <c r="F668">
        <v>25</v>
      </c>
      <c r="G668">
        <v>4</v>
      </c>
      <c r="H668">
        <v>84.8345252047732</v>
      </c>
      <c r="I668">
        <v>76.367701520259303</v>
      </c>
      <c r="J668">
        <v>247.230806798618</v>
      </c>
      <c r="K668">
        <v>76.3085887129767</v>
      </c>
      <c r="L668">
        <v>5.8565678526357097</v>
      </c>
      <c r="M668">
        <v>77.794488810460294</v>
      </c>
      <c r="N668">
        <v>7.3664596041143797</v>
      </c>
      <c r="O668">
        <v>38.3234816708868</v>
      </c>
      <c r="P668">
        <v>69.972436859406997</v>
      </c>
      <c r="Q668">
        <v>1</v>
      </c>
      <c r="R668">
        <v>0</v>
      </c>
      <c r="S668">
        <v>25.2493372048983</v>
      </c>
    </row>
    <row r="669" spans="1:19" x14ac:dyDescent="0.25">
      <c r="A669">
        <v>23</v>
      </c>
      <c r="B669">
        <v>183</v>
      </c>
      <c r="C669">
        <v>74</v>
      </c>
      <c r="D669" t="s">
        <v>20</v>
      </c>
      <c r="E669">
        <v>10.6793236030064</v>
      </c>
      <c r="F669">
        <v>17</v>
      </c>
      <c r="G669">
        <v>0</v>
      </c>
      <c r="H669">
        <v>72.749380165909599</v>
      </c>
      <c r="I669">
        <v>83.240448114659699</v>
      </c>
      <c r="J669">
        <v>239.586454320862</v>
      </c>
      <c r="K669">
        <v>83.229296181016494</v>
      </c>
      <c r="L669">
        <v>5.4851036069770398</v>
      </c>
      <c r="M669">
        <v>65.473997032665096</v>
      </c>
      <c r="N669">
        <v>7.1333192221313002</v>
      </c>
      <c r="O669">
        <v>64.484729110382901</v>
      </c>
      <c r="P669">
        <v>75.227116209816202</v>
      </c>
      <c r="Q669">
        <v>0</v>
      </c>
      <c r="R669">
        <v>1</v>
      </c>
      <c r="S669">
        <v>22.096807907073899</v>
      </c>
    </row>
    <row r="670" spans="1:19" x14ac:dyDescent="0.25">
      <c r="A670">
        <v>22</v>
      </c>
      <c r="B670">
        <v>180</v>
      </c>
      <c r="C670">
        <v>55</v>
      </c>
      <c r="D670" t="s">
        <v>22</v>
      </c>
      <c r="E670">
        <v>7.8984910468477496</v>
      </c>
      <c r="F670">
        <v>32</v>
      </c>
      <c r="G670">
        <v>4</v>
      </c>
      <c r="H670">
        <v>72.583175261935807</v>
      </c>
      <c r="I670">
        <v>78.298329546160403</v>
      </c>
      <c r="J670">
        <v>264.69135216541002</v>
      </c>
      <c r="K670">
        <v>71.763518083278299</v>
      </c>
      <c r="L670">
        <v>5.8362000163406602</v>
      </c>
      <c r="M670">
        <v>71.447131091047297</v>
      </c>
      <c r="N670">
        <v>7.4063711530969503</v>
      </c>
      <c r="O670">
        <v>51.208265968526497</v>
      </c>
      <c r="P670">
        <v>84.373825749147699</v>
      </c>
      <c r="Q670">
        <v>0</v>
      </c>
      <c r="R670">
        <v>1</v>
      </c>
      <c r="S670">
        <v>16.9753086419753</v>
      </c>
    </row>
    <row r="671" spans="1:19" x14ac:dyDescent="0.25">
      <c r="A671">
        <v>21</v>
      </c>
      <c r="B671">
        <v>185</v>
      </c>
      <c r="C671">
        <v>77</v>
      </c>
      <c r="D671" t="s">
        <v>19</v>
      </c>
      <c r="E671">
        <v>5.9735233485948598</v>
      </c>
      <c r="F671">
        <v>24</v>
      </c>
      <c r="G671">
        <v>2</v>
      </c>
      <c r="H671">
        <v>63.512269927386697</v>
      </c>
      <c r="I671">
        <v>83.534841764633299</v>
      </c>
      <c r="J671">
        <v>279.65256386723303</v>
      </c>
      <c r="K671">
        <v>73.123431385207098</v>
      </c>
      <c r="L671">
        <v>5.8988566410494601</v>
      </c>
      <c r="M671">
        <v>71.761978753447295</v>
      </c>
      <c r="N671">
        <v>6.7757693263306997</v>
      </c>
      <c r="O671">
        <v>67.109048056014203</v>
      </c>
      <c r="P671">
        <v>71.329915390802398</v>
      </c>
      <c r="Q671">
        <v>1</v>
      </c>
      <c r="R671">
        <v>1</v>
      </c>
      <c r="S671">
        <v>22.498173849525099</v>
      </c>
    </row>
    <row r="672" spans="1:19" x14ac:dyDescent="0.25">
      <c r="A672">
        <v>24</v>
      </c>
      <c r="B672">
        <v>184</v>
      </c>
      <c r="C672">
        <v>84</v>
      </c>
      <c r="D672" t="s">
        <v>21</v>
      </c>
      <c r="E672">
        <v>8.81702202928963</v>
      </c>
      <c r="F672">
        <v>31</v>
      </c>
      <c r="G672">
        <v>2</v>
      </c>
      <c r="H672">
        <v>76.397087191923504</v>
      </c>
      <c r="I672">
        <v>80.385333829760299</v>
      </c>
      <c r="J672">
        <v>214.95280983357799</v>
      </c>
      <c r="K672">
        <v>93.868258743891701</v>
      </c>
      <c r="L672">
        <v>6.6175489966759002</v>
      </c>
      <c r="M672">
        <v>95.138327466013806</v>
      </c>
      <c r="N672">
        <v>8.1746781627929401</v>
      </c>
      <c r="O672">
        <v>36.915353503684102</v>
      </c>
      <c r="P672">
        <v>73.061108838646106</v>
      </c>
      <c r="Q672">
        <v>1</v>
      </c>
      <c r="R672">
        <v>0</v>
      </c>
      <c r="S672">
        <v>24.810964083175801</v>
      </c>
    </row>
    <row r="673" spans="1:19" x14ac:dyDescent="0.25">
      <c r="A673">
        <v>23</v>
      </c>
      <c r="B673">
        <v>174</v>
      </c>
      <c r="C673">
        <v>88</v>
      </c>
      <c r="D673" t="s">
        <v>20</v>
      </c>
      <c r="E673">
        <v>14.553172037104799</v>
      </c>
      <c r="F673">
        <v>21</v>
      </c>
      <c r="G673">
        <v>0</v>
      </c>
      <c r="H673">
        <v>71.547050315522497</v>
      </c>
      <c r="I673">
        <v>81.804988382904497</v>
      </c>
      <c r="J673">
        <v>271.13125334200998</v>
      </c>
      <c r="K673">
        <v>80.829900223129101</v>
      </c>
      <c r="L673">
        <v>5.4495868429452701</v>
      </c>
      <c r="M673">
        <v>75.855223493484203</v>
      </c>
      <c r="N673">
        <v>7.6719132970302102</v>
      </c>
      <c r="O673">
        <v>87.065007174630793</v>
      </c>
      <c r="P673">
        <v>77.472988232025699</v>
      </c>
      <c r="Q673">
        <v>1</v>
      </c>
      <c r="R673">
        <v>1</v>
      </c>
      <c r="S673">
        <v>29.065926806711499</v>
      </c>
    </row>
    <row r="674" spans="1:19" x14ac:dyDescent="0.25">
      <c r="A674">
        <v>19</v>
      </c>
      <c r="B674">
        <v>170</v>
      </c>
      <c r="C674">
        <v>64</v>
      </c>
      <c r="D674" t="s">
        <v>19</v>
      </c>
      <c r="E674">
        <v>5</v>
      </c>
      <c r="F674">
        <v>39</v>
      </c>
      <c r="G674">
        <v>1</v>
      </c>
      <c r="H674">
        <v>73.858091900780096</v>
      </c>
      <c r="I674">
        <v>86.281939212530006</v>
      </c>
      <c r="J674">
        <v>233.77371366002299</v>
      </c>
      <c r="K674">
        <v>68.485061078647703</v>
      </c>
      <c r="L674">
        <v>6.3309180205455897</v>
      </c>
      <c r="M674">
        <v>81.422704337801505</v>
      </c>
      <c r="N674">
        <v>7.5727979675335302</v>
      </c>
      <c r="O674">
        <v>80.420831412707102</v>
      </c>
      <c r="P674">
        <v>70.156498523617898</v>
      </c>
      <c r="Q674">
        <v>1</v>
      </c>
      <c r="R674">
        <v>1</v>
      </c>
      <c r="S674">
        <v>22.1453287197231</v>
      </c>
    </row>
    <row r="675" spans="1:19" x14ac:dyDescent="0.25">
      <c r="A675">
        <v>24</v>
      </c>
      <c r="B675">
        <v>171</v>
      </c>
      <c r="C675">
        <v>80</v>
      </c>
      <c r="D675" t="s">
        <v>19</v>
      </c>
      <c r="E675">
        <v>8.5573392497129692</v>
      </c>
      <c r="F675">
        <v>13</v>
      </c>
      <c r="G675">
        <v>0</v>
      </c>
      <c r="H675">
        <v>83.726229281075206</v>
      </c>
      <c r="I675">
        <v>77.776812312157503</v>
      </c>
      <c r="J675">
        <v>232.357183844498</v>
      </c>
      <c r="K675">
        <v>81.249439973177502</v>
      </c>
      <c r="L675">
        <v>6.1675674969717402</v>
      </c>
      <c r="M675">
        <v>90.010474169852998</v>
      </c>
      <c r="N675">
        <v>8.1835651337676101</v>
      </c>
      <c r="O675">
        <v>38.526365160265399</v>
      </c>
      <c r="P675">
        <v>96.117921559471597</v>
      </c>
      <c r="Q675">
        <v>0</v>
      </c>
      <c r="R675">
        <v>0</v>
      </c>
      <c r="S675">
        <v>27.358845456721699</v>
      </c>
    </row>
    <row r="676" spans="1:19" x14ac:dyDescent="0.25">
      <c r="A676">
        <v>21</v>
      </c>
      <c r="B676">
        <v>187</v>
      </c>
      <c r="C676">
        <v>64</v>
      </c>
      <c r="D676" t="s">
        <v>21</v>
      </c>
      <c r="E676">
        <v>11.5331580746141</v>
      </c>
      <c r="F676">
        <v>24</v>
      </c>
      <c r="G676">
        <v>0</v>
      </c>
      <c r="H676">
        <v>75.821646179973797</v>
      </c>
      <c r="I676">
        <v>73.533378190506994</v>
      </c>
      <c r="J676">
        <v>239.21822824148299</v>
      </c>
      <c r="K676">
        <v>90.420393937431996</v>
      </c>
      <c r="L676">
        <v>6.1710338790178998</v>
      </c>
      <c r="M676">
        <v>89.854605497449597</v>
      </c>
      <c r="N676">
        <v>7.1708715850583999</v>
      </c>
      <c r="O676">
        <v>47.428254439123599</v>
      </c>
      <c r="P676">
        <v>74.802685275424807</v>
      </c>
      <c r="Q676">
        <v>0</v>
      </c>
      <c r="R676">
        <v>0</v>
      </c>
      <c r="S676">
        <v>18.3019245617546</v>
      </c>
    </row>
    <row r="677" spans="1:19" x14ac:dyDescent="0.25">
      <c r="A677">
        <v>21</v>
      </c>
      <c r="B677">
        <v>186</v>
      </c>
      <c r="C677">
        <v>92</v>
      </c>
      <c r="D677" t="s">
        <v>19</v>
      </c>
      <c r="E677">
        <v>12.819396330760799</v>
      </c>
      <c r="F677">
        <v>39</v>
      </c>
      <c r="G677">
        <v>0</v>
      </c>
      <c r="H677">
        <v>69.931824127772302</v>
      </c>
      <c r="I677">
        <v>88.2394669842855</v>
      </c>
      <c r="J677">
        <v>250.895017886391</v>
      </c>
      <c r="K677">
        <v>100</v>
      </c>
      <c r="L677">
        <v>5.8040154196855704</v>
      </c>
      <c r="M677">
        <v>72.455147340253802</v>
      </c>
      <c r="N677">
        <v>8.3758740100603006</v>
      </c>
      <c r="O677">
        <v>44.856687823382899</v>
      </c>
      <c r="P677">
        <v>82.205264932988896</v>
      </c>
      <c r="Q677">
        <v>1</v>
      </c>
      <c r="R677">
        <v>0</v>
      </c>
      <c r="S677">
        <v>26.5926696727945</v>
      </c>
    </row>
    <row r="678" spans="1:19" x14ac:dyDescent="0.25">
      <c r="A678">
        <v>24</v>
      </c>
      <c r="B678">
        <v>181</v>
      </c>
      <c r="C678">
        <v>91</v>
      </c>
      <c r="D678" t="s">
        <v>21</v>
      </c>
      <c r="E678">
        <v>12.414726402230301</v>
      </c>
      <c r="F678">
        <v>9</v>
      </c>
      <c r="G678">
        <v>1</v>
      </c>
      <c r="H678">
        <v>83.730652084794201</v>
      </c>
      <c r="I678">
        <v>86.957644839206594</v>
      </c>
      <c r="J678">
        <v>276.14757805292101</v>
      </c>
      <c r="K678">
        <v>84.618629663923599</v>
      </c>
      <c r="L678">
        <v>5.8368839723719601</v>
      </c>
      <c r="M678">
        <v>71.929217693198893</v>
      </c>
      <c r="N678">
        <v>8.1277962982171896</v>
      </c>
      <c r="O678">
        <v>56.040600709891798</v>
      </c>
      <c r="P678">
        <v>79.623847686728794</v>
      </c>
      <c r="Q678">
        <v>1</v>
      </c>
      <c r="R678">
        <v>0</v>
      </c>
      <c r="S678">
        <v>27.776929886145101</v>
      </c>
    </row>
    <row r="679" spans="1:19" x14ac:dyDescent="0.25">
      <c r="A679">
        <v>24</v>
      </c>
      <c r="B679">
        <v>179</v>
      </c>
      <c r="C679">
        <v>73</v>
      </c>
      <c r="D679" t="s">
        <v>22</v>
      </c>
      <c r="E679">
        <v>14.5157865597373</v>
      </c>
      <c r="F679">
        <v>38</v>
      </c>
      <c r="G679">
        <v>1</v>
      </c>
      <c r="H679">
        <v>75.038979222375303</v>
      </c>
      <c r="I679">
        <v>71.814438946570604</v>
      </c>
      <c r="J679">
        <v>275.47845295809299</v>
      </c>
      <c r="K679">
        <v>82.516025475278695</v>
      </c>
      <c r="L679">
        <v>5.7099422548120398</v>
      </c>
      <c r="M679">
        <v>56.980716126809803</v>
      </c>
      <c r="N679">
        <v>6.74322553245071</v>
      </c>
      <c r="O679">
        <v>64.137188755670294</v>
      </c>
      <c r="P679">
        <v>62.5491226579257</v>
      </c>
      <c r="Q679">
        <v>0</v>
      </c>
      <c r="R679">
        <v>1</v>
      </c>
      <c r="S679">
        <v>22.783308885490399</v>
      </c>
    </row>
    <row r="680" spans="1:19" x14ac:dyDescent="0.25">
      <c r="A680">
        <v>23</v>
      </c>
      <c r="B680">
        <v>178</v>
      </c>
      <c r="C680">
        <v>92</v>
      </c>
      <c r="D680" t="s">
        <v>21</v>
      </c>
      <c r="E680">
        <v>5</v>
      </c>
      <c r="F680">
        <v>14</v>
      </c>
      <c r="G680">
        <v>2</v>
      </c>
      <c r="H680">
        <v>78.919034075637995</v>
      </c>
      <c r="I680">
        <v>85.047156150800703</v>
      </c>
      <c r="J680">
        <v>247.043934733756</v>
      </c>
      <c r="K680">
        <v>90.499463618104102</v>
      </c>
      <c r="L680">
        <v>6.8806184750567603</v>
      </c>
      <c r="M680">
        <v>82.493574303988396</v>
      </c>
      <c r="N680">
        <v>8.1889164669315999</v>
      </c>
      <c r="O680">
        <v>56.429965420314602</v>
      </c>
      <c r="P680">
        <v>74.389362352081093</v>
      </c>
      <c r="Q680">
        <v>1</v>
      </c>
      <c r="R680">
        <v>0</v>
      </c>
      <c r="S680">
        <v>29.0367377856331</v>
      </c>
    </row>
    <row r="681" spans="1:19" x14ac:dyDescent="0.25">
      <c r="A681">
        <v>18</v>
      </c>
      <c r="B681">
        <v>188</v>
      </c>
      <c r="C681">
        <v>72</v>
      </c>
      <c r="D681" t="s">
        <v>21</v>
      </c>
      <c r="E681">
        <v>10.980773542218699</v>
      </c>
      <c r="F681">
        <v>32</v>
      </c>
      <c r="G681">
        <v>3</v>
      </c>
      <c r="H681">
        <v>83.451059000570694</v>
      </c>
      <c r="I681">
        <v>81.318292266641393</v>
      </c>
      <c r="J681">
        <v>247.46689145680401</v>
      </c>
      <c r="K681">
        <v>85.462354408912503</v>
      </c>
      <c r="L681">
        <v>5.4896567646252601</v>
      </c>
      <c r="M681">
        <v>89.404715176189399</v>
      </c>
      <c r="N681">
        <v>7.7030829299207397</v>
      </c>
      <c r="O681">
        <v>32.0541543939826</v>
      </c>
      <c r="P681">
        <v>72.518770858402604</v>
      </c>
      <c r="Q681">
        <v>1</v>
      </c>
      <c r="R681">
        <v>0</v>
      </c>
      <c r="S681">
        <v>20.371208691715701</v>
      </c>
    </row>
    <row r="682" spans="1:19" x14ac:dyDescent="0.25">
      <c r="A682">
        <v>19</v>
      </c>
      <c r="B682">
        <v>182</v>
      </c>
      <c r="C682">
        <v>80</v>
      </c>
      <c r="D682" t="s">
        <v>22</v>
      </c>
      <c r="E682">
        <v>5.2060606043231701</v>
      </c>
      <c r="F682">
        <v>29</v>
      </c>
      <c r="G682">
        <v>1</v>
      </c>
      <c r="H682">
        <v>75.717473608093798</v>
      </c>
      <c r="I682">
        <v>77.016743775359203</v>
      </c>
      <c r="J682">
        <v>230.46378626509301</v>
      </c>
      <c r="K682">
        <v>89.250599591297302</v>
      </c>
      <c r="L682">
        <v>5.8798664705220398</v>
      </c>
      <c r="M682">
        <v>83.035120781473694</v>
      </c>
      <c r="N682">
        <v>8.5007774787050607</v>
      </c>
      <c r="O682">
        <v>41.5195047811591</v>
      </c>
      <c r="P682">
        <v>71.517251125014795</v>
      </c>
      <c r="Q682">
        <v>0</v>
      </c>
      <c r="R682">
        <v>0</v>
      </c>
      <c r="S682">
        <v>24.1516725033208</v>
      </c>
    </row>
    <row r="683" spans="1:19" x14ac:dyDescent="0.25">
      <c r="A683">
        <v>19</v>
      </c>
      <c r="B683">
        <v>167</v>
      </c>
      <c r="C683">
        <v>51</v>
      </c>
      <c r="D683" t="s">
        <v>19</v>
      </c>
      <c r="E683">
        <v>5</v>
      </c>
      <c r="F683">
        <v>30</v>
      </c>
      <c r="G683">
        <v>5</v>
      </c>
      <c r="H683">
        <v>69.1447806485195</v>
      </c>
      <c r="I683">
        <v>75.352866962760501</v>
      </c>
      <c r="J683">
        <v>254.274852205228</v>
      </c>
      <c r="K683">
        <v>72.161809133513103</v>
      </c>
      <c r="L683">
        <v>6.3100662471698703</v>
      </c>
      <c r="M683">
        <v>71.283491928350301</v>
      </c>
      <c r="N683">
        <v>8.1823635532877397</v>
      </c>
      <c r="O683">
        <v>65.907032384711897</v>
      </c>
      <c r="P683">
        <v>76.728611084026497</v>
      </c>
      <c r="Q683">
        <v>1</v>
      </c>
      <c r="R683">
        <v>1</v>
      </c>
      <c r="S683">
        <v>18.286779733945199</v>
      </c>
    </row>
    <row r="684" spans="1:19" x14ac:dyDescent="0.25">
      <c r="A684">
        <v>19</v>
      </c>
      <c r="B684">
        <v>193</v>
      </c>
      <c r="C684">
        <v>80</v>
      </c>
      <c r="D684" t="s">
        <v>22</v>
      </c>
      <c r="E684">
        <v>12.469718889973599</v>
      </c>
      <c r="F684">
        <v>25</v>
      </c>
      <c r="G684">
        <v>2</v>
      </c>
      <c r="H684">
        <v>66.2793840514762</v>
      </c>
      <c r="I684">
        <v>67.877846704708205</v>
      </c>
      <c r="J684">
        <v>251.581139295914</v>
      </c>
      <c r="K684">
        <v>78.6442296407388</v>
      </c>
      <c r="L684">
        <v>5.5950413202795604</v>
      </c>
      <c r="M684">
        <v>79.566659254760097</v>
      </c>
      <c r="N684">
        <v>7.2450991257615698</v>
      </c>
      <c r="O684">
        <v>67.001980373807598</v>
      </c>
      <c r="P684">
        <v>67.847054692265004</v>
      </c>
      <c r="Q684">
        <v>0</v>
      </c>
      <c r="R684">
        <v>1</v>
      </c>
      <c r="S684">
        <v>21.477086633198201</v>
      </c>
    </row>
    <row r="685" spans="1:19" x14ac:dyDescent="0.25">
      <c r="A685">
        <v>18</v>
      </c>
      <c r="B685">
        <v>187</v>
      </c>
      <c r="C685">
        <v>77</v>
      </c>
      <c r="D685" t="s">
        <v>20</v>
      </c>
      <c r="E685">
        <v>10.3609191124565</v>
      </c>
      <c r="F685">
        <v>38</v>
      </c>
      <c r="G685">
        <v>1</v>
      </c>
      <c r="H685">
        <v>72.566698787426702</v>
      </c>
      <c r="I685">
        <v>78.540880713453006</v>
      </c>
      <c r="J685">
        <v>235.255483208415</v>
      </c>
      <c r="K685">
        <v>78.341470065860307</v>
      </c>
      <c r="L685">
        <v>5.8049095119556</v>
      </c>
      <c r="M685">
        <v>69.188830738665899</v>
      </c>
      <c r="N685">
        <v>6.9470827936876702</v>
      </c>
      <c r="O685">
        <v>64.111146882666105</v>
      </c>
      <c r="P685">
        <v>84.725057138293593</v>
      </c>
      <c r="Q685">
        <v>1</v>
      </c>
      <c r="R685">
        <v>1</v>
      </c>
      <c r="S685">
        <v>22.019502988361101</v>
      </c>
    </row>
    <row r="686" spans="1:19" x14ac:dyDescent="0.25">
      <c r="A686">
        <v>23</v>
      </c>
      <c r="B686">
        <v>184</v>
      </c>
      <c r="C686">
        <v>66</v>
      </c>
      <c r="D686" t="s">
        <v>20</v>
      </c>
      <c r="E686">
        <v>10.166338426528901</v>
      </c>
      <c r="F686">
        <v>16</v>
      </c>
      <c r="G686">
        <v>2</v>
      </c>
      <c r="H686">
        <v>80.545947921445006</v>
      </c>
      <c r="I686">
        <v>85.121354174985697</v>
      </c>
      <c r="J686">
        <v>235.754883940224</v>
      </c>
      <c r="K686">
        <v>75.748042204489806</v>
      </c>
      <c r="L686">
        <v>5.5900710598995103</v>
      </c>
      <c r="M686">
        <v>71.762964263035798</v>
      </c>
      <c r="N686">
        <v>8.6739414724474404</v>
      </c>
      <c r="O686">
        <v>54.123081945618999</v>
      </c>
      <c r="P686">
        <v>89.352188984809402</v>
      </c>
      <c r="Q686">
        <v>0</v>
      </c>
      <c r="R686">
        <v>1</v>
      </c>
      <c r="S686">
        <v>19.4943289224952</v>
      </c>
    </row>
    <row r="687" spans="1:19" x14ac:dyDescent="0.25">
      <c r="A687">
        <v>23</v>
      </c>
      <c r="B687">
        <v>177</v>
      </c>
      <c r="C687">
        <v>77</v>
      </c>
      <c r="D687" t="s">
        <v>21</v>
      </c>
      <c r="E687">
        <v>10.397677302461</v>
      </c>
      <c r="F687">
        <v>16</v>
      </c>
      <c r="G687">
        <v>1</v>
      </c>
      <c r="H687">
        <v>71.851267420682504</v>
      </c>
      <c r="I687">
        <v>74.383248400448096</v>
      </c>
      <c r="J687">
        <v>261.64429569426801</v>
      </c>
      <c r="K687">
        <v>73.363459561255198</v>
      </c>
      <c r="L687">
        <v>5.8487866898890202</v>
      </c>
      <c r="M687">
        <v>79.218579470349297</v>
      </c>
      <c r="N687">
        <v>7.4162975902760397</v>
      </c>
      <c r="O687">
        <v>49.787402161520198</v>
      </c>
      <c r="P687">
        <v>72.232398422943007</v>
      </c>
      <c r="Q687">
        <v>0</v>
      </c>
      <c r="R687">
        <v>1</v>
      </c>
      <c r="S687">
        <v>24.577867151840099</v>
      </c>
    </row>
    <row r="688" spans="1:19" x14ac:dyDescent="0.25">
      <c r="A688">
        <v>22</v>
      </c>
      <c r="B688">
        <v>193</v>
      </c>
      <c r="C688">
        <v>71</v>
      </c>
      <c r="D688" t="s">
        <v>19</v>
      </c>
      <c r="E688">
        <v>11.2500102133071</v>
      </c>
      <c r="F688">
        <v>21</v>
      </c>
      <c r="G688">
        <v>2</v>
      </c>
      <c r="H688">
        <v>83.479498115888603</v>
      </c>
      <c r="I688">
        <v>64.466820345754897</v>
      </c>
      <c r="J688">
        <v>216.656311679922</v>
      </c>
      <c r="K688">
        <v>80.684661180667504</v>
      </c>
      <c r="L688">
        <v>5.6903929657267902</v>
      </c>
      <c r="M688">
        <v>78.678536691655495</v>
      </c>
      <c r="N688">
        <v>8.1978680143485398</v>
      </c>
      <c r="O688">
        <v>61.607610091919199</v>
      </c>
      <c r="P688">
        <v>71.615856430129298</v>
      </c>
      <c r="Q688">
        <v>1</v>
      </c>
      <c r="R688">
        <v>0</v>
      </c>
      <c r="S688">
        <v>19.0609143869634</v>
      </c>
    </row>
    <row r="689" spans="1:19" x14ac:dyDescent="0.25">
      <c r="A689">
        <v>24</v>
      </c>
      <c r="B689">
        <v>172</v>
      </c>
      <c r="C689">
        <v>76</v>
      </c>
      <c r="D689" t="s">
        <v>22</v>
      </c>
      <c r="E689">
        <v>13.2988486436307</v>
      </c>
      <c r="F689">
        <v>31</v>
      </c>
      <c r="G689">
        <v>5</v>
      </c>
      <c r="H689">
        <v>76.372432316378195</v>
      </c>
      <c r="I689">
        <v>83.150547180684796</v>
      </c>
      <c r="J689">
        <v>227.00161289114001</v>
      </c>
      <c r="K689">
        <v>78.187970567702493</v>
      </c>
      <c r="L689">
        <v>5.8987355302192404</v>
      </c>
      <c r="M689">
        <v>59.1442135837585</v>
      </c>
      <c r="N689">
        <v>6.04550473676795</v>
      </c>
      <c r="O689">
        <v>73.886063084465206</v>
      </c>
      <c r="P689">
        <v>86.029003977513398</v>
      </c>
      <c r="Q689">
        <v>1</v>
      </c>
      <c r="R689">
        <v>1</v>
      </c>
      <c r="S689">
        <v>25.689561925364998</v>
      </c>
    </row>
    <row r="690" spans="1:19" x14ac:dyDescent="0.25">
      <c r="A690">
        <v>24</v>
      </c>
      <c r="B690">
        <v>178</v>
      </c>
      <c r="C690">
        <v>53</v>
      </c>
      <c r="D690" t="s">
        <v>22</v>
      </c>
      <c r="E690">
        <v>5</v>
      </c>
      <c r="F690">
        <v>37</v>
      </c>
      <c r="G690">
        <v>4</v>
      </c>
      <c r="H690">
        <v>77.079350353899301</v>
      </c>
      <c r="I690">
        <v>88.757362061944804</v>
      </c>
      <c r="J690">
        <v>259.600051786123</v>
      </c>
      <c r="K690">
        <v>81.9361682220283</v>
      </c>
      <c r="L690">
        <v>6.1668553970679998</v>
      </c>
      <c r="M690">
        <v>96.766231306092493</v>
      </c>
      <c r="N690">
        <v>9.1605933772809092</v>
      </c>
      <c r="O690">
        <v>66.636448497069793</v>
      </c>
      <c r="P690">
        <v>100</v>
      </c>
      <c r="Q690">
        <v>1</v>
      </c>
      <c r="R690">
        <v>0</v>
      </c>
      <c r="S690">
        <v>16.727685898245099</v>
      </c>
    </row>
    <row r="691" spans="1:19" x14ac:dyDescent="0.25">
      <c r="A691">
        <v>24</v>
      </c>
      <c r="B691">
        <v>164</v>
      </c>
      <c r="C691">
        <v>60</v>
      </c>
      <c r="D691" t="s">
        <v>20</v>
      </c>
      <c r="E691">
        <v>8.4761843894156392</v>
      </c>
      <c r="F691">
        <v>24</v>
      </c>
      <c r="G691">
        <v>1</v>
      </c>
      <c r="H691">
        <v>63.882869674177599</v>
      </c>
      <c r="I691">
        <v>74.444665783366105</v>
      </c>
      <c r="J691">
        <v>276.38155189584501</v>
      </c>
      <c r="K691">
        <v>87.522326717066306</v>
      </c>
      <c r="L691">
        <v>5.8214027932036796</v>
      </c>
      <c r="M691">
        <v>68.480213982072101</v>
      </c>
      <c r="N691">
        <v>7.6690821563321396</v>
      </c>
      <c r="O691">
        <v>54.5577282376263</v>
      </c>
      <c r="P691">
        <v>68.909305688551797</v>
      </c>
      <c r="Q691">
        <v>1</v>
      </c>
      <c r="R691">
        <v>1</v>
      </c>
      <c r="S691">
        <v>22.308149910767401</v>
      </c>
    </row>
    <row r="692" spans="1:19" x14ac:dyDescent="0.25">
      <c r="A692">
        <v>21</v>
      </c>
      <c r="B692">
        <v>173</v>
      </c>
      <c r="C692">
        <v>83</v>
      </c>
      <c r="D692" t="s">
        <v>19</v>
      </c>
      <c r="E692">
        <v>8.4973655772162093</v>
      </c>
      <c r="F692">
        <v>24</v>
      </c>
      <c r="G692">
        <v>3</v>
      </c>
      <c r="H692">
        <v>82.028194400693806</v>
      </c>
      <c r="I692">
        <v>75.469331382705306</v>
      </c>
      <c r="J692">
        <v>253.06225053568201</v>
      </c>
      <c r="K692">
        <v>80.6844585887102</v>
      </c>
      <c r="L692">
        <v>6.1427537541964101</v>
      </c>
      <c r="M692">
        <v>83.8348223699778</v>
      </c>
      <c r="N692">
        <v>6.4740906724532596</v>
      </c>
      <c r="O692">
        <v>72.193597902627403</v>
      </c>
      <c r="P692">
        <v>61.536683311695597</v>
      </c>
      <c r="Q692">
        <v>1</v>
      </c>
      <c r="R692">
        <v>1</v>
      </c>
      <c r="S692">
        <v>27.732299776136799</v>
      </c>
    </row>
    <row r="693" spans="1:19" x14ac:dyDescent="0.25">
      <c r="A693">
        <v>18</v>
      </c>
      <c r="B693">
        <v>166</v>
      </c>
      <c r="C693">
        <v>53</v>
      </c>
      <c r="D693" t="s">
        <v>21</v>
      </c>
      <c r="E693">
        <v>11.469162897120199</v>
      </c>
      <c r="F693">
        <v>10</v>
      </c>
      <c r="G693">
        <v>0</v>
      </c>
      <c r="H693">
        <v>89.302614260992598</v>
      </c>
      <c r="I693">
        <v>78.253001165700098</v>
      </c>
      <c r="J693">
        <v>259.58234354892397</v>
      </c>
      <c r="K693">
        <v>85.500348703601603</v>
      </c>
      <c r="L693">
        <v>6.4841829928247696</v>
      </c>
      <c r="M693">
        <v>82.601040002002904</v>
      </c>
      <c r="N693">
        <v>7.8887908456300302</v>
      </c>
      <c r="O693">
        <v>37.988542701026198</v>
      </c>
      <c r="P693">
        <v>77.6200721440877</v>
      </c>
      <c r="Q693">
        <v>1</v>
      </c>
      <c r="R693">
        <v>0</v>
      </c>
      <c r="S693">
        <v>19.2335607490201</v>
      </c>
    </row>
    <row r="694" spans="1:19" x14ac:dyDescent="0.25">
      <c r="A694">
        <v>24</v>
      </c>
      <c r="B694">
        <v>169</v>
      </c>
      <c r="C694">
        <v>62</v>
      </c>
      <c r="D694" t="s">
        <v>21</v>
      </c>
      <c r="E694">
        <v>9.0578869426585396</v>
      </c>
      <c r="F694">
        <v>37</v>
      </c>
      <c r="G694">
        <v>0</v>
      </c>
      <c r="H694">
        <v>75.234717645734705</v>
      </c>
      <c r="I694">
        <v>84.154789588617305</v>
      </c>
      <c r="J694">
        <v>266.31225465859097</v>
      </c>
      <c r="K694">
        <v>98.830325196233801</v>
      </c>
      <c r="L694">
        <v>6.0757895560391804</v>
      </c>
      <c r="M694">
        <v>74.687032391937095</v>
      </c>
      <c r="N694">
        <v>7.0737539151129702</v>
      </c>
      <c r="O694">
        <v>43.487814019064501</v>
      </c>
      <c r="P694">
        <v>53.437392586058202</v>
      </c>
      <c r="Q694">
        <v>1</v>
      </c>
      <c r="R694">
        <v>0</v>
      </c>
      <c r="S694">
        <v>21.707923392038001</v>
      </c>
    </row>
    <row r="695" spans="1:19" x14ac:dyDescent="0.25">
      <c r="A695">
        <v>19</v>
      </c>
      <c r="B695">
        <v>174</v>
      </c>
      <c r="C695">
        <v>68</v>
      </c>
      <c r="D695" t="s">
        <v>21</v>
      </c>
      <c r="E695">
        <v>9.8679309303765201</v>
      </c>
      <c r="F695">
        <v>36</v>
      </c>
      <c r="G695">
        <v>0</v>
      </c>
      <c r="H695">
        <v>63.938936306189802</v>
      </c>
      <c r="I695">
        <v>70.357730830859694</v>
      </c>
      <c r="J695">
        <v>255.19577798079999</v>
      </c>
      <c r="K695">
        <v>84.5258372517997</v>
      </c>
      <c r="L695">
        <v>5.4713816425409201</v>
      </c>
      <c r="M695">
        <v>71.317338289041402</v>
      </c>
      <c r="N695">
        <v>6.9729814103021797</v>
      </c>
      <c r="O695">
        <v>57.198633761408303</v>
      </c>
      <c r="P695">
        <v>75.935785214142598</v>
      </c>
      <c r="Q695">
        <v>0</v>
      </c>
      <c r="R695">
        <v>1</v>
      </c>
      <c r="S695">
        <v>22.460034350640701</v>
      </c>
    </row>
    <row r="696" spans="1:19" x14ac:dyDescent="0.25">
      <c r="A696">
        <v>24</v>
      </c>
      <c r="B696">
        <v>174</v>
      </c>
      <c r="C696">
        <v>74</v>
      </c>
      <c r="D696" t="s">
        <v>22</v>
      </c>
      <c r="E696">
        <v>8.6663604565273804</v>
      </c>
      <c r="F696">
        <v>18</v>
      </c>
      <c r="G696">
        <v>3</v>
      </c>
      <c r="H696">
        <v>74.748294046797994</v>
      </c>
      <c r="I696">
        <v>82.120150684690998</v>
      </c>
      <c r="J696">
        <v>234.19487479044301</v>
      </c>
      <c r="K696">
        <v>92.044283392354799</v>
      </c>
      <c r="L696">
        <v>5.9579631288739296</v>
      </c>
      <c r="M696">
        <v>74.020766133881693</v>
      </c>
      <c r="N696">
        <v>8.4097967295432401</v>
      </c>
      <c r="O696">
        <v>40.491778280470697</v>
      </c>
      <c r="P696">
        <v>85.969429332248794</v>
      </c>
      <c r="Q696">
        <v>1</v>
      </c>
      <c r="R696">
        <v>0</v>
      </c>
      <c r="S696">
        <v>24.441802087462001</v>
      </c>
    </row>
    <row r="697" spans="1:19" x14ac:dyDescent="0.25">
      <c r="A697">
        <v>18</v>
      </c>
      <c r="B697">
        <v>192</v>
      </c>
      <c r="C697">
        <v>72</v>
      </c>
      <c r="D697" t="s">
        <v>21</v>
      </c>
      <c r="E697">
        <v>6.1149662079866802</v>
      </c>
      <c r="F697">
        <v>28</v>
      </c>
      <c r="G697">
        <v>2</v>
      </c>
      <c r="H697">
        <v>76.186725222594504</v>
      </c>
      <c r="I697">
        <v>80.952718412766103</v>
      </c>
      <c r="J697">
        <v>249.10852594394899</v>
      </c>
      <c r="K697">
        <v>94.954461448915197</v>
      </c>
      <c r="L697">
        <v>6.0140202616925098</v>
      </c>
      <c r="M697">
        <v>82.5389508129429</v>
      </c>
      <c r="N697">
        <v>7.5482062427683303</v>
      </c>
      <c r="O697">
        <v>31.51936447189</v>
      </c>
      <c r="P697">
        <v>72.466349117053298</v>
      </c>
      <c r="Q697">
        <v>1</v>
      </c>
      <c r="R697">
        <v>0</v>
      </c>
      <c r="S697">
        <v>19.53125</v>
      </c>
    </row>
    <row r="698" spans="1:19" x14ac:dyDescent="0.25">
      <c r="A698">
        <v>20</v>
      </c>
      <c r="B698">
        <v>177</v>
      </c>
      <c r="C698">
        <v>83</v>
      </c>
      <c r="D698" t="s">
        <v>21</v>
      </c>
      <c r="E698">
        <v>11.6514166363824</v>
      </c>
      <c r="F698">
        <v>21</v>
      </c>
      <c r="G698">
        <v>2</v>
      </c>
      <c r="H698">
        <v>72.961965086729407</v>
      </c>
      <c r="I698">
        <v>76.010590667687396</v>
      </c>
      <c r="J698">
        <v>250.239483601876</v>
      </c>
      <c r="K698">
        <v>84.437346998904303</v>
      </c>
      <c r="L698">
        <v>5.8092109100934399</v>
      </c>
      <c r="M698">
        <v>74.922934123347602</v>
      </c>
      <c r="N698">
        <v>7.0269385161551501</v>
      </c>
      <c r="O698">
        <v>61.906446438170398</v>
      </c>
      <c r="P698">
        <v>86.943814454476097</v>
      </c>
      <c r="Q698">
        <v>1</v>
      </c>
      <c r="R698">
        <v>1</v>
      </c>
      <c r="S698">
        <v>26.493025631204301</v>
      </c>
    </row>
    <row r="699" spans="1:19" x14ac:dyDescent="0.25">
      <c r="A699">
        <v>19</v>
      </c>
      <c r="B699">
        <v>175</v>
      </c>
      <c r="C699">
        <v>76</v>
      </c>
      <c r="D699" t="s">
        <v>21</v>
      </c>
      <c r="E699">
        <v>5.5255196644489999</v>
      </c>
      <c r="F699">
        <v>9</v>
      </c>
      <c r="G699">
        <v>3</v>
      </c>
      <c r="H699">
        <v>76.475602012119595</v>
      </c>
      <c r="I699">
        <v>80.511057634773806</v>
      </c>
      <c r="J699">
        <v>265.23052448581001</v>
      </c>
      <c r="K699">
        <v>75.524635862627605</v>
      </c>
      <c r="L699">
        <v>5.9383938623486499</v>
      </c>
      <c r="M699">
        <v>81.689902551791207</v>
      </c>
      <c r="N699">
        <v>6.8509452794836703</v>
      </c>
      <c r="O699">
        <v>68.632210102958496</v>
      </c>
      <c r="P699">
        <v>76.598834277094994</v>
      </c>
      <c r="Q699">
        <v>1</v>
      </c>
      <c r="R699">
        <v>1</v>
      </c>
      <c r="S699">
        <v>24.816326530612201</v>
      </c>
    </row>
    <row r="700" spans="1:19" x14ac:dyDescent="0.25">
      <c r="A700">
        <v>19</v>
      </c>
      <c r="B700">
        <v>169</v>
      </c>
      <c r="C700">
        <v>89</v>
      </c>
      <c r="D700" t="s">
        <v>21</v>
      </c>
      <c r="E700">
        <v>9.9849934603378596</v>
      </c>
      <c r="F700">
        <v>30</v>
      </c>
      <c r="G700">
        <v>1</v>
      </c>
      <c r="H700">
        <v>75.177005380105001</v>
      </c>
      <c r="I700">
        <v>82.340793834561197</v>
      </c>
      <c r="J700">
        <v>200.35520120177301</v>
      </c>
      <c r="K700">
        <v>96.549162221326995</v>
      </c>
      <c r="L700">
        <v>5.7502575318604796</v>
      </c>
      <c r="M700">
        <v>74.432273195873506</v>
      </c>
      <c r="N700">
        <v>7.6912160422250304</v>
      </c>
      <c r="O700">
        <v>56.725618166844399</v>
      </c>
      <c r="P700">
        <v>65.168881837367394</v>
      </c>
      <c r="Q700">
        <v>1</v>
      </c>
      <c r="R700">
        <v>0</v>
      </c>
      <c r="S700">
        <v>31.161373901474001</v>
      </c>
    </row>
    <row r="701" spans="1:19" x14ac:dyDescent="0.25">
      <c r="A701">
        <v>18</v>
      </c>
      <c r="B701">
        <v>175</v>
      </c>
      <c r="C701">
        <v>91</v>
      </c>
      <c r="D701" t="s">
        <v>19</v>
      </c>
      <c r="E701">
        <v>11.8231731243563</v>
      </c>
      <c r="F701">
        <v>36</v>
      </c>
      <c r="G701">
        <v>0</v>
      </c>
      <c r="H701">
        <v>74.013250679314993</v>
      </c>
      <c r="I701">
        <v>82.004943660426605</v>
      </c>
      <c r="J701">
        <v>235.43803528287799</v>
      </c>
      <c r="K701">
        <v>81.146828357190202</v>
      </c>
      <c r="L701">
        <v>6.4381675271653096</v>
      </c>
      <c r="M701">
        <v>79.932571103271798</v>
      </c>
      <c r="N701">
        <v>6.5640583282024503</v>
      </c>
      <c r="O701">
        <v>37.707726518429901</v>
      </c>
      <c r="P701">
        <v>74.602729802287698</v>
      </c>
      <c r="Q701">
        <v>0</v>
      </c>
      <c r="R701">
        <v>0</v>
      </c>
      <c r="S701">
        <v>29.714285714285701</v>
      </c>
    </row>
    <row r="702" spans="1:19" x14ac:dyDescent="0.25">
      <c r="A702">
        <v>20</v>
      </c>
      <c r="B702">
        <v>172</v>
      </c>
      <c r="C702">
        <v>57</v>
      </c>
      <c r="D702" t="s">
        <v>21</v>
      </c>
      <c r="E702">
        <v>5.59082220930443</v>
      </c>
      <c r="F702">
        <v>23</v>
      </c>
      <c r="G702">
        <v>5</v>
      </c>
      <c r="H702">
        <v>70.286926111511306</v>
      </c>
      <c r="I702">
        <v>66.978183421922196</v>
      </c>
      <c r="J702">
        <v>286.04869421225402</v>
      </c>
      <c r="K702">
        <v>79.599143772872495</v>
      </c>
      <c r="L702">
        <v>5.7473912374208203</v>
      </c>
      <c r="M702">
        <v>81.431138675763407</v>
      </c>
      <c r="N702">
        <v>7.8074059426733902</v>
      </c>
      <c r="O702">
        <v>51.7514095913821</v>
      </c>
      <c r="P702">
        <v>73.100660603991201</v>
      </c>
      <c r="Q702">
        <v>0</v>
      </c>
      <c r="R702">
        <v>1</v>
      </c>
      <c r="S702">
        <v>19.267171444023798</v>
      </c>
    </row>
    <row r="703" spans="1:19" x14ac:dyDescent="0.25">
      <c r="A703">
        <v>24</v>
      </c>
      <c r="B703">
        <v>173</v>
      </c>
      <c r="C703">
        <v>89</v>
      </c>
      <c r="D703" t="s">
        <v>22</v>
      </c>
      <c r="E703">
        <v>6.7514677295716297</v>
      </c>
      <c r="F703">
        <v>25</v>
      </c>
      <c r="G703">
        <v>0</v>
      </c>
      <c r="H703">
        <v>79.635058598302606</v>
      </c>
      <c r="I703">
        <v>84.382527061215697</v>
      </c>
      <c r="J703">
        <v>223.209296188438</v>
      </c>
      <c r="K703">
        <v>80.963090497563002</v>
      </c>
      <c r="L703">
        <v>6.1571765162878602</v>
      </c>
      <c r="M703">
        <v>90.737893471039499</v>
      </c>
      <c r="N703">
        <v>6.5307814984802199</v>
      </c>
      <c r="O703">
        <v>45.3224946472656</v>
      </c>
      <c r="P703">
        <v>82.976277866405795</v>
      </c>
      <c r="Q703">
        <v>1</v>
      </c>
      <c r="R703">
        <v>0</v>
      </c>
      <c r="S703">
        <v>29.7370443382672</v>
      </c>
    </row>
    <row r="704" spans="1:19" x14ac:dyDescent="0.25">
      <c r="A704">
        <v>21</v>
      </c>
      <c r="B704">
        <v>181</v>
      </c>
      <c r="C704">
        <v>86</v>
      </c>
      <c r="D704" t="s">
        <v>22</v>
      </c>
      <c r="E704">
        <v>10.372230772376099</v>
      </c>
      <c r="F704">
        <v>6</v>
      </c>
      <c r="G704">
        <v>1</v>
      </c>
      <c r="H704">
        <v>78.952417997639003</v>
      </c>
      <c r="I704">
        <v>79.975065392885796</v>
      </c>
      <c r="J704">
        <v>244.08867419885499</v>
      </c>
      <c r="K704">
        <v>94.206602948777999</v>
      </c>
      <c r="L704">
        <v>6.0706311195140099</v>
      </c>
      <c r="M704">
        <v>84.051613721401495</v>
      </c>
      <c r="N704">
        <v>8.3229556343584896</v>
      </c>
      <c r="O704">
        <v>53.485066376656697</v>
      </c>
      <c r="P704">
        <v>73.878555769980807</v>
      </c>
      <c r="Q704">
        <v>1</v>
      </c>
      <c r="R704">
        <v>0</v>
      </c>
      <c r="S704">
        <v>26.250724947345901</v>
      </c>
    </row>
    <row r="705" spans="1:19" x14ac:dyDescent="0.25">
      <c r="A705">
        <v>22</v>
      </c>
      <c r="B705">
        <v>180</v>
      </c>
      <c r="C705">
        <v>62</v>
      </c>
      <c r="D705" t="s">
        <v>20</v>
      </c>
      <c r="E705">
        <v>7.8342837927130198</v>
      </c>
      <c r="F705">
        <v>39</v>
      </c>
      <c r="G705">
        <v>2</v>
      </c>
      <c r="H705">
        <v>78.242286325117902</v>
      </c>
      <c r="I705">
        <v>76.144955893151405</v>
      </c>
      <c r="J705">
        <v>253.20713307285999</v>
      </c>
      <c r="K705">
        <v>86.011212512718998</v>
      </c>
      <c r="L705">
        <v>5.9521144272265003</v>
      </c>
      <c r="M705">
        <v>77.692930608634896</v>
      </c>
      <c r="N705">
        <v>6.6792023834040402</v>
      </c>
      <c r="O705">
        <v>66.189282829857802</v>
      </c>
      <c r="P705">
        <v>71.515114046858699</v>
      </c>
      <c r="Q705">
        <v>0</v>
      </c>
      <c r="R705">
        <v>1</v>
      </c>
      <c r="S705">
        <v>19.1358024691358</v>
      </c>
    </row>
    <row r="706" spans="1:19" x14ac:dyDescent="0.25">
      <c r="A706">
        <v>18</v>
      </c>
      <c r="B706">
        <v>174</v>
      </c>
      <c r="C706">
        <v>49</v>
      </c>
      <c r="D706" t="s">
        <v>21</v>
      </c>
      <c r="E706">
        <v>17.4959114531006</v>
      </c>
      <c r="F706">
        <v>36</v>
      </c>
      <c r="G706">
        <v>4</v>
      </c>
      <c r="H706">
        <v>69.633936426169498</v>
      </c>
      <c r="I706">
        <v>80.981477484088501</v>
      </c>
      <c r="J706">
        <v>233.510248963283</v>
      </c>
      <c r="K706">
        <v>76.674891305700896</v>
      </c>
      <c r="L706">
        <v>5.1009162550034501</v>
      </c>
      <c r="M706">
        <v>64.494420445326</v>
      </c>
      <c r="N706">
        <v>7.2510249040272203</v>
      </c>
      <c r="O706">
        <v>52.293722571630198</v>
      </c>
      <c r="P706">
        <v>82.185793034702101</v>
      </c>
      <c r="Q706">
        <v>1</v>
      </c>
      <c r="R706">
        <v>1</v>
      </c>
      <c r="S706">
        <v>16.184436517373499</v>
      </c>
    </row>
    <row r="707" spans="1:19" x14ac:dyDescent="0.25">
      <c r="A707">
        <v>22</v>
      </c>
      <c r="B707">
        <v>179</v>
      </c>
      <c r="C707">
        <v>76</v>
      </c>
      <c r="D707" t="s">
        <v>19</v>
      </c>
      <c r="E707">
        <v>14.2592177880341</v>
      </c>
      <c r="F707">
        <v>36</v>
      </c>
      <c r="G707">
        <v>4</v>
      </c>
      <c r="H707">
        <v>66.466427459669902</v>
      </c>
      <c r="I707">
        <v>75.217600203705601</v>
      </c>
      <c r="J707">
        <v>268.50253921726602</v>
      </c>
      <c r="K707">
        <v>76.496405040915803</v>
      </c>
      <c r="L707">
        <v>5.9166025900530697</v>
      </c>
      <c r="M707">
        <v>77.697407753739199</v>
      </c>
      <c r="N707">
        <v>6.4805589593222797</v>
      </c>
      <c r="O707">
        <v>61.836266210788601</v>
      </c>
      <c r="P707">
        <v>68.296384808502694</v>
      </c>
      <c r="Q707">
        <v>0</v>
      </c>
      <c r="R707">
        <v>1</v>
      </c>
      <c r="S707">
        <v>23.719609250647601</v>
      </c>
    </row>
    <row r="708" spans="1:19" x14ac:dyDescent="0.25">
      <c r="A708">
        <v>20</v>
      </c>
      <c r="B708">
        <v>180</v>
      </c>
      <c r="C708">
        <v>69</v>
      </c>
      <c r="D708" t="s">
        <v>20</v>
      </c>
      <c r="E708">
        <v>11.4353222593799</v>
      </c>
      <c r="F708">
        <v>34</v>
      </c>
      <c r="G708">
        <v>2</v>
      </c>
      <c r="H708">
        <v>71.7368812316099</v>
      </c>
      <c r="I708">
        <v>76.643672315258002</v>
      </c>
      <c r="J708">
        <v>300.41604777905201</v>
      </c>
      <c r="K708">
        <v>76.623118083376397</v>
      </c>
      <c r="L708">
        <v>5.6495275239206997</v>
      </c>
      <c r="M708">
        <v>88.008696678175696</v>
      </c>
      <c r="N708">
        <v>8.8494881896486799</v>
      </c>
      <c r="O708">
        <v>52.556157453030103</v>
      </c>
      <c r="P708">
        <v>60.885729493153903</v>
      </c>
      <c r="Q708">
        <v>0</v>
      </c>
      <c r="R708">
        <v>1</v>
      </c>
      <c r="S708">
        <v>21.296296296296202</v>
      </c>
    </row>
    <row r="709" spans="1:19" x14ac:dyDescent="0.25">
      <c r="A709">
        <v>22</v>
      </c>
      <c r="B709">
        <v>169</v>
      </c>
      <c r="C709">
        <v>65</v>
      </c>
      <c r="D709" t="s">
        <v>22</v>
      </c>
      <c r="E709">
        <v>8.1285848256492592</v>
      </c>
      <c r="F709">
        <v>14</v>
      </c>
      <c r="G709">
        <v>2</v>
      </c>
      <c r="H709">
        <v>62.865460606899298</v>
      </c>
      <c r="I709">
        <v>81.952942944680103</v>
      </c>
      <c r="J709">
        <v>251.96991471457201</v>
      </c>
      <c r="K709">
        <v>89.013744836269396</v>
      </c>
      <c r="L709">
        <v>6.0965721355364497</v>
      </c>
      <c r="M709">
        <v>80.822346414905397</v>
      </c>
      <c r="N709">
        <v>6.9742467394806003</v>
      </c>
      <c r="O709">
        <v>27.395177967461098</v>
      </c>
      <c r="P709">
        <v>77.713562580002801</v>
      </c>
      <c r="Q709">
        <v>1</v>
      </c>
      <c r="R709">
        <v>0</v>
      </c>
      <c r="S709">
        <v>22.758306781975399</v>
      </c>
    </row>
    <row r="710" spans="1:19" x14ac:dyDescent="0.25">
      <c r="A710">
        <v>19</v>
      </c>
      <c r="B710">
        <v>183</v>
      </c>
      <c r="C710">
        <v>72</v>
      </c>
      <c r="D710" t="s">
        <v>19</v>
      </c>
      <c r="E710">
        <v>8.4880606103776</v>
      </c>
      <c r="F710">
        <v>13</v>
      </c>
      <c r="G710">
        <v>0</v>
      </c>
      <c r="H710">
        <v>75.075420844689802</v>
      </c>
      <c r="I710">
        <v>77.037862833482805</v>
      </c>
      <c r="J710">
        <v>286.45395735476501</v>
      </c>
      <c r="K710">
        <v>89.093199694397299</v>
      </c>
      <c r="L710">
        <v>5.2319499645697896</v>
      </c>
      <c r="M710">
        <v>79.125097520226504</v>
      </c>
      <c r="N710">
        <v>7.2222928944996703</v>
      </c>
      <c r="O710">
        <v>48.3595409480846</v>
      </c>
      <c r="P710">
        <v>78.398258459216194</v>
      </c>
      <c r="Q710">
        <v>1</v>
      </c>
      <c r="R710">
        <v>1</v>
      </c>
      <c r="S710">
        <v>21.4995968825584</v>
      </c>
    </row>
    <row r="711" spans="1:19" x14ac:dyDescent="0.25">
      <c r="A711">
        <v>24</v>
      </c>
      <c r="B711">
        <v>177</v>
      </c>
      <c r="C711">
        <v>64</v>
      </c>
      <c r="D711" t="s">
        <v>21</v>
      </c>
      <c r="E711">
        <v>9.7054454326444599</v>
      </c>
      <c r="F711">
        <v>33</v>
      </c>
      <c r="G711">
        <v>0</v>
      </c>
      <c r="H711">
        <v>78.453939875106798</v>
      </c>
      <c r="I711">
        <v>79.850391182683296</v>
      </c>
      <c r="J711">
        <v>247.691248583706</v>
      </c>
      <c r="K711">
        <v>86.430434913069405</v>
      </c>
      <c r="L711">
        <v>5.9847022436015296</v>
      </c>
      <c r="M711">
        <v>72.819578107660504</v>
      </c>
      <c r="N711">
        <v>6.5672582912400896</v>
      </c>
      <c r="O711">
        <v>64.341007103749902</v>
      </c>
      <c r="P711">
        <v>77.531957168863897</v>
      </c>
      <c r="Q711">
        <v>0</v>
      </c>
      <c r="R711">
        <v>1</v>
      </c>
      <c r="S711">
        <v>20.4283571132177</v>
      </c>
    </row>
    <row r="712" spans="1:19" x14ac:dyDescent="0.25">
      <c r="A712">
        <v>24</v>
      </c>
      <c r="B712">
        <v>182</v>
      </c>
      <c r="C712">
        <v>75</v>
      </c>
      <c r="D712" t="s">
        <v>19</v>
      </c>
      <c r="E712">
        <v>9.0855013144546692</v>
      </c>
      <c r="F712">
        <v>35</v>
      </c>
      <c r="G712">
        <v>3</v>
      </c>
      <c r="H712">
        <v>71.924451249723006</v>
      </c>
      <c r="I712">
        <v>77.936643033086597</v>
      </c>
      <c r="J712">
        <v>253.322248266999</v>
      </c>
      <c r="K712">
        <v>78.893174093964205</v>
      </c>
      <c r="L712">
        <v>5.7780556656918201</v>
      </c>
      <c r="M712">
        <v>67.609562938867398</v>
      </c>
      <c r="N712">
        <v>6.92996798507225</v>
      </c>
      <c r="O712">
        <v>70.195345015279401</v>
      </c>
      <c r="P712">
        <v>72.436846804239096</v>
      </c>
      <c r="Q712">
        <v>0</v>
      </c>
      <c r="R712">
        <v>1</v>
      </c>
      <c r="S712">
        <v>22.642192971863299</v>
      </c>
    </row>
    <row r="713" spans="1:19" x14ac:dyDescent="0.25">
      <c r="A713">
        <v>21</v>
      </c>
      <c r="B713">
        <v>176</v>
      </c>
      <c r="C713">
        <v>71</v>
      </c>
      <c r="D713" t="s">
        <v>21</v>
      </c>
      <c r="E713">
        <v>5.6630337947219598</v>
      </c>
      <c r="F713">
        <v>30</v>
      </c>
      <c r="G713">
        <v>3</v>
      </c>
      <c r="H713">
        <v>58.453898301568103</v>
      </c>
      <c r="I713">
        <v>68.286870766569805</v>
      </c>
      <c r="J713">
        <v>274.36537670563598</v>
      </c>
      <c r="K713">
        <v>93.451760381420897</v>
      </c>
      <c r="L713">
        <v>5.7201421615899797</v>
      </c>
      <c r="M713">
        <v>75.6729273106736</v>
      </c>
      <c r="N713">
        <v>8.7121864799582909</v>
      </c>
      <c r="O713">
        <v>56.389395363307003</v>
      </c>
      <c r="P713">
        <v>68.838557700261902</v>
      </c>
      <c r="Q713">
        <v>1</v>
      </c>
      <c r="R713">
        <v>1</v>
      </c>
      <c r="S713">
        <v>22.920971074380098</v>
      </c>
    </row>
    <row r="714" spans="1:19" x14ac:dyDescent="0.25">
      <c r="A714">
        <v>19</v>
      </c>
      <c r="B714">
        <v>176</v>
      </c>
      <c r="C714">
        <v>71</v>
      </c>
      <c r="D714" t="s">
        <v>22</v>
      </c>
      <c r="E714">
        <v>13.7604917073657</v>
      </c>
      <c r="F714">
        <v>32</v>
      </c>
      <c r="G714">
        <v>2</v>
      </c>
      <c r="H714">
        <v>74.186621626195802</v>
      </c>
      <c r="I714">
        <v>74.447452539949296</v>
      </c>
      <c r="J714">
        <v>240.94798952860799</v>
      </c>
      <c r="K714">
        <v>81.380476878958007</v>
      </c>
      <c r="L714">
        <v>5.7242868126199999</v>
      </c>
      <c r="M714">
        <v>74.070386654271104</v>
      </c>
      <c r="N714">
        <v>6.5180951946529797</v>
      </c>
      <c r="O714">
        <v>46.086436381399302</v>
      </c>
      <c r="P714">
        <v>85.467125143790398</v>
      </c>
      <c r="Q714">
        <v>0</v>
      </c>
      <c r="R714">
        <v>1</v>
      </c>
      <c r="S714">
        <v>22.920971074380098</v>
      </c>
    </row>
    <row r="715" spans="1:19" x14ac:dyDescent="0.25">
      <c r="A715">
        <v>22</v>
      </c>
      <c r="B715">
        <v>194</v>
      </c>
      <c r="C715">
        <v>81</v>
      </c>
      <c r="D715" t="s">
        <v>20</v>
      </c>
      <c r="E715">
        <v>5.8503418417966602</v>
      </c>
      <c r="F715">
        <v>5</v>
      </c>
      <c r="G715">
        <v>4</v>
      </c>
      <c r="H715">
        <v>68.529204012587101</v>
      </c>
      <c r="I715">
        <v>79.226427396112101</v>
      </c>
      <c r="J715">
        <v>263.57995458065699</v>
      </c>
      <c r="K715">
        <v>85.080213266043302</v>
      </c>
      <c r="L715">
        <v>6.6361416892621499</v>
      </c>
      <c r="M715">
        <v>60.788980964762203</v>
      </c>
      <c r="N715">
        <v>7.4741851106457302</v>
      </c>
      <c r="O715">
        <v>69.3770459882832</v>
      </c>
      <c r="P715">
        <v>77.535548257004507</v>
      </c>
      <c r="Q715">
        <v>0</v>
      </c>
      <c r="R715">
        <v>1</v>
      </c>
      <c r="S715">
        <v>21.521947071952301</v>
      </c>
    </row>
    <row r="716" spans="1:19" x14ac:dyDescent="0.25">
      <c r="A716">
        <v>24</v>
      </c>
      <c r="B716">
        <v>179</v>
      </c>
      <c r="C716">
        <v>72</v>
      </c>
      <c r="D716" t="s">
        <v>20</v>
      </c>
      <c r="E716">
        <v>11.447355053447</v>
      </c>
      <c r="F716">
        <v>25</v>
      </c>
      <c r="G716">
        <v>1</v>
      </c>
      <c r="H716">
        <v>76.940879870365805</v>
      </c>
      <c r="I716">
        <v>83.476253939902804</v>
      </c>
      <c r="J716">
        <v>210.21332764099401</v>
      </c>
      <c r="K716">
        <v>80.866556717449001</v>
      </c>
      <c r="L716">
        <v>5.4532075665125603</v>
      </c>
      <c r="M716">
        <v>76.278060097969302</v>
      </c>
      <c r="N716">
        <v>8.3701303849411701</v>
      </c>
      <c r="O716">
        <v>63.355775067363702</v>
      </c>
      <c r="P716">
        <v>74.060729031173693</v>
      </c>
      <c r="Q716">
        <v>1</v>
      </c>
      <c r="R716">
        <v>0</v>
      </c>
      <c r="S716">
        <v>22.471208763771401</v>
      </c>
    </row>
    <row r="717" spans="1:19" x14ac:dyDescent="0.25">
      <c r="A717">
        <v>24</v>
      </c>
      <c r="B717">
        <v>180</v>
      </c>
      <c r="C717">
        <v>84</v>
      </c>
      <c r="D717" t="s">
        <v>19</v>
      </c>
      <c r="E717">
        <v>10.5154278025429</v>
      </c>
      <c r="F717">
        <v>18</v>
      </c>
      <c r="G717">
        <v>3</v>
      </c>
      <c r="H717">
        <v>78.433292357644007</v>
      </c>
      <c r="I717">
        <v>69.879022931634594</v>
      </c>
      <c r="J717">
        <v>229.64425632326299</v>
      </c>
      <c r="K717">
        <v>80.076072945749203</v>
      </c>
      <c r="L717">
        <v>5.76248296034625</v>
      </c>
      <c r="M717">
        <v>78.700724181415595</v>
      </c>
      <c r="N717">
        <v>8.1995495987158495</v>
      </c>
      <c r="O717">
        <v>60.465538747237602</v>
      </c>
      <c r="P717">
        <v>70.406877588642402</v>
      </c>
      <c r="Q717">
        <v>1</v>
      </c>
      <c r="R717">
        <v>1</v>
      </c>
      <c r="S717">
        <v>25.925925925925899</v>
      </c>
    </row>
    <row r="718" spans="1:19" x14ac:dyDescent="0.25">
      <c r="A718">
        <v>22</v>
      </c>
      <c r="B718">
        <v>174</v>
      </c>
      <c r="C718">
        <v>80</v>
      </c>
      <c r="D718" t="s">
        <v>20</v>
      </c>
      <c r="E718">
        <v>9.7795749611110008</v>
      </c>
      <c r="F718">
        <v>39</v>
      </c>
      <c r="G718">
        <v>0</v>
      </c>
      <c r="H718">
        <v>83.330291545240897</v>
      </c>
      <c r="I718">
        <v>83.056191352300701</v>
      </c>
      <c r="J718">
        <v>262.20003629194201</v>
      </c>
      <c r="K718">
        <v>89.600684657837306</v>
      </c>
      <c r="L718">
        <v>5.5109386293172902</v>
      </c>
      <c r="M718">
        <v>88.367220369210401</v>
      </c>
      <c r="N718">
        <v>7.4195794942881097</v>
      </c>
      <c r="O718">
        <v>59.579021180919199</v>
      </c>
      <c r="P718">
        <v>78.846354320335493</v>
      </c>
      <c r="Q718">
        <v>1</v>
      </c>
      <c r="R718">
        <v>0</v>
      </c>
      <c r="S718">
        <v>26.423569824283199</v>
      </c>
    </row>
    <row r="719" spans="1:19" x14ac:dyDescent="0.25">
      <c r="A719">
        <v>19</v>
      </c>
      <c r="B719">
        <v>176</v>
      </c>
      <c r="C719">
        <v>81</v>
      </c>
      <c r="D719" t="s">
        <v>22</v>
      </c>
      <c r="E719">
        <v>10.0861156453427</v>
      </c>
      <c r="F719">
        <v>12</v>
      </c>
      <c r="G719">
        <v>0</v>
      </c>
      <c r="H719">
        <v>79.948593192287404</v>
      </c>
      <c r="I719">
        <v>66.968878728433495</v>
      </c>
      <c r="J719">
        <v>255.11950721661199</v>
      </c>
      <c r="K719">
        <v>89.192200617353706</v>
      </c>
      <c r="L719">
        <v>5.94600272587628</v>
      </c>
      <c r="M719">
        <v>100</v>
      </c>
      <c r="N719">
        <v>8.3586051134698902</v>
      </c>
      <c r="O719">
        <v>64.167357756595806</v>
      </c>
      <c r="P719">
        <v>70.595287678228303</v>
      </c>
      <c r="Q719">
        <v>1</v>
      </c>
      <c r="R719">
        <v>0</v>
      </c>
      <c r="S719">
        <v>26.149276859504099</v>
      </c>
    </row>
    <row r="720" spans="1:19" x14ac:dyDescent="0.25">
      <c r="A720">
        <v>24</v>
      </c>
      <c r="B720">
        <v>176</v>
      </c>
      <c r="C720">
        <v>74</v>
      </c>
      <c r="D720" t="s">
        <v>20</v>
      </c>
      <c r="E720">
        <v>9.5832896852647593</v>
      </c>
      <c r="F720">
        <v>13</v>
      </c>
      <c r="G720">
        <v>1</v>
      </c>
      <c r="H720">
        <v>73.826453994508597</v>
      </c>
      <c r="I720">
        <v>89.053866583856305</v>
      </c>
      <c r="J720">
        <v>222.07766991035601</v>
      </c>
      <c r="K720">
        <v>86.799795962050396</v>
      </c>
      <c r="L720">
        <v>5.7915355478833304</v>
      </c>
      <c r="M720">
        <v>81.983988284460096</v>
      </c>
      <c r="N720">
        <v>8.0912585233839494</v>
      </c>
      <c r="O720">
        <v>74.648954861737593</v>
      </c>
      <c r="P720">
        <v>95.487028870845904</v>
      </c>
      <c r="Q720">
        <v>1</v>
      </c>
      <c r="R720">
        <v>0</v>
      </c>
      <c r="S720">
        <v>23.889462809917301</v>
      </c>
    </row>
    <row r="721" spans="1:19" x14ac:dyDescent="0.25">
      <c r="A721">
        <v>21</v>
      </c>
      <c r="B721">
        <v>173</v>
      </c>
      <c r="C721">
        <v>76</v>
      </c>
      <c r="D721" t="s">
        <v>22</v>
      </c>
      <c r="E721">
        <v>10.439988664926499</v>
      </c>
      <c r="F721">
        <v>16</v>
      </c>
      <c r="G721">
        <v>3</v>
      </c>
      <c r="H721">
        <v>79.465962341864397</v>
      </c>
      <c r="I721">
        <v>62.389740465513803</v>
      </c>
      <c r="J721">
        <v>255.44185899499001</v>
      </c>
      <c r="K721">
        <v>78.855589917378296</v>
      </c>
      <c r="L721">
        <v>5.5961900042622901</v>
      </c>
      <c r="M721">
        <v>77.183463816710201</v>
      </c>
      <c r="N721">
        <v>6.4785248962047</v>
      </c>
      <c r="O721">
        <v>79.794304046319695</v>
      </c>
      <c r="P721">
        <v>70.021734853074094</v>
      </c>
      <c r="Q721">
        <v>0</v>
      </c>
      <c r="R721">
        <v>1</v>
      </c>
      <c r="S721">
        <v>25.393431120317999</v>
      </c>
    </row>
    <row r="722" spans="1:19" x14ac:dyDescent="0.25">
      <c r="A722">
        <v>22</v>
      </c>
      <c r="B722">
        <v>178</v>
      </c>
      <c r="C722">
        <v>91</v>
      </c>
      <c r="D722" t="s">
        <v>20</v>
      </c>
      <c r="E722">
        <v>9.4222747984229205</v>
      </c>
      <c r="F722">
        <v>18</v>
      </c>
      <c r="G722">
        <v>1</v>
      </c>
      <c r="H722">
        <v>76.7708779768856</v>
      </c>
      <c r="I722">
        <v>76.727763926646006</v>
      </c>
      <c r="J722">
        <v>281.176510238861</v>
      </c>
      <c r="K722">
        <v>70.553864367800799</v>
      </c>
      <c r="L722">
        <v>5.7030589564094303</v>
      </c>
      <c r="M722">
        <v>66.361269409271202</v>
      </c>
      <c r="N722">
        <v>7.7798541560955501</v>
      </c>
      <c r="O722">
        <v>59.124174285671899</v>
      </c>
      <c r="P722">
        <v>73.229663772423393</v>
      </c>
      <c r="Q722">
        <v>1</v>
      </c>
      <c r="R722">
        <v>1</v>
      </c>
      <c r="S722">
        <v>28.721121070571801</v>
      </c>
    </row>
    <row r="723" spans="1:19" x14ac:dyDescent="0.25">
      <c r="A723">
        <v>24</v>
      </c>
      <c r="B723">
        <v>175</v>
      </c>
      <c r="C723">
        <v>76</v>
      </c>
      <c r="D723" t="s">
        <v>21</v>
      </c>
      <c r="E723">
        <v>9.3154275329127607</v>
      </c>
      <c r="F723">
        <v>21</v>
      </c>
      <c r="G723">
        <v>2</v>
      </c>
      <c r="H723">
        <v>73.883347580317306</v>
      </c>
      <c r="I723">
        <v>82.286335216444897</v>
      </c>
      <c r="J723">
        <v>274.08250240780501</v>
      </c>
      <c r="K723">
        <v>91.191321168196794</v>
      </c>
      <c r="L723">
        <v>5.9030355250612896</v>
      </c>
      <c r="M723">
        <v>77.003084916761495</v>
      </c>
      <c r="N723">
        <v>6.2942959337990798</v>
      </c>
      <c r="O723">
        <v>69.766574401624496</v>
      </c>
      <c r="P723">
        <v>85.888066409746799</v>
      </c>
      <c r="Q723">
        <v>0</v>
      </c>
      <c r="R723">
        <v>1</v>
      </c>
      <c r="S723">
        <v>24.816326530612201</v>
      </c>
    </row>
    <row r="724" spans="1:19" x14ac:dyDescent="0.25">
      <c r="A724">
        <v>24</v>
      </c>
      <c r="B724">
        <v>178</v>
      </c>
      <c r="C724">
        <v>70</v>
      </c>
      <c r="D724" t="s">
        <v>20</v>
      </c>
      <c r="E724">
        <v>11.1543733017119</v>
      </c>
      <c r="F724">
        <v>8</v>
      </c>
      <c r="G724">
        <v>1</v>
      </c>
      <c r="H724">
        <v>79.053287219950704</v>
      </c>
      <c r="I724">
        <v>77.317644342330894</v>
      </c>
      <c r="J724">
        <v>216.28159361837299</v>
      </c>
      <c r="K724">
        <v>87.235486838724398</v>
      </c>
      <c r="L724">
        <v>6.2706364489799604</v>
      </c>
      <c r="M724">
        <v>70.435173419113198</v>
      </c>
      <c r="N724">
        <v>7.7323532254613303</v>
      </c>
      <c r="O724">
        <v>54.008232103259502</v>
      </c>
      <c r="P724">
        <v>68.866169287942398</v>
      </c>
      <c r="Q724">
        <v>1</v>
      </c>
      <c r="R724">
        <v>0</v>
      </c>
      <c r="S724">
        <v>22.093170054285999</v>
      </c>
    </row>
    <row r="725" spans="1:19" x14ac:dyDescent="0.25">
      <c r="A725">
        <v>20</v>
      </c>
      <c r="B725">
        <v>157</v>
      </c>
      <c r="C725">
        <v>83</v>
      </c>
      <c r="D725" t="s">
        <v>22</v>
      </c>
      <c r="E725">
        <v>11.1470268004483</v>
      </c>
      <c r="F725">
        <v>24</v>
      </c>
      <c r="G725">
        <v>2</v>
      </c>
      <c r="H725">
        <v>79.536791659689101</v>
      </c>
      <c r="I725">
        <v>77.716239217256501</v>
      </c>
      <c r="J725">
        <v>208.74744224956001</v>
      </c>
      <c r="K725">
        <v>92.769463880123595</v>
      </c>
      <c r="L725">
        <v>6.26631317981722</v>
      </c>
      <c r="M725">
        <v>71.995656949985502</v>
      </c>
      <c r="N725">
        <v>8.5379808755253102</v>
      </c>
      <c r="O725">
        <v>44.002699141501999</v>
      </c>
      <c r="P725">
        <v>66.846215853472501</v>
      </c>
      <c r="Q725">
        <v>0</v>
      </c>
      <c r="R725">
        <v>0</v>
      </c>
      <c r="S725">
        <v>33.672765629437301</v>
      </c>
    </row>
    <row r="726" spans="1:19" x14ac:dyDescent="0.25">
      <c r="A726">
        <v>18</v>
      </c>
      <c r="B726">
        <v>179</v>
      </c>
      <c r="C726">
        <v>69</v>
      </c>
      <c r="D726" t="s">
        <v>19</v>
      </c>
      <c r="E726">
        <v>8.0131799502320504</v>
      </c>
      <c r="F726">
        <v>12</v>
      </c>
      <c r="G726">
        <v>0</v>
      </c>
      <c r="H726">
        <v>72.072754831078996</v>
      </c>
      <c r="I726">
        <v>86.184704748770699</v>
      </c>
      <c r="J726">
        <v>287.65237447312302</v>
      </c>
      <c r="K726">
        <v>78.5457117632033</v>
      </c>
      <c r="L726">
        <v>6.4361795389778802</v>
      </c>
      <c r="M726">
        <v>79.650543079687395</v>
      </c>
      <c r="N726">
        <v>7.3876839424581</v>
      </c>
      <c r="O726">
        <v>40.484129271089103</v>
      </c>
      <c r="P726">
        <v>89.484204562531801</v>
      </c>
      <c r="Q726">
        <v>0</v>
      </c>
      <c r="R726">
        <v>0</v>
      </c>
      <c r="S726">
        <v>21.534908398614199</v>
      </c>
    </row>
    <row r="727" spans="1:19" x14ac:dyDescent="0.25">
      <c r="A727">
        <v>19</v>
      </c>
      <c r="B727">
        <v>179</v>
      </c>
      <c r="C727">
        <v>70</v>
      </c>
      <c r="D727" t="s">
        <v>21</v>
      </c>
      <c r="E727">
        <v>13.629716925788999</v>
      </c>
      <c r="F727">
        <v>37</v>
      </c>
      <c r="G727">
        <v>1</v>
      </c>
      <c r="H727">
        <v>78.408668957692001</v>
      </c>
      <c r="I727">
        <v>82.589236874074302</v>
      </c>
      <c r="J727">
        <v>227.46123764910701</v>
      </c>
      <c r="K727">
        <v>84.511966608517497</v>
      </c>
      <c r="L727">
        <v>6.86795792276114</v>
      </c>
      <c r="M727">
        <v>82.111504804364102</v>
      </c>
      <c r="N727">
        <v>8.9333530465672109</v>
      </c>
      <c r="O727">
        <v>44.492048419823298</v>
      </c>
      <c r="P727">
        <v>88.395026041760204</v>
      </c>
      <c r="Q727">
        <v>0</v>
      </c>
      <c r="R727">
        <v>0</v>
      </c>
      <c r="S727">
        <v>21.847008520333301</v>
      </c>
    </row>
    <row r="728" spans="1:19" x14ac:dyDescent="0.25">
      <c r="A728">
        <v>19</v>
      </c>
      <c r="B728">
        <v>173</v>
      </c>
      <c r="C728">
        <v>65</v>
      </c>
      <c r="D728" t="s">
        <v>21</v>
      </c>
      <c r="E728">
        <v>7.1472811851370297</v>
      </c>
      <c r="F728">
        <v>8</v>
      </c>
      <c r="G728">
        <v>2</v>
      </c>
      <c r="H728">
        <v>57.626079558168499</v>
      </c>
      <c r="I728">
        <v>86.3233417324128</v>
      </c>
      <c r="J728">
        <v>204.13172390371699</v>
      </c>
      <c r="K728">
        <v>85.520793818093907</v>
      </c>
      <c r="L728">
        <v>5.40275981269086</v>
      </c>
      <c r="M728">
        <v>85.717722472773403</v>
      </c>
      <c r="N728">
        <v>6.6727723169716198</v>
      </c>
      <c r="O728">
        <v>50.4748366275725</v>
      </c>
      <c r="P728">
        <v>73.617801459337301</v>
      </c>
      <c r="Q728">
        <v>1</v>
      </c>
      <c r="R728">
        <v>1</v>
      </c>
      <c r="S728">
        <v>21.718066089745701</v>
      </c>
    </row>
    <row r="729" spans="1:19" x14ac:dyDescent="0.25">
      <c r="A729">
        <v>18</v>
      </c>
      <c r="B729">
        <v>175</v>
      </c>
      <c r="C729">
        <v>68</v>
      </c>
      <c r="D729" t="s">
        <v>20</v>
      </c>
      <c r="E729">
        <v>5</v>
      </c>
      <c r="F729">
        <v>31</v>
      </c>
      <c r="G729">
        <v>1</v>
      </c>
      <c r="H729">
        <v>65.466020670741003</v>
      </c>
      <c r="I729">
        <v>97.121839097051406</v>
      </c>
      <c r="J729">
        <v>258.414948939552</v>
      </c>
      <c r="K729">
        <v>88.686361782426999</v>
      </c>
      <c r="L729">
        <v>6.5283170514347804</v>
      </c>
      <c r="M729">
        <v>78.672232931024098</v>
      </c>
      <c r="N729">
        <v>7.9894204012851402</v>
      </c>
      <c r="O729">
        <v>58.7184050853581</v>
      </c>
      <c r="P729">
        <v>90.046833424584705</v>
      </c>
      <c r="Q729">
        <v>1</v>
      </c>
      <c r="R729">
        <v>0</v>
      </c>
      <c r="S729">
        <v>22.204081632653001</v>
      </c>
    </row>
    <row r="730" spans="1:19" x14ac:dyDescent="0.25">
      <c r="A730">
        <v>21</v>
      </c>
      <c r="B730">
        <v>187</v>
      </c>
      <c r="C730">
        <v>66</v>
      </c>
      <c r="D730" t="s">
        <v>20</v>
      </c>
      <c r="E730">
        <v>7.9114576303028699</v>
      </c>
      <c r="F730">
        <v>12</v>
      </c>
      <c r="G730">
        <v>2</v>
      </c>
      <c r="H730">
        <v>71.319911080197798</v>
      </c>
      <c r="I730">
        <v>67.6834986578192</v>
      </c>
      <c r="J730">
        <v>271.16878430827398</v>
      </c>
      <c r="K730">
        <v>83.613041839962506</v>
      </c>
      <c r="L730">
        <v>5.6465065989746002</v>
      </c>
      <c r="M730">
        <v>74.383523459572899</v>
      </c>
      <c r="N730">
        <v>6.7230795419380396</v>
      </c>
      <c r="O730">
        <v>46.807617415436603</v>
      </c>
      <c r="P730">
        <v>62.313822105930299</v>
      </c>
      <c r="Q730">
        <v>0</v>
      </c>
      <c r="R730">
        <v>1</v>
      </c>
      <c r="S730">
        <v>18.873859704309499</v>
      </c>
    </row>
    <row r="731" spans="1:19" x14ac:dyDescent="0.25">
      <c r="A731">
        <v>22</v>
      </c>
      <c r="B731">
        <v>175</v>
      </c>
      <c r="C731">
        <v>69</v>
      </c>
      <c r="D731" t="s">
        <v>19</v>
      </c>
      <c r="E731">
        <v>11.1944569959667</v>
      </c>
      <c r="F731">
        <v>12</v>
      </c>
      <c r="G731">
        <v>1</v>
      </c>
      <c r="H731">
        <v>81.968813045414606</v>
      </c>
      <c r="I731">
        <v>90.985701731183298</v>
      </c>
      <c r="J731">
        <v>273.84422451760798</v>
      </c>
      <c r="K731">
        <v>79.8450299068096</v>
      </c>
      <c r="L731">
        <v>5.3128894688405204</v>
      </c>
      <c r="M731">
        <v>85.530397497506996</v>
      </c>
      <c r="N731">
        <v>6.9179645107963701</v>
      </c>
      <c r="O731">
        <v>45.311182925206097</v>
      </c>
      <c r="P731">
        <v>64.760862881030306</v>
      </c>
      <c r="Q731">
        <v>0</v>
      </c>
      <c r="R731">
        <v>1</v>
      </c>
      <c r="S731">
        <v>22.530612244897899</v>
      </c>
    </row>
    <row r="732" spans="1:19" x14ac:dyDescent="0.25">
      <c r="A732">
        <v>18</v>
      </c>
      <c r="B732">
        <v>168</v>
      </c>
      <c r="C732">
        <v>73</v>
      </c>
      <c r="D732" t="s">
        <v>22</v>
      </c>
      <c r="E732">
        <v>12.773604637539499</v>
      </c>
      <c r="F732">
        <v>31</v>
      </c>
      <c r="G732">
        <v>0</v>
      </c>
      <c r="H732">
        <v>74.099782921794102</v>
      </c>
      <c r="I732">
        <v>81.316143607445596</v>
      </c>
      <c r="J732">
        <v>235.94549125311099</v>
      </c>
      <c r="K732">
        <v>87.505628508868497</v>
      </c>
      <c r="L732">
        <v>6.6927290971680398</v>
      </c>
      <c r="M732">
        <v>76.196547260408906</v>
      </c>
      <c r="N732">
        <v>7.7499649938192201</v>
      </c>
      <c r="O732">
        <v>57.311916744997902</v>
      </c>
      <c r="P732">
        <v>75.407294441007096</v>
      </c>
      <c r="Q732">
        <v>1</v>
      </c>
      <c r="R732">
        <v>0</v>
      </c>
      <c r="S732">
        <v>25.864512471655299</v>
      </c>
    </row>
    <row r="733" spans="1:19" x14ac:dyDescent="0.25">
      <c r="A733">
        <v>22</v>
      </c>
      <c r="B733">
        <v>174</v>
      </c>
      <c r="C733">
        <v>80</v>
      </c>
      <c r="D733" t="s">
        <v>22</v>
      </c>
      <c r="E733">
        <v>7.1518598974428498</v>
      </c>
      <c r="F733">
        <v>15</v>
      </c>
      <c r="G733">
        <v>0</v>
      </c>
      <c r="H733">
        <v>78.795070184631896</v>
      </c>
      <c r="I733">
        <v>90.499957058838305</v>
      </c>
      <c r="J733">
        <v>265.31097647213602</v>
      </c>
      <c r="K733">
        <v>91.127649937802104</v>
      </c>
      <c r="L733">
        <v>6.4496205324001501</v>
      </c>
      <c r="M733">
        <v>76.464065976392106</v>
      </c>
      <c r="N733">
        <v>8.1668646249772898</v>
      </c>
      <c r="O733">
        <v>38.647740198302699</v>
      </c>
      <c r="P733">
        <v>83.619574991005607</v>
      </c>
      <c r="Q733">
        <v>1</v>
      </c>
      <c r="R733">
        <v>0</v>
      </c>
      <c r="S733">
        <v>26.423569824283199</v>
      </c>
    </row>
    <row r="734" spans="1:19" x14ac:dyDescent="0.25">
      <c r="A734">
        <v>19</v>
      </c>
      <c r="B734">
        <v>176</v>
      </c>
      <c r="C734">
        <v>81</v>
      </c>
      <c r="D734" t="s">
        <v>20</v>
      </c>
      <c r="E734">
        <v>15.394185774519</v>
      </c>
      <c r="F734">
        <v>35</v>
      </c>
      <c r="G734">
        <v>3</v>
      </c>
      <c r="H734">
        <v>72.123429012557807</v>
      </c>
      <c r="I734">
        <v>83.732342976903595</v>
      </c>
      <c r="J734">
        <v>271.59981347727802</v>
      </c>
      <c r="K734">
        <v>87.086555915584796</v>
      </c>
      <c r="L734">
        <v>6.0490869853644602</v>
      </c>
      <c r="M734">
        <v>82.4300466490091</v>
      </c>
      <c r="N734">
        <v>7.2664990720854599</v>
      </c>
      <c r="O734">
        <v>43.904167733586803</v>
      </c>
      <c r="P734">
        <v>78.195577466473594</v>
      </c>
      <c r="Q734">
        <v>0</v>
      </c>
      <c r="R734">
        <v>1</v>
      </c>
      <c r="S734">
        <v>26.149276859504099</v>
      </c>
    </row>
    <row r="735" spans="1:19" x14ac:dyDescent="0.25">
      <c r="A735">
        <v>24</v>
      </c>
      <c r="B735">
        <v>177</v>
      </c>
      <c r="C735">
        <v>75</v>
      </c>
      <c r="D735" t="s">
        <v>22</v>
      </c>
      <c r="E735">
        <v>8.2800819282035292</v>
      </c>
      <c r="F735">
        <v>20</v>
      </c>
      <c r="G735">
        <v>0</v>
      </c>
      <c r="H735">
        <v>74.706468184673199</v>
      </c>
      <c r="I735">
        <v>73.605105560345095</v>
      </c>
      <c r="J735">
        <v>258.183974959632</v>
      </c>
      <c r="K735">
        <v>78.102445202941098</v>
      </c>
      <c r="L735">
        <v>5.7609257584187601</v>
      </c>
      <c r="M735">
        <v>71.505406695035802</v>
      </c>
      <c r="N735">
        <v>7.1534576519562298</v>
      </c>
      <c r="O735">
        <v>48.914579656527202</v>
      </c>
      <c r="P735">
        <v>63.322778213013301</v>
      </c>
      <c r="Q735">
        <v>0</v>
      </c>
      <c r="R735">
        <v>1</v>
      </c>
      <c r="S735">
        <v>23.939480992052001</v>
      </c>
    </row>
    <row r="736" spans="1:19" x14ac:dyDescent="0.25">
      <c r="A736">
        <v>20</v>
      </c>
      <c r="B736">
        <v>172</v>
      </c>
      <c r="C736">
        <v>85</v>
      </c>
      <c r="D736" t="s">
        <v>19</v>
      </c>
      <c r="E736">
        <v>10.914652512730401</v>
      </c>
      <c r="F736">
        <v>22</v>
      </c>
      <c r="G736">
        <v>3</v>
      </c>
      <c r="H736">
        <v>63.409773108522003</v>
      </c>
      <c r="I736">
        <v>77.505608165209097</v>
      </c>
      <c r="J736">
        <v>288.64824611764999</v>
      </c>
      <c r="K736">
        <v>82.070332897803397</v>
      </c>
      <c r="L736">
        <v>5.5905549850721403</v>
      </c>
      <c r="M736">
        <v>81.071108504434093</v>
      </c>
      <c r="N736">
        <v>5.8448325468340299</v>
      </c>
      <c r="O736">
        <v>55.844711805937301</v>
      </c>
      <c r="P736">
        <v>71.478429902688902</v>
      </c>
      <c r="Q736">
        <v>0</v>
      </c>
      <c r="R736">
        <v>1</v>
      </c>
      <c r="S736">
        <v>28.7317468902109</v>
      </c>
    </row>
    <row r="737" spans="1:19" x14ac:dyDescent="0.25">
      <c r="A737">
        <v>23</v>
      </c>
      <c r="B737">
        <v>188</v>
      </c>
      <c r="C737">
        <v>64</v>
      </c>
      <c r="D737" t="s">
        <v>22</v>
      </c>
      <c r="E737">
        <v>5.5718698904136197</v>
      </c>
      <c r="F737">
        <v>32</v>
      </c>
      <c r="G737">
        <v>0</v>
      </c>
      <c r="H737">
        <v>82.665171976698105</v>
      </c>
      <c r="I737">
        <v>88.891747721068796</v>
      </c>
      <c r="J737">
        <v>228.25840393934999</v>
      </c>
      <c r="K737">
        <v>89.311068927323603</v>
      </c>
      <c r="L737">
        <v>5.7499930583331</v>
      </c>
      <c r="M737">
        <v>85.135674639674505</v>
      </c>
      <c r="N737">
        <v>7.3599197257596103</v>
      </c>
      <c r="O737">
        <v>43.228696180342197</v>
      </c>
      <c r="P737">
        <v>58.472637760596299</v>
      </c>
      <c r="Q737">
        <v>1</v>
      </c>
      <c r="R737">
        <v>0</v>
      </c>
      <c r="S737">
        <v>18.1077410593028</v>
      </c>
    </row>
    <row r="738" spans="1:19" x14ac:dyDescent="0.25">
      <c r="A738">
        <v>24</v>
      </c>
      <c r="B738">
        <v>179</v>
      </c>
      <c r="C738">
        <v>83</v>
      </c>
      <c r="D738" t="s">
        <v>20</v>
      </c>
      <c r="E738">
        <v>10.406670248236701</v>
      </c>
      <c r="F738">
        <v>37</v>
      </c>
      <c r="G738">
        <v>0</v>
      </c>
      <c r="H738">
        <v>77.163285451316696</v>
      </c>
      <c r="I738">
        <v>74.384217214947199</v>
      </c>
      <c r="J738">
        <v>248.098333223021</v>
      </c>
      <c r="K738">
        <v>92.287370353177707</v>
      </c>
      <c r="L738">
        <v>6.0450744226393702</v>
      </c>
      <c r="M738">
        <v>90.291367712474795</v>
      </c>
      <c r="N738">
        <v>7.2893933603937198</v>
      </c>
      <c r="O738">
        <v>33.386943246395901</v>
      </c>
      <c r="P738">
        <v>86.274927349330994</v>
      </c>
      <c r="Q738">
        <v>1</v>
      </c>
      <c r="R738">
        <v>0</v>
      </c>
      <c r="S738">
        <v>25.904310102680899</v>
      </c>
    </row>
    <row r="739" spans="1:19" x14ac:dyDescent="0.25">
      <c r="A739">
        <v>23</v>
      </c>
      <c r="B739">
        <v>185</v>
      </c>
      <c r="C739">
        <v>56</v>
      </c>
      <c r="D739" t="s">
        <v>20</v>
      </c>
      <c r="E739">
        <v>11.348413608318101</v>
      </c>
      <c r="F739">
        <v>8</v>
      </c>
      <c r="G739">
        <v>1</v>
      </c>
      <c r="H739">
        <v>79.347081115375801</v>
      </c>
      <c r="I739">
        <v>91.162699029883697</v>
      </c>
      <c r="J739">
        <v>252.283105812668</v>
      </c>
      <c r="K739">
        <v>89.1328189488775</v>
      </c>
      <c r="L739">
        <v>5.8915732434579002</v>
      </c>
      <c r="M739">
        <v>92.626379528920594</v>
      </c>
      <c r="N739">
        <v>8.3134663553792798</v>
      </c>
      <c r="O739">
        <v>50.8998375838353</v>
      </c>
      <c r="P739">
        <v>84.792159606991802</v>
      </c>
      <c r="Q739">
        <v>1</v>
      </c>
      <c r="R739">
        <v>0</v>
      </c>
      <c r="S739">
        <v>16.362308254200101</v>
      </c>
    </row>
    <row r="740" spans="1:19" x14ac:dyDescent="0.25">
      <c r="A740">
        <v>23</v>
      </c>
      <c r="B740">
        <v>178</v>
      </c>
      <c r="C740">
        <v>68</v>
      </c>
      <c r="D740" t="s">
        <v>19</v>
      </c>
      <c r="E740">
        <v>12.712484284046999</v>
      </c>
      <c r="F740">
        <v>13</v>
      </c>
      <c r="G740">
        <v>1</v>
      </c>
      <c r="H740">
        <v>77.216987252559804</v>
      </c>
      <c r="I740">
        <v>75.080430163458601</v>
      </c>
      <c r="J740">
        <v>264.86505897450502</v>
      </c>
      <c r="K740">
        <v>67.066146000436902</v>
      </c>
      <c r="L740">
        <v>5.7057490080630497</v>
      </c>
      <c r="M740">
        <v>70.435107766476705</v>
      </c>
      <c r="N740">
        <v>7.2238907036695696</v>
      </c>
      <c r="O740">
        <v>73.859664723861499</v>
      </c>
      <c r="P740">
        <v>63.747337432993596</v>
      </c>
      <c r="Q740">
        <v>0</v>
      </c>
      <c r="R740">
        <v>1</v>
      </c>
      <c r="S740">
        <v>21.461936624163599</v>
      </c>
    </row>
    <row r="741" spans="1:19" x14ac:dyDescent="0.25">
      <c r="A741">
        <v>18</v>
      </c>
      <c r="B741">
        <v>190</v>
      </c>
      <c r="C741">
        <v>66</v>
      </c>
      <c r="D741" t="s">
        <v>22</v>
      </c>
      <c r="E741">
        <v>5.9186459081885703</v>
      </c>
      <c r="F741">
        <v>6</v>
      </c>
      <c r="G741">
        <v>2</v>
      </c>
      <c r="H741">
        <v>67.460510324584902</v>
      </c>
      <c r="I741">
        <v>64.120409662165798</v>
      </c>
      <c r="J741">
        <v>297.350728155019</v>
      </c>
      <c r="K741">
        <v>78.782945563343006</v>
      </c>
      <c r="L741">
        <v>6.3264664177652898</v>
      </c>
      <c r="M741">
        <v>55.7843224824733</v>
      </c>
      <c r="N741">
        <v>6.8159870005424903</v>
      </c>
      <c r="O741">
        <v>49.470208715469099</v>
      </c>
      <c r="P741">
        <v>82.918951400585399</v>
      </c>
      <c r="Q741">
        <v>1</v>
      </c>
      <c r="R741">
        <v>1</v>
      </c>
      <c r="S741">
        <v>18.282548476454199</v>
      </c>
    </row>
    <row r="742" spans="1:19" x14ac:dyDescent="0.25">
      <c r="A742">
        <v>21</v>
      </c>
      <c r="B742">
        <v>170</v>
      </c>
      <c r="C742">
        <v>71</v>
      </c>
      <c r="D742" t="s">
        <v>21</v>
      </c>
      <c r="E742">
        <v>17.669604178522299</v>
      </c>
      <c r="F742">
        <v>16</v>
      </c>
      <c r="G742">
        <v>0</v>
      </c>
      <c r="H742">
        <v>70.936938822376007</v>
      </c>
      <c r="I742">
        <v>72.135235045834307</v>
      </c>
      <c r="J742">
        <v>237.81902973654999</v>
      </c>
      <c r="K742">
        <v>78.5145765356434</v>
      </c>
      <c r="L742">
        <v>6.3161283089144797</v>
      </c>
      <c r="M742">
        <v>68.703190366545797</v>
      </c>
      <c r="N742">
        <v>6.8011369246760998</v>
      </c>
      <c r="O742">
        <v>51.507979124062103</v>
      </c>
      <c r="P742">
        <v>69.057443088014296</v>
      </c>
      <c r="Q742">
        <v>0</v>
      </c>
      <c r="R742">
        <v>1</v>
      </c>
      <c r="S742">
        <v>24.5674740484429</v>
      </c>
    </row>
    <row r="743" spans="1:19" x14ac:dyDescent="0.25">
      <c r="A743">
        <v>18</v>
      </c>
      <c r="B743">
        <v>187</v>
      </c>
      <c r="C743">
        <v>79</v>
      </c>
      <c r="D743" t="s">
        <v>19</v>
      </c>
      <c r="E743">
        <v>5.5921898038917899</v>
      </c>
      <c r="F743">
        <v>9</v>
      </c>
      <c r="G743">
        <v>0</v>
      </c>
      <c r="H743">
        <v>79.574935501478194</v>
      </c>
      <c r="I743">
        <v>88.802284670515604</v>
      </c>
      <c r="J743">
        <v>233.05891977819201</v>
      </c>
      <c r="K743">
        <v>83.262237081684901</v>
      </c>
      <c r="L743">
        <v>5.9250434239530803</v>
      </c>
      <c r="M743">
        <v>79.563746009725804</v>
      </c>
      <c r="N743">
        <v>8.1643638576610797</v>
      </c>
      <c r="O743">
        <v>46.985757166023703</v>
      </c>
      <c r="P743">
        <v>67.937841351838401</v>
      </c>
      <c r="Q743">
        <v>1</v>
      </c>
      <c r="R743">
        <v>0</v>
      </c>
      <c r="S743">
        <v>22.5914381309159</v>
      </c>
    </row>
    <row r="744" spans="1:19" x14ac:dyDescent="0.25">
      <c r="A744">
        <v>20</v>
      </c>
      <c r="B744">
        <v>175</v>
      </c>
      <c r="C744">
        <v>101</v>
      </c>
      <c r="D744" t="s">
        <v>20</v>
      </c>
      <c r="E744">
        <v>10.062784616031999</v>
      </c>
      <c r="F744">
        <v>37</v>
      </c>
      <c r="G744">
        <v>3</v>
      </c>
      <c r="H744">
        <v>70.831329525974297</v>
      </c>
      <c r="I744">
        <v>80.969873882943205</v>
      </c>
      <c r="J744">
        <v>219.97604985035099</v>
      </c>
      <c r="K744">
        <v>79.046105247776694</v>
      </c>
      <c r="L744">
        <v>5.9833084190963302</v>
      </c>
      <c r="M744">
        <v>81.453156815654694</v>
      </c>
      <c r="N744">
        <v>7.4773557918303197</v>
      </c>
      <c r="O744">
        <v>64.643382581009902</v>
      </c>
      <c r="P744">
        <v>77.743957749686402</v>
      </c>
      <c r="Q744">
        <v>0</v>
      </c>
      <c r="R744">
        <v>1</v>
      </c>
      <c r="S744">
        <v>32.979591836734599</v>
      </c>
    </row>
    <row r="745" spans="1:19" x14ac:dyDescent="0.25">
      <c r="A745">
        <v>21</v>
      </c>
      <c r="B745">
        <v>174</v>
      </c>
      <c r="C745">
        <v>88</v>
      </c>
      <c r="D745" t="s">
        <v>20</v>
      </c>
      <c r="E745">
        <v>7.4619135149399902</v>
      </c>
      <c r="F745">
        <v>28</v>
      </c>
      <c r="G745">
        <v>2</v>
      </c>
      <c r="H745">
        <v>69.560688904828297</v>
      </c>
      <c r="I745">
        <v>70.974006506089907</v>
      </c>
      <c r="J745">
        <v>267.62669343573998</v>
      </c>
      <c r="K745">
        <v>76.733983778643307</v>
      </c>
      <c r="L745">
        <v>5.5077012150752402</v>
      </c>
      <c r="M745">
        <v>75.750551369124594</v>
      </c>
      <c r="N745">
        <v>6.88800635075747</v>
      </c>
      <c r="O745">
        <v>56.797815885914801</v>
      </c>
      <c r="P745">
        <v>70.1236956273397</v>
      </c>
      <c r="Q745">
        <v>0</v>
      </c>
      <c r="R745">
        <v>1</v>
      </c>
      <c r="S745">
        <v>29.065926806711499</v>
      </c>
    </row>
    <row r="746" spans="1:19" x14ac:dyDescent="0.25">
      <c r="A746">
        <v>18</v>
      </c>
      <c r="B746">
        <v>178</v>
      </c>
      <c r="C746">
        <v>68</v>
      </c>
      <c r="D746" t="s">
        <v>20</v>
      </c>
      <c r="E746">
        <v>9.8454295472628193</v>
      </c>
      <c r="F746">
        <v>32</v>
      </c>
      <c r="G746">
        <v>2</v>
      </c>
      <c r="H746">
        <v>71.582673408328006</v>
      </c>
      <c r="I746">
        <v>68.053388336692905</v>
      </c>
      <c r="J746">
        <v>267.790764496674</v>
      </c>
      <c r="K746">
        <v>82.615568543850699</v>
      </c>
      <c r="L746">
        <v>5.8837267832365496</v>
      </c>
      <c r="M746">
        <v>67.444305624641004</v>
      </c>
      <c r="N746">
        <v>7.7276121963600497</v>
      </c>
      <c r="O746">
        <v>66.0848567727312</v>
      </c>
      <c r="P746">
        <v>71.248427783499395</v>
      </c>
      <c r="Q746">
        <v>0</v>
      </c>
      <c r="R746">
        <v>1</v>
      </c>
      <c r="S746">
        <v>21.461936624163599</v>
      </c>
    </row>
    <row r="747" spans="1:19" x14ac:dyDescent="0.25">
      <c r="A747">
        <v>20</v>
      </c>
      <c r="B747">
        <v>154</v>
      </c>
      <c r="C747">
        <v>66</v>
      </c>
      <c r="D747" t="s">
        <v>20</v>
      </c>
      <c r="E747">
        <v>8.3728080716053093</v>
      </c>
      <c r="F747">
        <v>9</v>
      </c>
      <c r="G747">
        <v>1</v>
      </c>
      <c r="H747">
        <v>70.538846675705301</v>
      </c>
      <c r="I747">
        <v>72.236197421432706</v>
      </c>
      <c r="J747">
        <v>289.56264391498303</v>
      </c>
      <c r="K747">
        <v>89.057236715484905</v>
      </c>
      <c r="L747">
        <v>5.8057876452706898</v>
      </c>
      <c r="M747">
        <v>76.656544873490006</v>
      </c>
      <c r="N747">
        <v>6.9100089934657101</v>
      </c>
      <c r="O747">
        <v>57.469218525214004</v>
      </c>
      <c r="P747">
        <v>50</v>
      </c>
      <c r="Q747">
        <v>1</v>
      </c>
      <c r="R747">
        <v>1</v>
      </c>
      <c r="S747">
        <v>27.829313543599199</v>
      </c>
    </row>
    <row r="748" spans="1:19" x14ac:dyDescent="0.25">
      <c r="A748">
        <v>18</v>
      </c>
      <c r="B748">
        <v>174</v>
      </c>
      <c r="C748">
        <v>83</v>
      </c>
      <c r="D748" t="s">
        <v>22</v>
      </c>
      <c r="E748">
        <v>12.2862556884524</v>
      </c>
      <c r="F748">
        <v>18</v>
      </c>
      <c r="G748">
        <v>2</v>
      </c>
      <c r="H748">
        <v>80.175680308328495</v>
      </c>
      <c r="I748">
        <v>80.934997622342394</v>
      </c>
      <c r="J748">
        <v>233.066514187199</v>
      </c>
      <c r="K748">
        <v>92.384718089476493</v>
      </c>
      <c r="L748">
        <v>6.3641645687305299</v>
      </c>
      <c r="M748">
        <v>79.089615911057805</v>
      </c>
      <c r="N748">
        <v>8.3199243216025298</v>
      </c>
      <c r="O748">
        <v>46.449962516840301</v>
      </c>
      <c r="P748">
        <v>87.081884597510793</v>
      </c>
      <c r="Q748">
        <v>0</v>
      </c>
      <c r="R748">
        <v>0</v>
      </c>
      <c r="S748">
        <v>27.414453692693801</v>
      </c>
    </row>
    <row r="749" spans="1:19" x14ac:dyDescent="0.25">
      <c r="A749">
        <v>23</v>
      </c>
      <c r="B749">
        <v>190</v>
      </c>
      <c r="C749">
        <v>62</v>
      </c>
      <c r="D749" t="s">
        <v>21</v>
      </c>
      <c r="E749">
        <v>8.4296538776792307</v>
      </c>
      <c r="F749">
        <v>33</v>
      </c>
      <c r="G749">
        <v>2</v>
      </c>
      <c r="H749">
        <v>66.750058256610401</v>
      </c>
      <c r="I749">
        <v>75.305217699729894</v>
      </c>
      <c r="J749">
        <v>251.83050594479701</v>
      </c>
      <c r="K749">
        <v>81.747555857024906</v>
      </c>
      <c r="L749">
        <v>5.7720136220255203</v>
      </c>
      <c r="M749">
        <v>75.402993413917898</v>
      </c>
      <c r="N749">
        <v>6.8331974525844297</v>
      </c>
      <c r="O749">
        <v>69.703309320312499</v>
      </c>
      <c r="P749">
        <v>77.916398964387497</v>
      </c>
      <c r="Q749">
        <v>1</v>
      </c>
      <c r="R749">
        <v>1</v>
      </c>
      <c r="S749">
        <v>17.174515235457001</v>
      </c>
    </row>
    <row r="750" spans="1:19" x14ac:dyDescent="0.25">
      <c r="A750">
        <v>18</v>
      </c>
      <c r="B750">
        <v>179</v>
      </c>
      <c r="C750">
        <v>77</v>
      </c>
      <c r="D750" t="s">
        <v>22</v>
      </c>
      <c r="E750">
        <v>7.0654259659769796</v>
      </c>
      <c r="F750">
        <v>18</v>
      </c>
      <c r="G750">
        <v>1</v>
      </c>
      <c r="H750">
        <v>61.545745427295103</v>
      </c>
      <c r="I750">
        <v>67.485307906765101</v>
      </c>
      <c r="J750">
        <v>259.71971990482598</v>
      </c>
      <c r="K750">
        <v>82.935070554303806</v>
      </c>
      <c r="L750">
        <v>6.26371556738499</v>
      </c>
      <c r="M750">
        <v>54.6246864501435</v>
      </c>
      <c r="N750">
        <v>7.3135433993196299</v>
      </c>
      <c r="O750">
        <v>63.510169210571298</v>
      </c>
      <c r="P750">
        <v>67.088441817182698</v>
      </c>
      <c r="Q750">
        <v>0</v>
      </c>
      <c r="R750">
        <v>1</v>
      </c>
      <c r="S750">
        <v>24.031709372366599</v>
      </c>
    </row>
    <row r="751" spans="1:19" x14ac:dyDescent="0.25">
      <c r="A751">
        <v>24</v>
      </c>
      <c r="B751">
        <v>178</v>
      </c>
      <c r="C751">
        <v>73</v>
      </c>
      <c r="D751" t="s">
        <v>19</v>
      </c>
      <c r="E751">
        <v>13.3218504555021</v>
      </c>
      <c r="F751">
        <v>26</v>
      </c>
      <c r="G751">
        <v>1</v>
      </c>
      <c r="H751">
        <v>68.651504499915802</v>
      </c>
      <c r="I751">
        <v>82.757132093674997</v>
      </c>
      <c r="J751">
        <v>263.14803025083899</v>
      </c>
      <c r="K751">
        <v>91.549514857495595</v>
      </c>
      <c r="L751">
        <v>6.08903676151614</v>
      </c>
      <c r="M751">
        <v>80.557618800441105</v>
      </c>
      <c r="N751">
        <v>6.8336266713094203</v>
      </c>
      <c r="O751">
        <v>50.820663284984199</v>
      </c>
      <c r="P751">
        <v>73.7835174666006</v>
      </c>
      <c r="Q751">
        <v>0</v>
      </c>
      <c r="R751">
        <v>1</v>
      </c>
      <c r="S751">
        <v>23.040020199469701</v>
      </c>
    </row>
    <row r="752" spans="1:19" x14ac:dyDescent="0.25">
      <c r="A752">
        <v>22</v>
      </c>
      <c r="B752">
        <v>186</v>
      </c>
      <c r="C752">
        <v>79</v>
      </c>
      <c r="D752" t="s">
        <v>21</v>
      </c>
      <c r="E752">
        <v>8.7734930021146198</v>
      </c>
      <c r="F752">
        <v>6</v>
      </c>
      <c r="G752">
        <v>1</v>
      </c>
      <c r="H752">
        <v>90.239634144755598</v>
      </c>
      <c r="I752">
        <v>85.950753261285598</v>
      </c>
      <c r="J752">
        <v>262.445693683157</v>
      </c>
      <c r="K752">
        <v>80.940897726032205</v>
      </c>
      <c r="L752">
        <v>5.7850570127035104</v>
      </c>
      <c r="M752">
        <v>80.578577484150799</v>
      </c>
      <c r="N752">
        <v>9.0311122466047493</v>
      </c>
      <c r="O752">
        <v>42.515575734977098</v>
      </c>
      <c r="P752">
        <v>81.312739913699104</v>
      </c>
      <c r="Q752">
        <v>1</v>
      </c>
      <c r="R752">
        <v>0</v>
      </c>
      <c r="S752">
        <v>22.835009827725699</v>
      </c>
    </row>
    <row r="753" spans="1:19" x14ac:dyDescent="0.25">
      <c r="A753">
        <v>24</v>
      </c>
      <c r="B753">
        <v>173</v>
      </c>
      <c r="C753">
        <v>51</v>
      </c>
      <c r="D753" t="s">
        <v>22</v>
      </c>
      <c r="E753">
        <v>9.7121830576096002</v>
      </c>
      <c r="F753">
        <v>20</v>
      </c>
      <c r="G753">
        <v>2</v>
      </c>
      <c r="H753">
        <v>78.621380768142402</v>
      </c>
      <c r="I753">
        <v>90.944172639388896</v>
      </c>
      <c r="J753">
        <v>233.481183983335</v>
      </c>
      <c r="K753">
        <v>77.250503944249502</v>
      </c>
      <c r="L753">
        <v>6.1694660871934301</v>
      </c>
      <c r="M753">
        <v>82.020226334689596</v>
      </c>
      <c r="N753">
        <v>6.4665117270461296</v>
      </c>
      <c r="O753">
        <v>48.884605950269297</v>
      </c>
      <c r="P753">
        <v>72.647106363258501</v>
      </c>
      <c r="Q753">
        <v>1</v>
      </c>
      <c r="R753">
        <v>0</v>
      </c>
      <c r="S753">
        <v>17.040328778108101</v>
      </c>
    </row>
    <row r="754" spans="1:19" x14ac:dyDescent="0.25">
      <c r="A754">
        <v>23</v>
      </c>
      <c r="B754">
        <v>175</v>
      </c>
      <c r="C754">
        <v>82</v>
      </c>
      <c r="D754" t="s">
        <v>20</v>
      </c>
      <c r="E754">
        <v>11.0619201846543</v>
      </c>
      <c r="F754">
        <v>33</v>
      </c>
      <c r="G754">
        <v>3</v>
      </c>
      <c r="H754">
        <v>71.672713401597207</v>
      </c>
      <c r="I754">
        <v>90.914392441597798</v>
      </c>
      <c r="J754">
        <v>253.64959941497099</v>
      </c>
      <c r="K754">
        <v>90.191970067447699</v>
      </c>
      <c r="L754">
        <v>5.9839049941224403</v>
      </c>
      <c r="M754">
        <v>82.004205046685797</v>
      </c>
      <c r="N754">
        <v>8.0314039910271298</v>
      </c>
      <c r="O754">
        <v>40.244109885629697</v>
      </c>
      <c r="P754">
        <v>91.265697945697099</v>
      </c>
      <c r="Q754">
        <v>0</v>
      </c>
      <c r="R754">
        <v>0</v>
      </c>
      <c r="S754">
        <v>26.775510204081598</v>
      </c>
    </row>
    <row r="755" spans="1:19" x14ac:dyDescent="0.25">
      <c r="A755">
        <v>24</v>
      </c>
      <c r="B755">
        <v>167</v>
      </c>
      <c r="C755">
        <v>61</v>
      </c>
      <c r="D755" t="s">
        <v>21</v>
      </c>
      <c r="E755">
        <v>8.7908667318738196</v>
      </c>
      <c r="F755">
        <v>27</v>
      </c>
      <c r="G755">
        <v>1</v>
      </c>
      <c r="H755">
        <v>77.040186476189206</v>
      </c>
      <c r="I755">
        <v>81.098098609840306</v>
      </c>
      <c r="J755">
        <v>242.66537347715499</v>
      </c>
      <c r="K755">
        <v>80.348572730097501</v>
      </c>
      <c r="L755">
        <v>5.7733922955588204</v>
      </c>
      <c r="M755">
        <v>74.179207513547894</v>
      </c>
      <c r="N755">
        <v>7.6550483100312698</v>
      </c>
      <c r="O755">
        <v>51.824352876342203</v>
      </c>
      <c r="P755">
        <v>89.207400215866102</v>
      </c>
      <c r="Q755">
        <v>1</v>
      </c>
      <c r="R755">
        <v>0</v>
      </c>
      <c r="S755">
        <v>21.872422819032501</v>
      </c>
    </row>
    <row r="756" spans="1:19" x14ac:dyDescent="0.25">
      <c r="A756">
        <v>19</v>
      </c>
      <c r="B756">
        <v>175</v>
      </c>
      <c r="C756">
        <v>83</v>
      </c>
      <c r="D756" t="s">
        <v>21</v>
      </c>
      <c r="E756">
        <v>11.517956652272799</v>
      </c>
      <c r="F756">
        <v>17</v>
      </c>
      <c r="G756">
        <v>0</v>
      </c>
      <c r="H756">
        <v>85.348355160880899</v>
      </c>
      <c r="I756">
        <v>84.394316329951195</v>
      </c>
      <c r="J756">
        <v>234.27272427771999</v>
      </c>
      <c r="K756">
        <v>78.645472789249396</v>
      </c>
      <c r="L756">
        <v>6.4407645109640903</v>
      </c>
      <c r="M756">
        <v>80.853612075925398</v>
      </c>
      <c r="N756">
        <v>7.2017236338159201</v>
      </c>
      <c r="O756">
        <v>35.061051781958</v>
      </c>
      <c r="P756">
        <v>68.743606961798307</v>
      </c>
      <c r="Q756">
        <v>1</v>
      </c>
      <c r="R756">
        <v>0</v>
      </c>
      <c r="S756">
        <v>27.1020408163265</v>
      </c>
    </row>
    <row r="757" spans="1:19" x14ac:dyDescent="0.25">
      <c r="A757">
        <v>23</v>
      </c>
      <c r="B757">
        <v>175</v>
      </c>
      <c r="C757">
        <v>75</v>
      </c>
      <c r="D757" t="s">
        <v>21</v>
      </c>
      <c r="E757">
        <v>11.2715430869664</v>
      </c>
      <c r="F757">
        <v>15</v>
      </c>
      <c r="G757">
        <v>4</v>
      </c>
      <c r="H757">
        <v>74.055819386136093</v>
      </c>
      <c r="I757">
        <v>74.428052982781196</v>
      </c>
      <c r="J757">
        <v>280.356151475736</v>
      </c>
      <c r="K757">
        <v>72.253518745489401</v>
      </c>
      <c r="L757">
        <v>5.5648250792610803</v>
      </c>
      <c r="M757">
        <v>70.069842631318394</v>
      </c>
      <c r="N757">
        <v>7.1209634643111297</v>
      </c>
      <c r="O757">
        <v>43.954918988735699</v>
      </c>
      <c r="P757">
        <v>60.721504888661599</v>
      </c>
      <c r="Q757">
        <v>0</v>
      </c>
      <c r="R757">
        <v>1</v>
      </c>
      <c r="S757">
        <v>24.4897959183673</v>
      </c>
    </row>
    <row r="758" spans="1:19" x14ac:dyDescent="0.25">
      <c r="A758">
        <v>23</v>
      </c>
      <c r="B758">
        <v>179</v>
      </c>
      <c r="C758">
        <v>65</v>
      </c>
      <c r="D758" t="s">
        <v>22</v>
      </c>
      <c r="E758">
        <v>9.7299035627516002</v>
      </c>
      <c r="F758">
        <v>27</v>
      </c>
      <c r="G758">
        <v>1</v>
      </c>
      <c r="H758">
        <v>80.731906147845606</v>
      </c>
      <c r="I758">
        <v>77.605879800867001</v>
      </c>
      <c r="J758">
        <v>244.02481882520601</v>
      </c>
      <c r="K758">
        <v>87.775342976578699</v>
      </c>
      <c r="L758">
        <v>6.2837647005131796</v>
      </c>
      <c r="M758">
        <v>79.342429081572703</v>
      </c>
      <c r="N758">
        <v>6.9140897715346403</v>
      </c>
      <c r="O758">
        <v>43.490068135192601</v>
      </c>
      <c r="P758">
        <v>87.543418876480601</v>
      </c>
      <c r="Q758">
        <v>1</v>
      </c>
      <c r="R758">
        <v>0</v>
      </c>
      <c r="S758">
        <v>20.286507911737999</v>
      </c>
    </row>
    <row r="759" spans="1:19" x14ac:dyDescent="0.25">
      <c r="A759">
        <v>18</v>
      </c>
      <c r="B759">
        <v>186</v>
      </c>
      <c r="C759">
        <v>84</v>
      </c>
      <c r="D759" t="s">
        <v>20</v>
      </c>
      <c r="E759">
        <v>9.83170082366013</v>
      </c>
      <c r="F759">
        <v>29</v>
      </c>
      <c r="G759">
        <v>1</v>
      </c>
      <c r="H759">
        <v>73.589270923428501</v>
      </c>
      <c r="I759">
        <v>86.739784722495898</v>
      </c>
      <c r="J759">
        <v>207.88438373384301</v>
      </c>
      <c r="K759">
        <v>83.358910425644098</v>
      </c>
      <c r="L759">
        <v>6.57290173634963</v>
      </c>
      <c r="M759">
        <v>85.227558939580405</v>
      </c>
      <c r="N759">
        <v>8.1108465687420903</v>
      </c>
      <c r="O759">
        <v>58.699944146699401</v>
      </c>
      <c r="P759">
        <v>89.783715130586501</v>
      </c>
      <c r="Q759">
        <v>0</v>
      </c>
      <c r="R759">
        <v>0</v>
      </c>
      <c r="S759">
        <v>24.2802636142906</v>
      </c>
    </row>
    <row r="760" spans="1:19" x14ac:dyDescent="0.25">
      <c r="A760">
        <v>24</v>
      </c>
      <c r="B760">
        <v>168</v>
      </c>
      <c r="C760">
        <v>82</v>
      </c>
      <c r="D760" t="s">
        <v>22</v>
      </c>
      <c r="E760">
        <v>11.603689990026799</v>
      </c>
      <c r="F760">
        <v>25</v>
      </c>
      <c r="G760">
        <v>0</v>
      </c>
      <c r="H760">
        <v>74.143962868336999</v>
      </c>
      <c r="I760">
        <v>90.750922334534295</v>
      </c>
      <c r="J760">
        <v>250.46749055844799</v>
      </c>
      <c r="K760">
        <v>100</v>
      </c>
      <c r="L760">
        <v>5.8218058101657002</v>
      </c>
      <c r="M760">
        <v>73.745414687931202</v>
      </c>
      <c r="N760">
        <v>6.3840302291895803</v>
      </c>
      <c r="O760">
        <v>31.5651851245327</v>
      </c>
      <c r="P760">
        <v>61.965936809476503</v>
      </c>
      <c r="Q760">
        <v>1</v>
      </c>
      <c r="R760">
        <v>0</v>
      </c>
      <c r="S760">
        <v>29.053287981859398</v>
      </c>
    </row>
    <row r="761" spans="1:19" x14ac:dyDescent="0.25">
      <c r="A761">
        <v>18</v>
      </c>
      <c r="B761">
        <v>183</v>
      </c>
      <c r="C761">
        <v>59</v>
      </c>
      <c r="D761" t="s">
        <v>20</v>
      </c>
      <c r="E761">
        <v>6.9966675803340497</v>
      </c>
      <c r="F761">
        <v>10</v>
      </c>
      <c r="G761">
        <v>1</v>
      </c>
      <c r="H761">
        <v>70.439205499177305</v>
      </c>
      <c r="I761">
        <v>74.597022676885302</v>
      </c>
      <c r="J761">
        <v>248.775549271046</v>
      </c>
      <c r="K761">
        <v>89.057502628319199</v>
      </c>
      <c r="L761">
        <v>5.4075662735863599</v>
      </c>
      <c r="M761">
        <v>75.990663091654696</v>
      </c>
      <c r="N761">
        <v>7.5397199890894804</v>
      </c>
      <c r="O761">
        <v>68.643864142984398</v>
      </c>
      <c r="P761">
        <v>62.991139784673301</v>
      </c>
      <c r="Q761">
        <v>1</v>
      </c>
      <c r="R761">
        <v>1</v>
      </c>
      <c r="S761">
        <v>17.6177252232076</v>
      </c>
    </row>
    <row r="762" spans="1:19" x14ac:dyDescent="0.25">
      <c r="A762">
        <v>20</v>
      </c>
      <c r="B762">
        <v>172</v>
      </c>
      <c r="C762">
        <v>66</v>
      </c>
      <c r="D762" t="s">
        <v>21</v>
      </c>
      <c r="E762">
        <v>9.4373995319884099</v>
      </c>
      <c r="F762">
        <v>7</v>
      </c>
      <c r="G762">
        <v>1</v>
      </c>
      <c r="H762">
        <v>73.373251458950605</v>
      </c>
      <c r="I762">
        <v>84.751997654315602</v>
      </c>
      <c r="J762">
        <v>201.558971931088</v>
      </c>
      <c r="K762">
        <v>83.115705771571101</v>
      </c>
      <c r="L762">
        <v>5.9328068672162404</v>
      </c>
      <c r="M762">
        <v>79.884785120634305</v>
      </c>
      <c r="N762">
        <v>7.9138246688515999</v>
      </c>
      <c r="O762">
        <v>48.321563172107297</v>
      </c>
      <c r="P762">
        <v>73.218243919967605</v>
      </c>
      <c r="Q762">
        <v>0</v>
      </c>
      <c r="R762">
        <v>0</v>
      </c>
      <c r="S762">
        <v>22.309356408869601</v>
      </c>
    </row>
    <row r="763" spans="1:19" x14ac:dyDescent="0.25">
      <c r="A763">
        <v>23</v>
      </c>
      <c r="B763">
        <v>169</v>
      </c>
      <c r="C763">
        <v>74</v>
      </c>
      <c r="D763" t="s">
        <v>21</v>
      </c>
      <c r="E763">
        <v>12.7384534379995</v>
      </c>
      <c r="F763">
        <v>26</v>
      </c>
      <c r="G763">
        <v>1</v>
      </c>
      <c r="H763">
        <v>81.124161988001404</v>
      </c>
      <c r="I763">
        <v>91.094866331647793</v>
      </c>
      <c r="J763">
        <v>280.90001822162799</v>
      </c>
      <c r="K763">
        <v>84.846881600697898</v>
      </c>
      <c r="L763">
        <v>6.8219590418884302</v>
      </c>
      <c r="M763">
        <v>87.806284234514706</v>
      </c>
      <c r="N763">
        <v>7.0565600668361697</v>
      </c>
      <c r="O763">
        <v>61.378996749050302</v>
      </c>
      <c r="P763">
        <v>80.500978831206396</v>
      </c>
      <c r="Q763">
        <v>1</v>
      </c>
      <c r="R763">
        <v>0</v>
      </c>
      <c r="S763">
        <v>25.909456951787401</v>
      </c>
    </row>
    <row r="764" spans="1:19" x14ac:dyDescent="0.25">
      <c r="A764">
        <v>18</v>
      </c>
      <c r="B764">
        <v>191</v>
      </c>
      <c r="C764">
        <v>67</v>
      </c>
      <c r="D764" t="s">
        <v>19</v>
      </c>
      <c r="E764">
        <v>7.85607564210998</v>
      </c>
      <c r="F764">
        <v>19</v>
      </c>
      <c r="G764">
        <v>3</v>
      </c>
      <c r="H764">
        <v>70.041234262856193</v>
      </c>
      <c r="I764">
        <v>70.218387503309899</v>
      </c>
      <c r="J764">
        <v>221.80027251639399</v>
      </c>
      <c r="K764">
        <v>92.910070785355799</v>
      </c>
      <c r="L764">
        <v>6.4697967951850197</v>
      </c>
      <c r="M764">
        <v>83.246717997436306</v>
      </c>
      <c r="N764">
        <v>8.4117700954867107</v>
      </c>
      <c r="O764">
        <v>27.235168214889399</v>
      </c>
      <c r="P764">
        <v>88.759059900021896</v>
      </c>
      <c r="Q764">
        <v>1</v>
      </c>
      <c r="R764">
        <v>0</v>
      </c>
      <c r="S764">
        <v>18.3657246237767</v>
      </c>
    </row>
    <row r="765" spans="1:19" x14ac:dyDescent="0.25">
      <c r="A765">
        <v>24</v>
      </c>
      <c r="B765">
        <v>173</v>
      </c>
      <c r="C765">
        <v>73</v>
      </c>
      <c r="D765" t="s">
        <v>19</v>
      </c>
      <c r="E765">
        <v>11.388949585753201</v>
      </c>
      <c r="F765">
        <v>15</v>
      </c>
      <c r="G765">
        <v>3</v>
      </c>
      <c r="H765">
        <v>81.505825943631507</v>
      </c>
      <c r="I765">
        <v>81.080059792703906</v>
      </c>
      <c r="J765">
        <v>223.24341375697</v>
      </c>
      <c r="K765">
        <v>92.0080736674511</v>
      </c>
      <c r="L765">
        <v>6.1584533987108099</v>
      </c>
      <c r="M765">
        <v>95.530525791124902</v>
      </c>
      <c r="N765">
        <v>8.1794476676785592</v>
      </c>
      <c r="O765">
        <v>50.049581821672597</v>
      </c>
      <c r="P765">
        <v>87.3466000115138</v>
      </c>
      <c r="Q765">
        <v>1</v>
      </c>
      <c r="R765">
        <v>0</v>
      </c>
      <c r="S765">
        <v>24.391058839252899</v>
      </c>
    </row>
    <row r="766" spans="1:19" x14ac:dyDescent="0.25">
      <c r="A766">
        <v>18</v>
      </c>
      <c r="B766">
        <v>173</v>
      </c>
      <c r="C766">
        <v>69</v>
      </c>
      <c r="D766" t="s">
        <v>19</v>
      </c>
      <c r="E766">
        <v>5.5990966188908802</v>
      </c>
      <c r="F766">
        <v>12</v>
      </c>
      <c r="G766">
        <v>4</v>
      </c>
      <c r="H766">
        <v>75.411690728267303</v>
      </c>
      <c r="I766">
        <v>71.888125679852806</v>
      </c>
      <c r="J766">
        <v>247.96248313727099</v>
      </c>
      <c r="K766">
        <v>78.075747385589295</v>
      </c>
      <c r="L766">
        <v>5.77451890753537</v>
      </c>
      <c r="M766">
        <v>58.9839766092161</v>
      </c>
      <c r="N766">
        <v>5.9512856645685197</v>
      </c>
      <c r="O766">
        <v>62.794024389634799</v>
      </c>
      <c r="P766">
        <v>60.7991000834174</v>
      </c>
      <c r="Q766">
        <v>1</v>
      </c>
      <c r="R766">
        <v>1</v>
      </c>
      <c r="S766">
        <v>23.054562464499298</v>
      </c>
    </row>
    <row r="767" spans="1:19" x14ac:dyDescent="0.25">
      <c r="A767">
        <v>18</v>
      </c>
      <c r="B767">
        <v>176</v>
      </c>
      <c r="C767">
        <v>72</v>
      </c>
      <c r="D767" t="s">
        <v>19</v>
      </c>
      <c r="E767">
        <v>10.1109991827692</v>
      </c>
      <c r="F767">
        <v>8</v>
      </c>
      <c r="G767">
        <v>2</v>
      </c>
      <c r="H767">
        <v>84.816056403280399</v>
      </c>
      <c r="I767">
        <v>83.591292479455305</v>
      </c>
      <c r="J767">
        <v>243.027754836018</v>
      </c>
      <c r="K767">
        <v>92.238094651282196</v>
      </c>
      <c r="L767">
        <v>6.1420381723604898</v>
      </c>
      <c r="M767">
        <v>78.1443032703407</v>
      </c>
      <c r="N767">
        <v>6.6410634883658703</v>
      </c>
      <c r="O767">
        <v>54.6938480925918</v>
      </c>
      <c r="P767">
        <v>87.490698427061901</v>
      </c>
      <c r="Q767">
        <v>1</v>
      </c>
      <c r="R767">
        <v>0</v>
      </c>
      <c r="S767">
        <v>23.2438016528925</v>
      </c>
    </row>
    <row r="768" spans="1:19" x14ac:dyDescent="0.25">
      <c r="A768">
        <v>22</v>
      </c>
      <c r="B768">
        <v>182</v>
      </c>
      <c r="C768">
        <v>82</v>
      </c>
      <c r="D768" t="s">
        <v>20</v>
      </c>
      <c r="E768">
        <v>8.9482918829505191</v>
      </c>
      <c r="F768">
        <v>34</v>
      </c>
      <c r="G768">
        <v>1</v>
      </c>
      <c r="H768">
        <v>80.433298027777596</v>
      </c>
      <c r="I768">
        <v>78.995723753267995</v>
      </c>
      <c r="J768">
        <v>230.665710099037</v>
      </c>
      <c r="K768">
        <v>82.453933261808103</v>
      </c>
      <c r="L768">
        <v>5.8595943155959098</v>
      </c>
      <c r="M768">
        <v>85.1363531330163</v>
      </c>
      <c r="N768">
        <v>8.1204681484142007</v>
      </c>
      <c r="O768">
        <v>48.274806530520898</v>
      </c>
      <c r="P768">
        <v>76.054324172036999</v>
      </c>
      <c r="Q768">
        <v>0</v>
      </c>
      <c r="R768">
        <v>0</v>
      </c>
      <c r="S768">
        <v>24.755464315903801</v>
      </c>
    </row>
    <row r="769" spans="1:19" x14ac:dyDescent="0.25">
      <c r="A769">
        <v>20</v>
      </c>
      <c r="B769">
        <v>180</v>
      </c>
      <c r="C769">
        <v>78</v>
      </c>
      <c r="D769" t="s">
        <v>20</v>
      </c>
      <c r="E769">
        <v>8.2451479535068497</v>
      </c>
      <c r="F769">
        <v>20</v>
      </c>
      <c r="G769">
        <v>0</v>
      </c>
      <c r="H769">
        <v>78.628108350252901</v>
      </c>
      <c r="I769">
        <v>78.912023524245399</v>
      </c>
      <c r="J769">
        <v>232.15896112394799</v>
      </c>
      <c r="K769">
        <v>90.921213531452807</v>
      </c>
      <c r="L769">
        <v>6.0873293667579897</v>
      </c>
      <c r="M769">
        <v>73.533224449825099</v>
      </c>
      <c r="N769">
        <v>8.3736135241198895</v>
      </c>
      <c r="O769">
        <v>40.211989030127697</v>
      </c>
      <c r="P769">
        <v>79.420355932191001</v>
      </c>
      <c r="Q769">
        <v>1</v>
      </c>
      <c r="R769">
        <v>0</v>
      </c>
      <c r="S769">
        <v>24.074074074074002</v>
      </c>
    </row>
    <row r="770" spans="1:19" x14ac:dyDescent="0.25">
      <c r="A770">
        <v>19</v>
      </c>
      <c r="B770">
        <v>170</v>
      </c>
      <c r="C770">
        <v>83</v>
      </c>
      <c r="D770" t="s">
        <v>19</v>
      </c>
      <c r="E770">
        <v>13.335409508229001</v>
      </c>
      <c r="F770">
        <v>23</v>
      </c>
      <c r="G770">
        <v>1</v>
      </c>
      <c r="H770">
        <v>72.749111882907798</v>
      </c>
      <c r="I770">
        <v>68.540551553755805</v>
      </c>
      <c r="J770">
        <v>246.33275797668199</v>
      </c>
      <c r="K770">
        <v>94.157515195850493</v>
      </c>
      <c r="L770">
        <v>5.7295927248507903</v>
      </c>
      <c r="M770">
        <v>72.048844147210701</v>
      </c>
      <c r="N770">
        <v>6.2970064212285797</v>
      </c>
      <c r="O770">
        <v>70.328129552545604</v>
      </c>
      <c r="P770">
        <v>72.655059095470904</v>
      </c>
      <c r="Q770">
        <v>1</v>
      </c>
      <c r="R770">
        <v>1</v>
      </c>
      <c r="S770">
        <v>28.719723183391</v>
      </c>
    </row>
    <row r="771" spans="1:19" x14ac:dyDescent="0.25">
      <c r="A771">
        <v>21</v>
      </c>
      <c r="B771">
        <v>175</v>
      </c>
      <c r="C771">
        <v>73</v>
      </c>
      <c r="D771" t="s">
        <v>20</v>
      </c>
      <c r="E771">
        <v>11.937661547715299</v>
      </c>
      <c r="F771">
        <v>19</v>
      </c>
      <c r="G771">
        <v>1</v>
      </c>
      <c r="H771">
        <v>77.726221783725904</v>
      </c>
      <c r="I771">
        <v>79.603033323665798</v>
      </c>
      <c r="J771">
        <v>254.068128166512</v>
      </c>
      <c r="K771">
        <v>91.528744486992693</v>
      </c>
      <c r="L771">
        <v>6.0109650236531804</v>
      </c>
      <c r="M771">
        <v>71.008061855886496</v>
      </c>
      <c r="N771">
        <v>6.9130147737776602</v>
      </c>
      <c r="O771">
        <v>59.347781298188998</v>
      </c>
      <c r="P771">
        <v>69.854250899114106</v>
      </c>
      <c r="Q771">
        <v>0</v>
      </c>
      <c r="R771">
        <v>1</v>
      </c>
      <c r="S771">
        <v>23.836734693877499</v>
      </c>
    </row>
    <row r="772" spans="1:19" x14ac:dyDescent="0.25">
      <c r="A772">
        <v>23</v>
      </c>
      <c r="B772">
        <v>169</v>
      </c>
      <c r="C772">
        <v>99</v>
      </c>
      <c r="D772" t="s">
        <v>20</v>
      </c>
      <c r="E772">
        <v>10.950045984961699</v>
      </c>
      <c r="F772">
        <v>18</v>
      </c>
      <c r="G772">
        <v>2</v>
      </c>
      <c r="H772">
        <v>72.802746094872205</v>
      </c>
      <c r="I772">
        <v>73.865319607868301</v>
      </c>
      <c r="J772">
        <v>249.67585191481299</v>
      </c>
      <c r="K772">
        <v>89.366024544500604</v>
      </c>
      <c r="L772">
        <v>5.2659232823947102</v>
      </c>
      <c r="M772">
        <v>74.638246924670895</v>
      </c>
      <c r="N772">
        <v>7.5478871750831296</v>
      </c>
      <c r="O772">
        <v>65.127194308408306</v>
      </c>
      <c r="P772">
        <v>68.2529015167312</v>
      </c>
      <c r="Q772">
        <v>1</v>
      </c>
      <c r="R772">
        <v>1</v>
      </c>
      <c r="S772">
        <v>34.6626518679318</v>
      </c>
    </row>
    <row r="773" spans="1:19" x14ac:dyDescent="0.25">
      <c r="A773">
        <v>21</v>
      </c>
      <c r="B773">
        <v>182</v>
      </c>
      <c r="C773">
        <v>74</v>
      </c>
      <c r="D773" t="s">
        <v>21</v>
      </c>
      <c r="E773">
        <v>8.7018073938193901</v>
      </c>
      <c r="F773">
        <v>18</v>
      </c>
      <c r="G773">
        <v>3</v>
      </c>
      <c r="H773">
        <v>84.914275072660402</v>
      </c>
      <c r="I773">
        <v>82.859940369766704</v>
      </c>
      <c r="J773">
        <v>246.70933186155301</v>
      </c>
      <c r="K773">
        <v>83.821477587738002</v>
      </c>
      <c r="L773">
        <v>6.2360769980879098</v>
      </c>
      <c r="M773">
        <v>94.416813356078293</v>
      </c>
      <c r="N773">
        <v>7.2220912833112596</v>
      </c>
      <c r="O773">
        <v>56.727779708281197</v>
      </c>
      <c r="P773">
        <v>89.285825086345895</v>
      </c>
      <c r="Q773">
        <v>1</v>
      </c>
      <c r="R773">
        <v>0</v>
      </c>
      <c r="S773">
        <v>22.340297065571701</v>
      </c>
    </row>
    <row r="774" spans="1:19" x14ac:dyDescent="0.25">
      <c r="A774">
        <v>23</v>
      </c>
      <c r="B774">
        <v>187</v>
      </c>
      <c r="C774">
        <v>81</v>
      </c>
      <c r="D774" t="s">
        <v>20</v>
      </c>
      <c r="E774">
        <v>12.9127427898151</v>
      </c>
      <c r="F774">
        <v>37</v>
      </c>
      <c r="G774">
        <v>3</v>
      </c>
      <c r="H774">
        <v>63.856286322966199</v>
      </c>
      <c r="I774">
        <v>79.765355345624201</v>
      </c>
      <c r="J774">
        <v>281.23147183478397</v>
      </c>
      <c r="K774">
        <v>75.576834152850395</v>
      </c>
      <c r="L774">
        <v>5.6624022395397304</v>
      </c>
      <c r="M774">
        <v>84.319079528750194</v>
      </c>
      <c r="N774">
        <v>6.2421978962646403</v>
      </c>
      <c r="O774">
        <v>66.368476487860406</v>
      </c>
      <c r="P774">
        <v>69.434029226700801</v>
      </c>
      <c r="Q774">
        <v>1</v>
      </c>
      <c r="R774">
        <v>1</v>
      </c>
      <c r="S774">
        <v>23.1633732734707</v>
      </c>
    </row>
    <row r="775" spans="1:19" x14ac:dyDescent="0.25">
      <c r="A775">
        <v>20</v>
      </c>
      <c r="B775">
        <v>175</v>
      </c>
      <c r="C775">
        <v>71</v>
      </c>
      <c r="D775" t="s">
        <v>19</v>
      </c>
      <c r="E775">
        <v>13.327367880113</v>
      </c>
      <c r="F775">
        <v>10</v>
      </c>
      <c r="G775">
        <v>1</v>
      </c>
      <c r="H775">
        <v>69.427784128626001</v>
      </c>
      <c r="I775">
        <v>78.361201137187393</v>
      </c>
      <c r="J775">
        <v>252.63382712188599</v>
      </c>
      <c r="K775">
        <v>67.697117767262995</v>
      </c>
      <c r="L775">
        <v>5.5923815851410197</v>
      </c>
      <c r="M775">
        <v>79.270058767884805</v>
      </c>
      <c r="N775">
        <v>6.1258589791267601</v>
      </c>
      <c r="O775">
        <v>65.451997809533196</v>
      </c>
      <c r="P775">
        <v>62.309487839598603</v>
      </c>
      <c r="Q775">
        <v>0</v>
      </c>
      <c r="R775">
        <v>1</v>
      </c>
      <c r="S775">
        <v>23.183673469387699</v>
      </c>
    </row>
    <row r="776" spans="1:19" x14ac:dyDescent="0.25">
      <c r="A776">
        <v>22</v>
      </c>
      <c r="B776">
        <v>173</v>
      </c>
      <c r="C776">
        <v>88</v>
      </c>
      <c r="D776" t="s">
        <v>21</v>
      </c>
      <c r="E776">
        <v>10.0862206612791</v>
      </c>
      <c r="F776">
        <v>8</v>
      </c>
      <c r="G776">
        <v>2</v>
      </c>
      <c r="H776">
        <v>67.783058126089401</v>
      </c>
      <c r="I776">
        <v>75.845906668895793</v>
      </c>
      <c r="J776">
        <v>266.23189185856302</v>
      </c>
      <c r="K776">
        <v>87.921120113302905</v>
      </c>
      <c r="L776">
        <v>6.0070285158503003</v>
      </c>
      <c r="M776">
        <v>65.604829388482599</v>
      </c>
      <c r="N776">
        <v>7.3721501185168501</v>
      </c>
      <c r="O776">
        <v>62.529866416760001</v>
      </c>
      <c r="P776">
        <v>76.630436787354199</v>
      </c>
      <c r="Q776">
        <v>0</v>
      </c>
      <c r="R776">
        <v>1</v>
      </c>
      <c r="S776">
        <v>29.402920244578802</v>
      </c>
    </row>
    <row r="777" spans="1:19" x14ac:dyDescent="0.25">
      <c r="A777">
        <v>19</v>
      </c>
      <c r="B777">
        <v>180</v>
      </c>
      <c r="C777">
        <v>78</v>
      </c>
      <c r="D777" t="s">
        <v>20</v>
      </c>
      <c r="E777">
        <v>5.1839791316965096</v>
      </c>
      <c r="F777">
        <v>23</v>
      </c>
      <c r="G777">
        <v>4</v>
      </c>
      <c r="H777">
        <v>72.251462008003202</v>
      </c>
      <c r="I777">
        <v>87.744727035168694</v>
      </c>
      <c r="J777">
        <v>287.98339039079599</v>
      </c>
      <c r="K777">
        <v>85.756964096912895</v>
      </c>
      <c r="L777">
        <v>5.9306974631486504</v>
      </c>
      <c r="M777">
        <v>86.510303930678504</v>
      </c>
      <c r="N777">
        <v>6.8239150306295198</v>
      </c>
      <c r="O777">
        <v>56.114118112037403</v>
      </c>
      <c r="P777">
        <v>78.673996399953396</v>
      </c>
      <c r="Q777">
        <v>0</v>
      </c>
      <c r="R777">
        <v>1</v>
      </c>
      <c r="S777">
        <v>24.074074074074002</v>
      </c>
    </row>
    <row r="778" spans="1:19" x14ac:dyDescent="0.25">
      <c r="A778">
        <v>19</v>
      </c>
      <c r="B778">
        <v>163</v>
      </c>
      <c r="C778">
        <v>85</v>
      </c>
      <c r="D778" t="s">
        <v>19</v>
      </c>
      <c r="E778">
        <v>13.7592507960882</v>
      </c>
      <c r="F778">
        <v>32</v>
      </c>
      <c r="G778">
        <v>1</v>
      </c>
      <c r="H778">
        <v>77.752415068214404</v>
      </c>
      <c r="I778">
        <v>99.495342150240404</v>
      </c>
      <c r="J778">
        <v>245.58878181427301</v>
      </c>
      <c r="K778">
        <v>91.562850549244203</v>
      </c>
      <c r="L778">
        <v>5.7273762441580196</v>
      </c>
      <c r="M778">
        <v>84.617233479590595</v>
      </c>
      <c r="N778">
        <v>6.7486219799159297</v>
      </c>
      <c r="O778">
        <v>61.923874777319398</v>
      </c>
      <c r="P778">
        <v>75.387622777010904</v>
      </c>
      <c r="Q778">
        <v>1</v>
      </c>
      <c r="R778">
        <v>0</v>
      </c>
      <c r="S778">
        <v>31.992171327486901</v>
      </c>
    </row>
    <row r="779" spans="1:19" x14ac:dyDescent="0.25">
      <c r="A779">
        <v>20</v>
      </c>
      <c r="B779">
        <v>178</v>
      </c>
      <c r="C779">
        <v>65</v>
      </c>
      <c r="D779" t="s">
        <v>19</v>
      </c>
      <c r="E779">
        <v>7.3326478731318803</v>
      </c>
      <c r="F779">
        <v>6</v>
      </c>
      <c r="G779">
        <v>2</v>
      </c>
      <c r="H779">
        <v>68.693693029572998</v>
      </c>
      <c r="I779">
        <v>84.175547650281203</v>
      </c>
      <c r="J779">
        <v>247.49182303114401</v>
      </c>
      <c r="K779">
        <v>73.512410816177706</v>
      </c>
      <c r="L779">
        <v>6.2013151759434297</v>
      </c>
      <c r="M779">
        <v>88.992252742906203</v>
      </c>
      <c r="N779">
        <v>7.5263518662894002</v>
      </c>
      <c r="O779">
        <v>53.202616519046202</v>
      </c>
      <c r="P779">
        <v>55.016390892520803</v>
      </c>
      <c r="Q779">
        <v>1</v>
      </c>
      <c r="R779">
        <v>0</v>
      </c>
      <c r="S779">
        <v>20.515086478979899</v>
      </c>
    </row>
    <row r="780" spans="1:19" x14ac:dyDescent="0.25">
      <c r="A780">
        <v>18</v>
      </c>
      <c r="B780">
        <v>177</v>
      </c>
      <c r="C780">
        <v>71</v>
      </c>
      <c r="D780" t="s">
        <v>22</v>
      </c>
      <c r="E780">
        <v>7.3450273980171898</v>
      </c>
      <c r="F780">
        <v>13</v>
      </c>
      <c r="G780">
        <v>1</v>
      </c>
      <c r="H780">
        <v>72.041827621625401</v>
      </c>
      <c r="I780">
        <v>85.534787211544895</v>
      </c>
      <c r="J780">
        <v>270.30942462024302</v>
      </c>
      <c r="K780">
        <v>76.210358913155005</v>
      </c>
      <c r="L780">
        <v>5.3189576588881504</v>
      </c>
      <c r="M780">
        <v>71.907133046723899</v>
      </c>
      <c r="N780">
        <v>6.3747111148562796</v>
      </c>
      <c r="O780">
        <v>59.791065952886903</v>
      </c>
      <c r="P780">
        <v>78.423660320302702</v>
      </c>
      <c r="Q780">
        <v>0</v>
      </c>
      <c r="R780">
        <v>1</v>
      </c>
      <c r="S780">
        <v>22.662708672475901</v>
      </c>
    </row>
    <row r="781" spans="1:19" x14ac:dyDescent="0.25">
      <c r="A781">
        <v>19</v>
      </c>
      <c r="B781">
        <v>174</v>
      </c>
      <c r="C781">
        <v>82</v>
      </c>
      <c r="D781" t="s">
        <v>21</v>
      </c>
      <c r="E781">
        <v>8.1357965550740694</v>
      </c>
      <c r="F781">
        <v>38</v>
      </c>
      <c r="G781">
        <v>1</v>
      </c>
      <c r="H781">
        <v>77.5942509036377</v>
      </c>
      <c r="I781">
        <v>83.599970752658393</v>
      </c>
      <c r="J781">
        <v>197.94027121524201</v>
      </c>
      <c r="K781">
        <v>89.842884236774196</v>
      </c>
      <c r="L781">
        <v>6.15226104265383</v>
      </c>
      <c r="M781">
        <v>88.613366494243394</v>
      </c>
      <c r="N781">
        <v>7.2729218872971204</v>
      </c>
      <c r="O781">
        <v>65.016815144537304</v>
      </c>
      <c r="P781">
        <v>73.161847658438205</v>
      </c>
      <c r="Q781">
        <v>0</v>
      </c>
      <c r="R781">
        <v>0</v>
      </c>
      <c r="S781">
        <v>27.084159069890301</v>
      </c>
    </row>
    <row r="782" spans="1:19" x14ac:dyDescent="0.25">
      <c r="A782">
        <v>18</v>
      </c>
      <c r="B782">
        <v>178</v>
      </c>
      <c r="C782">
        <v>67</v>
      </c>
      <c r="D782" t="s">
        <v>21</v>
      </c>
      <c r="E782">
        <v>9.5285159886604092</v>
      </c>
      <c r="F782">
        <v>23</v>
      </c>
      <c r="G782">
        <v>5</v>
      </c>
      <c r="H782">
        <v>69.405814709985606</v>
      </c>
      <c r="I782">
        <v>83.023339710580004</v>
      </c>
      <c r="J782">
        <v>283.026431677929</v>
      </c>
      <c r="K782">
        <v>89.270535774298693</v>
      </c>
      <c r="L782">
        <v>5.7810898491282003</v>
      </c>
      <c r="M782">
        <v>78.349715124104804</v>
      </c>
      <c r="N782">
        <v>7.1773686097343896</v>
      </c>
      <c r="O782">
        <v>81.573838060450001</v>
      </c>
      <c r="P782">
        <v>69.055731199107797</v>
      </c>
      <c r="Q782">
        <v>0</v>
      </c>
      <c r="R782">
        <v>1</v>
      </c>
      <c r="S782">
        <v>21.146319909102299</v>
      </c>
    </row>
    <row r="783" spans="1:19" x14ac:dyDescent="0.25">
      <c r="A783">
        <v>19</v>
      </c>
      <c r="B783">
        <v>180</v>
      </c>
      <c r="C783">
        <v>75</v>
      </c>
      <c r="D783" t="s">
        <v>20</v>
      </c>
      <c r="E783">
        <v>12.2690355972448</v>
      </c>
      <c r="F783">
        <v>36</v>
      </c>
      <c r="G783">
        <v>1</v>
      </c>
      <c r="H783">
        <v>77.920558625656099</v>
      </c>
      <c r="I783">
        <v>78.537807150338807</v>
      </c>
      <c r="J783">
        <v>245.72651712289999</v>
      </c>
      <c r="K783">
        <v>82.015063586606999</v>
      </c>
      <c r="L783">
        <v>6.1771620387059896</v>
      </c>
      <c r="M783">
        <v>74.870790365602403</v>
      </c>
      <c r="N783">
        <v>9.0947306673902197</v>
      </c>
      <c r="O783">
        <v>67.092722873518696</v>
      </c>
      <c r="P783">
        <v>93.420354119439594</v>
      </c>
      <c r="Q783">
        <v>1</v>
      </c>
      <c r="R783">
        <v>0</v>
      </c>
      <c r="S783">
        <v>23.148148148148099</v>
      </c>
    </row>
    <row r="784" spans="1:19" x14ac:dyDescent="0.25">
      <c r="A784">
        <v>23</v>
      </c>
      <c r="B784">
        <v>179</v>
      </c>
      <c r="C784">
        <v>59</v>
      </c>
      <c r="D784" t="s">
        <v>21</v>
      </c>
      <c r="E784">
        <v>7.5392269318811298</v>
      </c>
      <c r="F784">
        <v>39</v>
      </c>
      <c r="G784">
        <v>2</v>
      </c>
      <c r="H784">
        <v>75.305861281769495</v>
      </c>
      <c r="I784">
        <v>68.651673295143098</v>
      </c>
      <c r="J784">
        <v>288.11060093244703</v>
      </c>
      <c r="K784">
        <v>89.499499386944095</v>
      </c>
      <c r="L784">
        <v>5.9173130998860604</v>
      </c>
      <c r="M784">
        <v>74.091955782860197</v>
      </c>
      <c r="N784">
        <v>6.6158565645562399</v>
      </c>
      <c r="O784">
        <v>44.2722542030941</v>
      </c>
      <c r="P784">
        <v>81.001713647814498</v>
      </c>
      <c r="Q784">
        <v>1</v>
      </c>
      <c r="R784">
        <v>1</v>
      </c>
      <c r="S784">
        <v>18.413907181423799</v>
      </c>
    </row>
    <row r="785" spans="1:19" x14ac:dyDescent="0.25">
      <c r="A785">
        <v>20</v>
      </c>
      <c r="B785">
        <v>184</v>
      </c>
      <c r="C785">
        <v>71</v>
      </c>
      <c r="D785" t="s">
        <v>20</v>
      </c>
      <c r="E785">
        <v>10.3778120422431</v>
      </c>
      <c r="F785">
        <v>15</v>
      </c>
      <c r="G785">
        <v>0</v>
      </c>
      <c r="H785">
        <v>69.713249717774701</v>
      </c>
      <c r="I785">
        <v>88.989563420772996</v>
      </c>
      <c r="J785">
        <v>245.35903095737399</v>
      </c>
      <c r="K785">
        <v>86.595850822434301</v>
      </c>
      <c r="L785">
        <v>6.6864773375896398</v>
      </c>
      <c r="M785">
        <v>100</v>
      </c>
      <c r="N785">
        <v>7.8648140405689801</v>
      </c>
      <c r="O785">
        <v>45.1806853295002</v>
      </c>
      <c r="P785">
        <v>78.413679472178103</v>
      </c>
      <c r="Q785">
        <v>1</v>
      </c>
      <c r="R785">
        <v>0</v>
      </c>
      <c r="S785">
        <v>20.9711720226843</v>
      </c>
    </row>
    <row r="786" spans="1:19" x14ac:dyDescent="0.25">
      <c r="A786">
        <v>23</v>
      </c>
      <c r="B786">
        <v>173</v>
      </c>
      <c r="C786">
        <v>74</v>
      </c>
      <c r="D786" t="s">
        <v>22</v>
      </c>
      <c r="E786">
        <v>9.4603994416115107</v>
      </c>
      <c r="F786">
        <v>9</v>
      </c>
      <c r="G786">
        <v>3</v>
      </c>
      <c r="H786">
        <v>72.522427798954098</v>
      </c>
      <c r="I786">
        <v>75.459781470853898</v>
      </c>
      <c r="J786">
        <v>297.66275679211901</v>
      </c>
      <c r="K786">
        <v>88.219517104610404</v>
      </c>
      <c r="L786">
        <v>5.72373768177318</v>
      </c>
      <c r="M786">
        <v>76.127907452939397</v>
      </c>
      <c r="N786">
        <v>5</v>
      </c>
      <c r="O786">
        <v>57.013662499231998</v>
      </c>
      <c r="P786">
        <v>80.609225143515403</v>
      </c>
      <c r="Q786">
        <v>0</v>
      </c>
      <c r="R786">
        <v>1</v>
      </c>
      <c r="S786">
        <v>24.725182932941198</v>
      </c>
    </row>
    <row r="787" spans="1:19" x14ac:dyDescent="0.25">
      <c r="A787">
        <v>24</v>
      </c>
      <c r="B787">
        <v>178</v>
      </c>
      <c r="C787">
        <v>69</v>
      </c>
      <c r="D787" t="s">
        <v>21</v>
      </c>
      <c r="E787">
        <v>8.89223706904518</v>
      </c>
      <c r="F787">
        <v>22</v>
      </c>
      <c r="G787">
        <v>0</v>
      </c>
      <c r="H787">
        <v>74.231095770479698</v>
      </c>
      <c r="I787">
        <v>68.224178434821198</v>
      </c>
      <c r="J787">
        <v>251.172107804956</v>
      </c>
      <c r="K787">
        <v>71.010192583284805</v>
      </c>
      <c r="L787">
        <v>5.7890006574238599</v>
      </c>
      <c r="M787">
        <v>76.624216259737494</v>
      </c>
      <c r="N787">
        <v>7.23587654940824</v>
      </c>
      <c r="O787">
        <v>63.917902028910902</v>
      </c>
      <c r="P787">
        <v>62.128085844599099</v>
      </c>
      <c r="Q787">
        <v>1</v>
      </c>
      <c r="R787">
        <v>1</v>
      </c>
      <c r="S787">
        <v>21.777553339224799</v>
      </c>
    </row>
    <row r="788" spans="1:19" x14ac:dyDescent="0.25">
      <c r="A788">
        <v>21</v>
      </c>
      <c r="B788">
        <v>185</v>
      </c>
      <c r="C788">
        <v>72</v>
      </c>
      <c r="D788" t="s">
        <v>21</v>
      </c>
      <c r="E788">
        <v>9.1629627744834394</v>
      </c>
      <c r="F788">
        <v>27</v>
      </c>
      <c r="G788">
        <v>4</v>
      </c>
      <c r="H788">
        <v>74.605146910504601</v>
      </c>
      <c r="I788">
        <v>81.325589544012004</v>
      </c>
      <c r="J788">
        <v>280.047020058626</v>
      </c>
      <c r="K788">
        <v>61.930897821220903</v>
      </c>
      <c r="L788">
        <v>5.9628294657053997</v>
      </c>
      <c r="M788">
        <v>72.726160137098304</v>
      </c>
      <c r="N788">
        <v>7.3968215114763698</v>
      </c>
      <c r="O788">
        <v>66.259469119356098</v>
      </c>
      <c r="P788">
        <v>74.876891885625497</v>
      </c>
      <c r="Q788">
        <v>0</v>
      </c>
      <c r="R788">
        <v>1</v>
      </c>
      <c r="S788">
        <v>21.037253469685901</v>
      </c>
    </row>
    <row r="789" spans="1:19" x14ac:dyDescent="0.25">
      <c r="A789">
        <v>20</v>
      </c>
      <c r="B789">
        <v>181</v>
      </c>
      <c r="C789">
        <v>88</v>
      </c>
      <c r="D789" t="s">
        <v>21</v>
      </c>
      <c r="E789">
        <v>11.292128570848501</v>
      </c>
      <c r="F789">
        <v>14</v>
      </c>
      <c r="G789">
        <v>1</v>
      </c>
      <c r="H789">
        <v>78.152967038191505</v>
      </c>
      <c r="I789">
        <v>87.386102057740402</v>
      </c>
      <c r="J789">
        <v>286.06089396173297</v>
      </c>
      <c r="K789">
        <v>90.225836695498899</v>
      </c>
      <c r="L789">
        <v>5.6851975885962496</v>
      </c>
      <c r="M789">
        <v>84.200174550377596</v>
      </c>
      <c r="N789">
        <v>7.3997820539774599</v>
      </c>
      <c r="O789">
        <v>34.031240609737303</v>
      </c>
      <c r="P789">
        <v>62.667537247609197</v>
      </c>
      <c r="Q789">
        <v>1</v>
      </c>
      <c r="R789">
        <v>0</v>
      </c>
      <c r="S789">
        <v>26.861206922865598</v>
      </c>
    </row>
    <row r="790" spans="1:19" x14ac:dyDescent="0.25">
      <c r="A790">
        <v>21</v>
      </c>
      <c r="B790">
        <v>174</v>
      </c>
      <c r="C790">
        <v>80</v>
      </c>
      <c r="D790" t="s">
        <v>19</v>
      </c>
      <c r="E790">
        <v>7.6603922281425003</v>
      </c>
      <c r="F790">
        <v>10</v>
      </c>
      <c r="G790">
        <v>1</v>
      </c>
      <c r="H790">
        <v>70.206594697956405</v>
      </c>
      <c r="I790">
        <v>69.363689895807298</v>
      </c>
      <c r="J790">
        <v>276.13823010803799</v>
      </c>
      <c r="K790">
        <v>74.842512058473503</v>
      </c>
      <c r="L790">
        <v>5.2940045087605503</v>
      </c>
      <c r="M790">
        <v>68.935330654938895</v>
      </c>
      <c r="N790">
        <v>7.5353436397055704</v>
      </c>
      <c r="O790">
        <v>42.766541966944096</v>
      </c>
      <c r="P790">
        <v>68.041834944954999</v>
      </c>
      <c r="Q790">
        <v>0</v>
      </c>
      <c r="R790">
        <v>1</v>
      </c>
      <c r="S790">
        <v>26.423569824283199</v>
      </c>
    </row>
    <row r="791" spans="1:19" x14ac:dyDescent="0.25">
      <c r="A791">
        <v>21</v>
      </c>
      <c r="B791">
        <v>172</v>
      </c>
      <c r="C791">
        <v>91</v>
      </c>
      <c r="D791" t="s">
        <v>20</v>
      </c>
      <c r="E791">
        <v>7.7146753980863796</v>
      </c>
      <c r="F791">
        <v>39</v>
      </c>
      <c r="G791">
        <v>4</v>
      </c>
      <c r="H791">
        <v>70.587522618266803</v>
      </c>
      <c r="I791">
        <v>64.434833051556694</v>
      </c>
      <c r="J791">
        <v>257.972455619291</v>
      </c>
      <c r="K791">
        <v>73.362189418101195</v>
      </c>
      <c r="L791">
        <v>6.1147198063033699</v>
      </c>
      <c r="M791">
        <v>73.042431440037305</v>
      </c>
      <c r="N791">
        <v>6.2886242126757601</v>
      </c>
      <c r="O791">
        <v>56.651192479403903</v>
      </c>
      <c r="P791">
        <v>78.604738123711499</v>
      </c>
      <c r="Q791">
        <v>1</v>
      </c>
      <c r="R791">
        <v>1</v>
      </c>
      <c r="S791">
        <v>30.7598702001081</v>
      </c>
    </row>
    <row r="792" spans="1:19" x14ac:dyDescent="0.25">
      <c r="A792">
        <v>22</v>
      </c>
      <c r="B792">
        <v>165</v>
      </c>
      <c r="C792">
        <v>91</v>
      </c>
      <c r="D792" t="s">
        <v>20</v>
      </c>
      <c r="E792">
        <v>10.380341143105399</v>
      </c>
      <c r="F792">
        <v>33</v>
      </c>
      <c r="G792">
        <v>0</v>
      </c>
      <c r="H792">
        <v>78.789353778148495</v>
      </c>
      <c r="I792">
        <v>83.184336830604806</v>
      </c>
      <c r="J792">
        <v>243.74049641807301</v>
      </c>
      <c r="K792">
        <v>90.058561666088906</v>
      </c>
      <c r="L792">
        <v>6.4479634257071101</v>
      </c>
      <c r="M792">
        <v>84.347563273944999</v>
      </c>
      <c r="N792">
        <v>8.5125136849271499</v>
      </c>
      <c r="O792">
        <v>32.854776917021397</v>
      </c>
      <c r="P792">
        <v>66.566416619017104</v>
      </c>
      <c r="Q792">
        <v>1</v>
      </c>
      <c r="R792">
        <v>0</v>
      </c>
      <c r="S792">
        <v>33.425160697887897</v>
      </c>
    </row>
    <row r="793" spans="1:19" x14ac:dyDescent="0.25">
      <c r="A793">
        <v>22</v>
      </c>
      <c r="B793">
        <v>176</v>
      </c>
      <c r="C793">
        <v>64</v>
      </c>
      <c r="D793" t="s">
        <v>19</v>
      </c>
      <c r="E793">
        <v>10.3109226836646</v>
      </c>
      <c r="F793">
        <v>12</v>
      </c>
      <c r="G793">
        <v>8</v>
      </c>
      <c r="H793">
        <v>72.835611996311897</v>
      </c>
      <c r="I793">
        <v>68.084009704498001</v>
      </c>
      <c r="J793">
        <v>262.94082462939099</v>
      </c>
      <c r="K793">
        <v>77.426225819534196</v>
      </c>
      <c r="L793">
        <v>6.5118268493610598</v>
      </c>
      <c r="M793">
        <v>78.462913990579096</v>
      </c>
      <c r="N793">
        <v>8.0364969562693105</v>
      </c>
      <c r="O793">
        <v>56.8439476583237</v>
      </c>
      <c r="P793">
        <v>78.416412432770201</v>
      </c>
      <c r="Q793">
        <v>0</v>
      </c>
      <c r="R793">
        <v>1</v>
      </c>
      <c r="S793">
        <v>20.661157024793301</v>
      </c>
    </row>
    <row r="794" spans="1:19" x14ac:dyDescent="0.25">
      <c r="A794">
        <v>22</v>
      </c>
      <c r="B794">
        <v>177</v>
      </c>
      <c r="C794">
        <v>47</v>
      </c>
      <c r="D794" t="s">
        <v>19</v>
      </c>
      <c r="E794">
        <v>8.6555782934863306</v>
      </c>
      <c r="F794">
        <v>5</v>
      </c>
      <c r="G794">
        <v>2</v>
      </c>
      <c r="H794">
        <v>78.407460652594693</v>
      </c>
      <c r="I794">
        <v>70.448078158627297</v>
      </c>
      <c r="J794">
        <v>245.27916047895201</v>
      </c>
      <c r="K794">
        <v>92.705115693524107</v>
      </c>
      <c r="L794">
        <v>5.9462745779687403</v>
      </c>
      <c r="M794">
        <v>85.762187574943695</v>
      </c>
      <c r="N794">
        <v>8.1991870861269494</v>
      </c>
      <c r="O794">
        <v>60.006854606277301</v>
      </c>
      <c r="P794">
        <v>78.966523765737094</v>
      </c>
      <c r="Q794">
        <v>1</v>
      </c>
      <c r="R794">
        <v>0</v>
      </c>
      <c r="S794">
        <v>15.002074755019301</v>
      </c>
    </row>
    <row r="795" spans="1:19" x14ac:dyDescent="0.25">
      <c r="A795">
        <v>20</v>
      </c>
      <c r="B795">
        <v>191</v>
      </c>
      <c r="C795">
        <v>63</v>
      </c>
      <c r="D795" t="s">
        <v>19</v>
      </c>
      <c r="E795">
        <v>16.3361071559689</v>
      </c>
      <c r="F795">
        <v>10</v>
      </c>
      <c r="G795">
        <v>4</v>
      </c>
      <c r="H795">
        <v>70.587857370838805</v>
      </c>
      <c r="I795">
        <v>78.240400456540101</v>
      </c>
      <c r="J795">
        <v>280.47756318793398</v>
      </c>
      <c r="K795">
        <v>78.815193173003394</v>
      </c>
      <c r="L795">
        <v>5.9627153038877099</v>
      </c>
      <c r="M795">
        <v>74.714351269079899</v>
      </c>
      <c r="N795">
        <v>7.1202031572969897</v>
      </c>
      <c r="O795">
        <v>79.654042301510003</v>
      </c>
      <c r="P795">
        <v>74.142989199789696</v>
      </c>
      <c r="Q795">
        <v>1</v>
      </c>
      <c r="R795">
        <v>1</v>
      </c>
      <c r="S795">
        <v>17.269263452207898</v>
      </c>
    </row>
    <row r="796" spans="1:19" x14ac:dyDescent="0.25">
      <c r="A796">
        <v>24</v>
      </c>
      <c r="B796">
        <v>182</v>
      </c>
      <c r="C796">
        <v>61</v>
      </c>
      <c r="D796" t="s">
        <v>19</v>
      </c>
      <c r="E796">
        <v>10.2135319514459</v>
      </c>
      <c r="F796">
        <v>18</v>
      </c>
      <c r="G796">
        <v>1</v>
      </c>
      <c r="H796">
        <v>78.049273061570403</v>
      </c>
      <c r="I796">
        <v>82.046304591596595</v>
      </c>
      <c r="J796">
        <v>223.880218141087</v>
      </c>
      <c r="K796">
        <v>96.912326738276505</v>
      </c>
      <c r="L796">
        <v>6.0407434884177604</v>
      </c>
      <c r="M796">
        <v>84.482399436814902</v>
      </c>
      <c r="N796">
        <v>8.5941575370473497</v>
      </c>
      <c r="O796">
        <v>49.984454112722503</v>
      </c>
      <c r="P796">
        <v>76.425750009017705</v>
      </c>
      <c r="Q796">
        <v>0</v>
      </c>
      <c r="R796">
        <v>0</v>
      </c>
      <c r="S796">
        <v>18.415650283782099</v>
      </c>
    </row>
    <row r="797" spans="1:19" x14ac:dyDescent="0.25">
      <c r="A797">
        <v>22</v>
      </c>
      <c r="B797">
        <v>182</v>
      </c>
      <c r="C797">
        <v>63</v>
      </c>
      <c r="D797" t="s">
        <v>22</v>
      </c>
      <c r="E797">
        <v>10.624037013063701</v>
      </c>
      <c r="F797">
        <v>33</v>
      </c>
      <c r="G797">
        <v>1</v>
      </c>
      <c r="H797">
        <v>72.678399960506496</v>
      </c>
      <c r="I797">
        <v>84.620355128760394</v>
      </c>
      <c r="J797">
        <v>240.117111023446</v>
      </c>
      <c r="K797">
        <v>74.372626752521796</v>
      </c>
      <c r="L797">
        <v>5.7895107790166103</v>
      </c>
      <c r="M797">
        <v>78.812645031206699</v>
      </c>
      <c r="N797">
        <v>7.6315469308306803</v>
      </c>
      <c r="O797">
        <v>70.472111634928197</v>
      </c>
      <c r="P797">
        <v>78.7958648407064</v>
      </c>
      <c r="Q797">
        <v>0</v>
      </c>
      <c r="R797">
        <v>1</v>
      </c>
      <c r="S797">
        <v>19.019442096365101</v>
      </c>
    </row>
    <row r="798" spans="1:19" x14ac:dyDescent="0.25">
      <c r="A798">
        <v>21</v>
      </c>
      <c r="B798">
        <v>181</v>
      </c>
      <c r="C798">
        <v>66</v>
      </c>
      <c r="D798" t="s">
        <v>21</v>
      </c>
      <c r="E798">
        <v>9.7328419738916505</v>
      </c>
      <c r="F798">
        <v>11</v>
      </c>
      <c r="G798">
        <v>2</v>
      </c>
      <c r="H798">
        <v>67.290643790851604</v>
      </c>
      <c r="I798">
        <v>70.726744670238602</v>
      </c>
      <c r="J798">
        <v>260.34111772698202</v>
      </c>
      <c r="K798">
        <v>85.392131957061693</v>
      </c>
      <c r="L798">
        <v>5.59187427501959</v>
      </c>
      <c r="M798">
        <v>81.302512863089802</v>
      </c>
      <c r="N798">
        <v>7.6762960955952897</v>
      </c>
      <c r="O798">
        <v>67.209292725627193</v>
      </c>
      <c r="P798">
        <v>79.008597313741504</v>
      </c>
      <c r="Q798">
        <v>1</v>
      </c>
      <c r="R798">
        <v>1</v>
      </c>
      <c r="S798">
        <v>20.145905192149201</v>
      </c>
    </row>
    <row r="799" spans="1:19" x14ac:dyDescent="0.25">
      <c r="A799">
        <v>24</v>
      </c>
      <c r="B799">
        <v>182</v>
      </c>
      <c r="C799">
        <v>75</v>
      </c>
      <c r="D799" t="s">
        <v>22</v>
      </c>
      <c r="E799">
        <v>5.4943181814642204</v>
      </c>
      <c r="F799">
        <v>17</v>
      </c>
      <c r="G799">
        <v>3</v>
      </c>
      <c r="H799">
        <v>81.164089366062001</v>
      </c>
      <c r="I799">
        <v>83.486770799946001</v>
      </c>
      <c r="J799">
        <v>264.19265734534702</v>
      </c>
      <c r="K799">
        <v>84.031045676699193</v>
      </c>
      <c r="L799">
        <v>5.4667712851055201</v>
      </c>
      <c r="M799">
        <v>69.857953659515303</v>
      </c>
      <c r="N799">
        <v>6.7980352439748701</v>
      </c>
      <c r="O799">
        <v>78.213352854535898</v>
      </c>
      <c r="P799">
        <v>74.379626151482398</v>
      </c>
      <c r="Q799">
        <v>0</v>
      </c>
      <c r="R799">
        <v>1</v>
      </c>
      <c r="S799">
        <v>22.642192971863299</v>
      </c>
    </row>
    <row r="800" spans="1:19" x14ac:dyDescent="0.25">
      <c r="A800">
        <v>20</v>
      </c>
      <c r="B800">
        <v>188</v>
      </c>
      <c r="C800">
        <v>86</v>
      </c>
      <c r="D800" t="s">
        <v>22</v>
      </c>
      <c r="E800">
        <v>10.303922903050101</v>
      </c>
      <c r="F800">
        <v>35</v>
      </c>
      <c r="G800">
        <v>1</v>
      </c>
      <c r="H800">
        <v>71.184900779815806</v>
      </c>
      <c r="I800">
        <v>85.585049821448706</v>
      </c>
      <c r="J800">
        <v>204.446478387052</v>
      </c>
      <c r="K800">
        <v>84.417342254948394</v>
      </c>
      <c r="L800">
        <v>6.5439956922876403</v>
      </c>
      <c r="M800">
        <v>73.459174236729794</v>
      </c>
      <c r="N800">
        <v>8.8464762073186307</v>
      </c>
      <c r="O800">
        <v>50.906356189600402</v>
      </c>
      <c r="P800">
        <v>70.320367234116802</v>
      </c>
      <c r="Q800">
        <v>1</v>
      </c>
      <c r="R800">
        <v>0</v>
      </c>
      <c r="S800">
        <v>24.3322770484382</v>
      </c>
    </row>
    <row r="801" spans="1:19" x14ac:dyDescent="0.25">
      <c r="A801">
        <v>22</v>
      </c>
      <c r="B801">
        <v>186</v>
      </c>
      <c r="C801">
        <v>73</v>
      </c>
      <c r="D801" t="s">
        <v>19</v>
      </c>
      <c r="E801">
        <v>9.8153678383553</v>
      </c>
      <c r="F801">
        <v>15</v>
      </c>
      <c r="G801">
        <v>1</v>
      </c>
      <c r="H801">
        <v>59.709612781299199</v>
      </c>
      <c r="I801">
        <v>72.966691898212304</v>
      </c>
      <c r="J801">
        <v>255.770337416442</v>
      </c>
      <c r="K801">
        <v>84.186100375893204</v>
      </c>
      <c r="L801">
        <v>5.8792011487827098</v>
      </c>
      <c r="M801">
        <v>67.491524812003206</v>
      </c>
      <c r="N801">
        <v>8.1096296938322006</v>
      </c>
      <c r="O801">
        <v>65.504117104456</v>
      </c>
      <c r="P801">
        <v>68.115948846932696</v>
      </c>
      <c r="Q801">
        <v>0</v>
      </c>
      <c r="R801">
        <v>1</v>
      </c>
      <c r="S801">
        <v>21.100705283847802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CDCC0-E884-4018-B1AC-0993E291D7EB}">
  <dimension ref="A1:W801"/>
  <sheetViews>
    <sheetView topLeftCell="A4" zoomScale="80" zoomScaleNormal="80" workbookViewId="0">
      <selection activeCell="M37" sqref="M37"/>
    </sheetView>
  </sheetViews>
  <sheetFormatPr defaultRowHeight="15" x14ac:dyDescent="0.25"/>
  <cols>
    <col min="1" max="1" width="6.140625" style="6" customWidth="1"/>
    <col min="2" max="2" width="10.5703125" style="8" customWidth="1"/>
    <col min="3" max="3" width="7.7109375" customWidth="1"/>
    <col min="4" max="4" width="6.42578125" customWidth="1"/>
    <col min="5" max="5" width="10.5703125" customWidth="1"/>
    <col min="6" max="6" width="9.42578125" style="3" customWidth="1"/>
    <col min="7" max="7" width="8.85546875" style="3" customWidth="1"/>
    <col min="8" max="8" width="6.28515625" customWidth="1"/>
    <col min="9" max="9" width="10.28515625" style="3" customWidth="1"/>
    <col min="10" max="10" width="8.42578125" style="3" customWidth="1"/>
    <col min="11" max="11" width="11.42578125" style="3" customWidth="1"/>
    <col min="12" max="12" width="8.28515625" style="3" customWidth="1"/>
    <col min="13" max="13" width="9.140625" style="3" customWidth="1"/>
    <col min="14" max="14" width="9.85546875" style="3" customWidth="1"/>
    <col min="15" max="15" width="9.42578125" style="3" customWidth="1"/>
    <col min="16" max="16" width="10.42578125" style="3" customWidth="1"/>
    <col min="17" max="17" width="8.85546875" style="3" customWidth="1"/>
    <col min="18" max="18" width="12.5703125" style="3" customWidth="1"/>
    <col min="19" max="19" width="7.85546875" customWidth="1"/>
    <col min="20" max="20" width="11.28515625" customWidth="1"/>
    <col min="21" max="21" width="7.42578125" customWidth="1"/>
    <col min="22" max="22" width="8" customWidth="1"/>
    <col min="23" max="23" width="9.140625" style="3"/>
  </cols>
  <sheetData>
    <row r="1" spans="1:23" x14ac:dyDescent="0.25">
      <c r="A1" s="6" t="s">
        <v>0</v>
      </c>
      <c r="B1" s="8" t="s">
        <v>53</v>
      </c>
      <c r="C1" t="s">
        <v>1</v>
      </c>
      <c r="D1" t="s">
        <v>2</v>
      </c>
      <c r="E1" t="s">
        <v>3</v>
      </c>
      <c r="F1" s="3" t="s">
        <v>4</v>
      </c>
      <c r="G1" s="3" t="s">
        <v>5</v>
      </c>
      <c r="H1" t="s">
        <v>6</v>
      </c>
      <c r="I1" s="3" t="s">
        <v>7</v>
      </c>
      <c r="J1" s="3" t="s">
        <v>8</v>
      </c>
      <c r="K1" s="3" t="s">
        <v>9</v>
      </c>
      <c r="L1" s="3" t="s">
        <v>10</v>
      </c>
      <c r="M1" s="3" t="s">
        <v>11</v>
      </c>
      <c r="N1" s="3" t="s">
        <v>12</v>
      </c>
      <c r="O1" s="3" t="s">
        <v>13</v>
      </c>
      <c r="P1" s="3" t="s">
        <v>14</v>
      </c>
      <c r="Q1" s="3" t="s">
        <v>15</v>
      </c>
      <c r="R1" s="3" t="s">
        <v>30</v>
      </c>
      <c r="S1" t="s">
        <v>16</v>
      </c>
      <c r="T1" t="s">
        <v>29</v>
      </c>
      <c r="U1" t="s">
        <v>17</v>
      </c>
      <c r="V1" t="s">
        <v>28</v>
      </c>
      <c r="W1" s="3" t="s">
        <v>18</v>
      </c>
    </row>
    <row r="2" spans="1:23" x14ac:dyDescent="0.25">
      <c r="A2" s="6">
        <v>22</v>
      </c>
      <c r="B2" s="8" t="str">
        <f>CONCATENATE(Table1[[#This Row],[Age]]," ", "years")</f>
        <v>22 years</v>
      </c>
      <c r="C2">
        <v>173</v>
      </c>
      <c r="D2">
        <v>64</v>
      </c>
      <c r="E2" t="s">
        <v>19</v>
      </c>
      <c r="F2" s="3">
        <v>11.575308026077099</v>
      </c>
      <c r="G2" s="3">
        <v>36</v>
      </c>
      <c r="H2">
        <v>1</v>
      </c>
      <c r="I2" s="3">
        <v>77.460279010038505</v>
      </c>
      <c r="J2" s="3">
        <v>79.115738177839503</v>
      </c>
      <c r="K2" s="3">
        <v>284.48785262294302</v>
      </c>
      <c r="L2" s="3">
        <v>91.212476285626707</v>
      </c>
      <c r="M2" s="3">
        <v>5.8746298990950896</v>
      </c>
      <c r="N2" s="3">
        <v>77.599705086405194</v>
      </c>
      <c r="O2" s="3">
        <v>8.2382930308722795</v>
      </c>
      <c r="P2" s="3">
        <v>46.616415208512102</v>
      </c>
      <c r="Q2" s="3">
        <v>81.472206064713504</v>
      </c>
      <c r="R2" s="3" t="str">
        <f>IF(Table1[[#This Row],[Nutrition_Quality_Score]]&lt;60, "Poor Nutrition",IF(AND(Table1[[#This Row],[Nutrition_Quality_Score]]&gt;=60,Table1[[#This Row],[Nutrition_Quality_Score]]&lt;=80),"Average Nutrition", "Good Nutrition"))</f>
        <v>Good Nutrition</v>
      </c>
      <c r="S2">
        <v>1</v>
      </c>
      <c r="T2" t="str">
        <f>IF(Table1[[#This Row],[Warmup_Routine_Adherence]]=1, "Adherent","Non-Adherent")</f>
        <v>Adherent</v>
      </c>
      <c r="U2">
        <v>0</v>
      </c>
      <c r="V2" t="str">
        <f>IF(Table1[[#This Row],[Injury_Next_Season]]=1, "Injury","No Injury")</f>
        <v>No Injury</v>
      </c>
      <c r="W2" s="3">
        <v>21.383941996057299</v>
      </c>
    </row>
    <row r="3" spans="1:23" x14ac:dyDescent="0.25">
      <c r="A3" s="6">
        <v>18</v>
      </c>
      <c r="B3" s="8" t="str">
        <f>CONCATENATE(Table1[[#This Row],[Age]]," ", "years")</f>
        <v>18 years</v>
      </c>
      <c r="C3">
        <v>170</v>
      </c>
      <c r="D3">
        <v>67</v>
      </c>
      <c r="E3" t="s">
        <v>19</v>
      </c>
      <c r="F3" s="3">
        <v>12.2758694501901</v>
      </c>
      <c r="G3" s="3">
        <v>37</v>
      </c>
      <c r="H3">
        <v>2</v>
      </c>
      <c r="I3" s="3">
        <v>72.634442260600906</v>
      </c>
      <c r="J3" s="3">
        <v>82.541687947786599</v>
      </c>
      <c r="K3" s="3">
        <v>250.57924940551601</v>
      </c>
      <c r="L3" s="3">
        <v>87.294078241387595</v>
      </c>
      <c r="M3" s="3">
        <v>5.7962693526143498</v>
      </c>
      <c r="N3" s="3">
        <v>94.418986937468503</v>
      </c>
      <c r="O3" s="3">
        <v>8.9837371932666201</v>
      </c>
      <c r="P3" s="3">
        <v>49.368036742293498</v>
      </c>
      <c r="Q3" s="3">
        <v>81.056676890143507</v>
      </c>
      <c r="R3" s="3" t="str">
        <f>IF(Table1[[#This Row],[Nutrition_Quality_Score]]&lt;60, "Poor Nutrition",IF(AND(Table1[[#This Row],[Nutrition_Quality_Score]]&gt;=60,Table1[[#This Row],[Nutrition_Quality_Score]]&lt;=80),"Average Nutrition", "Good Nutrition"))</f>
        <v>Good Nutrition</v>
      </c>
      <c r="S3">
        <v>1</v>
      </c>
      <c r="T3" t="str">
        <f>IF(Table1[[#This Row],[Warmup_Routine_Adherence]]=1, "Adherent","Non-Adherent")</f>
        <v>Adherent</v>
      </c>
      <c r="U3">
        <v>0</v>
      </c>
      <c r="V3" t="str">
        <f>IF(Table1[[#This Row],[Injury_Next_Season]]=1, "Injury","No Injury")</f>
        <v>No Injury</v>
      </c>
      <c r="W3" s="3">
        <v>23.183391003460201</v>
      </c>
    </row>
    <row r="4" spans="1:23" x14ac:dyDescent="0.25">
      <c r="A4" s="6">
        <v>22</v>
      </c>
      <c r="B4" s="8" t="str">
        <f>CONCATENATE(Table1[[#This Row],[Age]]," ", "years")</f>
        <v>22 years</v>
      </c>
      <c r="C4">
        <v>186</v>
      </c>
      <c r="D4">
        <v>75</v>
      </c>
      <c r="E4" t="s">
        <v>20</v>
      </c>
      <c r="F4" s="3">
        <v>12.2548956592083</v>
      </c>
      <c r="G4" s="3">
        <v>12</v>
      </c>
      <c r="H4">
        <v>2</v>
      </c>
      <c r="I4" s="3">
        <v>77.064489784147796</v>
      </c>
      <c r="J4" s="3">
        <v>75.943630535565703</v>
      </c>
      <c r="K4" s="3">
        <v>269.11991825792597</v>
      </c>
      <c r="L4" s="3">
        <v>83.440688470033294</v>
      </c>
      <c r="M4" s="3">
        <v>5.7312087561938201</v>
      </c>
      <c r="N4" s="3">
        <v>70.1791762962945</v>
      </c>
      <c r="O4" s="3">
        <v>7.2291926538447404</v>
      </c>
      <c r="P4" s="3">
        <v>43.132808041337199</v>
      </c>
      <c r="Q4" s="3">
        <v>64.877456880321105</v>
      </c>
      <c r="R4" s="3" t="str">
        <f>IF(Table1[[#This Row],[Nutrition_Quality_Score]]&lt;60, "Poor Nutrition",IF(AND(Table1[[#This Row],[Nutrition_Quality_Score]]&gt;=60,Table1[[#This Row],[Nutrition_Quality_Score]]&lt;=80),"Average Nutrition", "Good Nutrition"))</f>
        <v>Average Nutrition</v>
      </c>
      <c r="S4">
        <v>0</v>
      </c>
      <c r="T4" t="str">
        <f>IF(Table1[[#This Row],[Warmup_Routine_Adherence]]=1, "Adherent","Non-Adherent")</f>
        <v>Non-Adherent</v>
      </c>
      <c r="U4">
        <v>1</v>
      </c>
      <c r="V4" t="str">
        <f>IF(Table1[[#This Row],[Injury_Next_Season]]=1, "Injury","No Injury")</f>
        <v>Injury</v>
      </c>
      <c r="W4" s="3">
        <v>21.678806798473801</v>
      </c>
    </row>
    <row r="5" spans="1:23" x14ac:dyDescent="0.25">
      <c r="A5" s="6">
        <v>20</v>
      </c>
      <c r="B5" s="8" t="str">
        <f>CONCATENATE(Table1[[#This Row],[Age]]," ", "years")</f>
        <v>20 years</v>
      </c>
      <c r="C5">
        <v>172</v>
      </c>
      <c r="D5">
        <v>62</v>
      </c>
      <c r="E5" t="s">
        <v>21</v>
      </c>
      <c r="F5" s="3">
        <v>9.0066775661474097</v>
      </c>
      <c r="G5" s="3">
        <v>11</v>
      </c>
      <c r="H5">
        <v>1</v>
      </c>
      <c r="I5" s="3">
        <v>82.810231613515498</v>
      </c>
      <c r="J5" s="3">
        <v>73.878324442628099</v>
      </c>
      <c r="K5" s="3">
        <v>226.376411845321</v>
      </c>
      <c r="L5" s="3">
        <v>87.591893607081502</v>
      </c>
      <c r="M5" s="3">
        <v>6.2202122399298796</v>
      </c>
      <c r="N5" s="3">
        <v>83.473824124544706</v>
      </c>
      <c r="O5" s="3">
        <v>7.6810288088560803</v>
      </c>
      <c r="P5" s="3">
        <v>51.528529395795601</v>
      </c>
      <c r="Q5" s="3">
        <v>89.824743939365902</v>
      </c>
      <c r="R5" s="3" t="str">
        <f>IF(Table1[[#This Row],[Nutrition_Quality_Score]]&lt;60, "Poor Nutrition",IF(AND(Table1[[#This Row],[Nutrition_Quality_Score]]&gt;=60,Table1[[#This Row],[Nutrition_Quality_Score]]&lt;=80),"Average Nutrition", "Good Nutrition"))</f>
        <v>Good Nutrition</v>
      </c>
      <c r="S5">
        <v>1</v>
      </c>
      <c r="T5" t="str">
        <f>IF(Table1[[#This Row],[Warmup_Routine_Adherence]]=1, "Adherent","Non-Adherent")</f>
        <v>Adherent</v>
      </c>
      <c r="U5">
        <v>0</v>
      </c>
      <c r="V5" t="str">
        <f>IF(Table1[[#This Row],[Injury_Next_Season]]=1, "Injury","No Injury")</f>
        <v>No Injury</v>
      </c>
      <c r="W5" s="3">
        <v>20.957274202271499</v>
      </c>
    </row>
    <row r="6" spans="1:23" x14ac:dyDescent="0.25">
      <c r="A6" s="6">
        <v>18</v>
      </c>
      <c r="B6" s="8" t="str">
        <f>CONCATENATE(Table1[[#This Row],[Age]]," ", "years")</f>
        <v>18 years</v>
      </c>
      <c r="C6">
        <v>172</v>
      </c>
      <c r="D6">
        <v>94</v>
      </c>
      <c r="E6" t="s">
        <v>19</v>
      </c>
      <c r="F6" s="3">
        <v>12.6836675788936</v>
      </c>
      <c r="G6" s="3">
        <v>10</v>
      </c>
      <c r="H6">
        <v>2</v>
      </c>
      <c r="I6" s="3">
        <v>76.772859134508593</v>
      </c>
      <c r="J6" s="3">
        <v>76.653042625272093</v>
      </c>
      <c r="K6" s="3">
        <v>229.02104237848599</v>
      </c>
      <c r="L6" s="3">
        <v>83.125161410286594</v>
      </c>
      <c r="M6" s="3">
        <v>5.3859583180046604</v>
      </c>
      <c r="N6" s="3">
        <v>87.0372558304188</v>
      </c>
      <c r="O6" s="3">
        <v>6.7280905014596604</v>
      </c>
      <c r="P6" s="3">
        <v>52.379718098727501</v>
      </c>
      <c r="Q6" s="3">
        <v>71.569196845230607</v>
      </c>
      <c r="R6" s="3" t="str">
        <f>IF(Table1[[#This Row],[Nutrition_Quality_Score]]&lt;60, "Poor Nutrition",IF(AND(Table1[[#This Row],[Nutrition_Quality_Score]]&gt;=60,Table1[[#This Row],[Nutrition_Quality_Score]]&lt;=80),"Average Nutrition", "Good Nutrition"))</f>
        <v>Average Nutrition</v>
      </c>
      <c r="S6">
        <v>0</v>
      </c>
      <c r="T6" t="str">
        <f>IF(Table1[[#This Row],[Warmup_Routine_Adherence]]=1, "Adherent","Non-Adherent")</f>
        <v>Non-Adherent</v>
      </c>
      <c r="U6">
        <v>1</v>
      </c>
      <c r="V6" t="str">
        <f>IF(Table1[[#This Row],[Injury_Next_Season]]=1, "Injury","No Injury")</f>
        <v>Injury</v>
      </c>
      <c r="W6" s="3">
        <v>31.773931855056698</v>
      </c>
    </row>
    <row r="7" spans="1:23" x14ac:dyDescent="0.25">
      <c r="A7" s="6">
        <v>23</v>
      </c>
      <c r="B7" s="8" t="str">
        <f>CONCATENATE(Table1[[#This Row],[Age]]," ", "years")</f>
        <v>23 years</v>
      </c>
      <c r="C7">
        <v>189</v>
      </c>
      <c r="D7">
        <v>89</v>
      </c>
      <c r="E7" t="s">
        <v>22</v>
      </c>
      <c r="F7" s="3">
        <v>10.2629866401473</v>
      </c>
      <c r="G7" s="3">
        <v>31</v>
      </c>
      <c r="H7">
        <v>2</v>
      </c>
      <c r="I7" s="3">
        <v>78.450720132638907</v>
      </c>
      <c r="J7" s="3">
        <v>80.927983773225506</v>
      </c>
      <c r="K7" s="3">
        <v>265.80162314087198</v>
      </c>
      <c r="L7" s="3">
        <v>81.106338859813206</v>
      </c>
      <c r="M7" s="3">
        <v>6.3548695403679698</v>
      </c>
      <c r="N7" s="3">
        <v>86.418954281388807</v>
      </c>
      <c r="O7" s="3">
        <v>8.5380273653716294</v>
      </c>
      <c r="P7" s="3">
        <v>39.929697065494999</v>
      </c>
      <c r="Q7" s="3">
        <v>74.982475762831697</v>
      </c>
      <c r="R7" s="3" t="str">
        <f>IF(Table1[[#This Row],[Nutrition_Quality_Score]]&lt;60, "Poor Nutrition",IF(AND(Table1[[#This Row],[Nutrition_Quality_Score]]&gt;=60,Table1[[#This Row],[Nutrition_Quality_Score]]&lt;=80),"Average Nutrition", "Good Nutrition"))</f>
        <v>Average Nutrition</v>
      </c>
      <c r="S7">
        <v>1</v>
      </c>
      <c r="T7" t="str">
        <f>IF(Table1[[#This Row],[Warmup_Routine_Adherence]]=1, "Adherent","Non-Adherent")</f>
        <v>Adherent</v>
      </c>
      <c r="U7">
        <v>0</v>
      </c>
      <c r="V7" t="str">
        <f>IF(Table1[[#This Row],[Injury_Next_Season]]=1, "Injury","No Injury")</f>
        <v>No Injury</v>
      </c>
      <c r="W7" s="3">
        <v>24.915315920606901</v>
      </c>
    </row>
    <row r="8" spans="1:23" x14ac:dyDescent="0.25">
      <c r="A8" s="6">
        <v>22</v>
      </c>
      <c r="B8" s="8" t="str">
        <f>CONCATENATE(Table1[[#This Row],[Age]]," ", "years")</f>
        <v>22 years</v>
      </c>
      <c r="C8">
        <v>189</v>
      </c>
      <c r="D8">
        <v>71</v>
      </c>
      <c r="E8" t="s">
        <v>19</v>
      </c>
      <c r="F8" s="3">
        <v>8.0692875952232406</v>
      </c>
      <c r="G8" s="3">
        <v>5</v>
      </c>
      <c r="H8">
        <v>4</v>
      </c>
      <c r="I8" s="3">
        <v>63.045009439922197</v>
      </c>
      <c r="J8" s="3">
        <v>75.032029899406297</v>
      </c>
      <c r="K8" s="3">
        <v>269.099907386665</v>
      </c>
      <c r="L8" s="3">
        <v>76.787368826264</v>
      </c>
      <c r="M8" s="3">
        <v>6.4582974581131998</v>
      </c>
      <c r="N8" s="3">
        <v>65.179994521770396</v>
      </c>
      <c r="O8" s="3">
        <v>7.3393272021677296</v>
      </c>
      <c r="P8" s="3">
        <v>75.039112208657798</v>
      </c>
      <c r="Q8" s="3">
        <v>65.790191596277893</v>
      </c>
      <c r="R8" s="3" t="str">
        <f>IF(Table1[[#This Row],[Nutrition_Quality_Score]]&lt;60, "Poor Nutrition",IF(AND(Table1[[#This Row],[Nutrition_Quality_Score]]&gt;=60,Table1[[#This Row],[Nutrition_Quality_Score]]&lt;=80),"Average Nutrition", "Good Nutrition"))</f>
        <v>Average Nutrition</v>
      </c>
      <c r="S8">
        <v>0</v>
      </c>
      <c r="T8" t="str">
        <f>IF(Table1[[#This Row],[Warmup_Routine_Adherence]]=1, "Adherent","Non-Adherent")</f>
        <v>Non-Adherent</v>
      </c>
      <c r="U8">
        <v>1</v>
      </c>
      <c r="V8" t="str">
        <f>IF(Table1[[#This Row],[Injury_Next_Season]]=1, "Injury","No Injury")</f>
        <v>Injury</v>
      </c>
      <c r="W8" s="3">
        <v>19.876263262506601</v>
      </c>
    </row>
    <row r="9" spans="1:23" x14ac:dyDescent="0.25">
      <c r="A9" s="6">
        <v>23</v>
      </c>
      <c r="B9" s="8" t="str">
        <f>CONCATENATE(Table1[[#This Row],[Age]]," ", "years")</f>
        <v>23 years</v>
      </c>
      <c r="C9">
        <v>184</v>
      </c>
      <c r="D9">
        <v>75</v>
      </c>
      <c r="E9" t="s">
        <v>22</v>
      </c>
      <c r="F9" s="3">
        <v>6.4079385284955199</v>
      </c>
      <c r="G9" s="3">
        <v>26</v>
      </c>
      <c r="H9">
        <v>0</v>
      </c>
      <c r="I9" s="3">
        <v>77.566677371043099</v>
      </c>
      <c r="J9" s="3">
        <v>76.9472131502813</v>
      </c>
      <c r="K9" s="3">
        <v>226.96643119773</v>
      </c>
      <c r="L9" s="3">
        <v>93.317382345596698</v>
      </c>
      <c r="M9" s="3">
        <v>6.1614602501356899</v>
      </c>
      <c r="N9" s="3">
        <v>79.260416808803996</v>
      </c>
      <c r="O9" s="3">
        <v>8.0728946383717108</v>
      </c>
      <c r="P9" s="3">
        <v>25.783370953475</v>
      </c>
      <c r="Q9" s="3">
        <v>89.782578445675995</v>
      </c>
      <c r="R9" s="3" t="str">
        <f>IF(Table1[[#This Row],[Nutrition_Quality_Score]]&lt;60, "Poor Nutrition",IF(AND(Table1[[#This Row],[Nutrition_Quality_Score]]&gt;=60,Table1[[#This Row],[Nutrition_Quality_Score]]&lt;=80),"Average Nutrition", "Good Nutrition"))</f>
        <v>Good Nutrition</v>
      </c>
      <c r="S9">
        <v>0</v>
      </c>
      <c r="T9" t="str">
        <f>IF(Table1[[#This Row],[Warmup_Routine_Adherence]]=1, "Adherent","Non-Adherent")</f>
        <v>Non-Adherent</v>
      </c>
      <c r="U9">
        <v>0</v>
      </c>
      <c r="V9" t="str">
        <f>IF(Table1[[#This Row],[Injury_Next_Season]]=1, "Injury","No Injury")</f>
        <v>No Injury</v>
      </c>
      <c r="W9" s="3">
        <v>22.152646502835498</v>
      </c>
    </row>
    <row r="10" spans="1:23" x14ac:dyDescent="0.25">
      <c r="A10" s="6">
        <v>22</v>
      </c>
      <c r="B10" s="8" t="str">
        <f>CONCATENATE(Table1[[#This Row],[Age]]," ", "years")</f>
        <v>22 years</v>
      </c>
      <c r="C10">
        <v>174</v>
      </c>
      <c r="D10">
        <v>71</v>
      </c>
      <c r="E10" t="s">
        <v>19</v>
      </c>
      <c r="F10" s="3">
        <v>10.5549305034439</v>
      </c>
      <c r="G10" s="3">
        <v>23</v>
      </c>
      <c r="H10">
        <v>0</v>
      </c>
      <c r="I10" s="3">
        <v>78.877904576825401</v>
      </c>
      <c r="J10" s="3">
        <v>89.584501314210698</v>
      </c>
      <c r="K10" s="3">
        <v>240.74505444451901</v>
      </c>
      <c r="L10" s="3">
        <v>80.898574611393798</v>
      </c>
      <c r="M10" s="3">
        <v>6.1992810745419398</v>
      </c>
      <c r="N10" s="3">
        <v>77.152290278632194</v>
      </c>
      <c r="O10" s="3">
        <v>7.6611897190133096</v>
      </c>
      <c r="P10" s="3">
        <v>52.581600212718598</v>
      </c>
      <c r="Q10" s="3">
        <v>78.587201059790004</v>
      </c>
      <c r="R10" s="3" t="str">
        <f>IF(Table1[[#This Row],[Nutrition_Quality_Score]]&lt;60, "Poor Nutrition",IF(AND(Table1[[#This Row],[Nutrition_Quality_Score]]&gt;=60,Table1[[#This Row],[Nutrition_Quality_Score]]&lt;=80),"Average Nutrition", "Good Nutrition"))</f>
        <v>Average Nutrition</v>
      </c>
      <c r="S10">
        <v>1</v>
      </c>
      <c r="T10" t="str">
        <f>IF(Table1[[#This Row],[Warmup_Routine_Adherence]]=1, "Adherent","Non-Adherent")</f>
        <v>Adherent</v>
      </c>
      <c r="U10">
        <v>0</v>
      </c>
      <c r="V10" t="str">
        <f>IF(Table1[[#This Row],[Injury_Next_Season]]=1, "Injury","No Injury")</f>
        <v>No Injury</v>
      </c>
      <c r="W10" s="3">
        <v>23.450918219051299</v>
      </c>
    </row>
    <row r="11" spans="1:23" x14ac:dyDescent="0.25">
      <c r="A11" s="6">
        <v>23</v>
      </c>
      <c r="B11" s="8" t="str">
        <f>CONCATENATE(Table1[[#This Row],[Age]]," ", "years")</f>
        <v>23 years</v>
      </c>
      <c r="C11">
        <v>185</v>
      </c>
      <c r="D11">
        <v>76</v>
      </c>
      <c r="E11" t="s">
        <v>19</v>
      </c>
      <c r="F11" s="3">
        <v>11.899731741816399</v>
      </c>
      <c r="G11" s="3">
        <v>22</v>
      </c>
      <c r="H11">
        <v>0</v>
      </c>
      <c r="I11" s="3">
        <v>83.194761398675496</v>
      </c>
      <c r="J11" s="3">
        <v>82.244363993279194</v>
      </c>
      <c r="K11" s="3">
        <v>259.62816144592898</v>
      </c>
      <c r="L11" s="3">
        <v>89.077577028617299</v>
      </c>
      <c r="M11" s="3">
        <v>6.2066942932407398</v>
      </c>
      <c r="N11" s="3">
        <v>90.396479616578105</v>
      </c>
      <c r="O11" s="3">
        <v>6.0355046991021197</v>
      </c>
      <c r="P11" s="3">
        <v>55.049721939951098</v>
      </c>
      <c r="Q11" s="3">
        <v>83.947948935827</v>
      </c>
      <c r="R11" s="3" t="str">
        <f>IF(Table1[[#This Row],[Nutrition_Quality_Score]]&lt;60, "Poor Nutrition",IF(AND(Table1[[#This Row],[Nutrition_Quality_Score]]&gt;=60,Table1[[#This Row],[Nutrition_Quality_Score]]&lt;=80),"Average Nutrition", "Good Nutrition"))</f>
        <v>Good Nutrition</v>
      </c>
      <c r="S11">
        <v>1</v>
      </c>
      <c r="T11" t="str">
        <f>IF(Table1[[#This Row],[Warmup_Routine_Adherence]]=1, "Adherent","Non-Adherent")</f>
        <v>Adherent</v>
      </c>
      <c r="U11">
        <v>0</v>
      </c>
      <c r="V11" t="str">
        <f>IF(Table1[[#This Row],[Injury_Next_Season]]=1, "Injury","No Injury")</f>
        <v>No Injury</v>
      </c>
      <c r="W11" s="3">
        <v>22.205989773557299</v>
      </c>
    </row>
    <row r="12" spans="1:23" x14ac:dyDescent="0.25">
      <c r="A12" s="6">
        <v>18</v>
      </c>
      <c r="B12" s="8" t="str">
        <f>CONCATENATE(Table1[[#This Row],[Age]]," ", "years")</f>
        <v>18 years</v>
      </c>
      <c r="C12">
        <v>178</v>
      </c>
      <c r="D12">
        <v>62</v>
      </c>
      <c r="E12" t="s">
        <v>20</v>
      </c>
      <c r="F12" s="3">
        <v>7.8848486177619801</v>
      </c>
      <c r="G12" s="3">
        <v>29</v>
      </c>
      <c r="H12">
        <v>4</v>
      </c>
      <c r="I12" s="3">
        <v>78.714829833067498</v>
      </c>
      <c r="J12" s="3">
        <v>74.726305717489694</v>
      </c>
      <c r="K12" s="3">
        <v>264.04754574334902</v>
      </c>
      <c r="L12" s="3">
        <v>74.261621932457501</v>
      </c>
      <c r="M12" s="3">
        <v>6.0746199043811302</v>
      </c>
      <c r="N12" s="3">
        <v>80.813246791005696</v>
      </c>
      <c r="O12" s="3">
        <v>8.2874599702316996</v>
      </c>
      <c r="P12" s="3">
        <v>77.7288531752626</v>
      </c>
      <c r="Q12" s="3">
        <v>63.488951492664</v>
      </c>
      <c r="R12" s="3" t="str">
        <f>IF(Table1[[#This Row],[Nutrition_Quality_Score]]&lt;60, "Poor Nutrition",IF(AND(Table1[[#This Row],[Nutrition_Quality_Score]]&gt;=60,Table1[[#This Row],[Nutrition_Quality_Score]]&lt;=80),"Average Nutrition", "Good Nutrition"))</f>
        <v>Average Nutrition</v>
      </c>
      <c r="S12">
        <v>1</v>
      </c>
      <c r="T12" t="str">
        <f>IF(Table1[[#This Row],[Warmup_Routine_Adherence]]=1, "Adherent","Non-Adherent")</f>
        <v>Adherent</v>
      </c>
      <c r="U12">
        <v>1</v>
      </c>
      <c r="V12" t="str">
        <f>IF(Table1[[#This Row],[Injury_Next_Season]]=1, "Injury","No Injury")</f>
        <v>Injury</v>
      </c>
      <c r="W12" s="3">
        <v>19.5682363337962</v>
      </c>
    </row>
    <row r="13" spans="1:23" x14ac:dyDescent="0.25">
      <c r="A13" s="6">
        <v>19</v>
      </c>
      <c r="B13" s="8" t="str">
        <f>CONCATENATE(Table1[[#This Row],[Age]]," ", "years")</f>
        <v>19 years</v>
      </c>
      <c r="C13">
        <v>188</v>
      </c>
      <c r="D13">
        <v>81</v>
      </c>
      <c r="E13" t="s">
        <v>21</v>
      </c>
      <c r="F13" s="3">
        <v>11.1325682105404</v>
      </c>
      <c r="G13" s="3">
        <v>16</v>
      </c>
      <c r="H13">
        <v>1</v>
      </c>
      <c r="I13" s="3">
        <v>67.936757957387599</v>
      </c>
      <c r="J13" s="3">
        <v>76.301272701324706</v>
      </c>
      <c r="K13" s="3">
        <v>269.81123204269397</v>
      </c>
      <c r="L13" s="3">
        <v>74.462333502943395</v>
      </c>
      <c r="M13" s="3">
        <v>5.66107810604443</v>
      </c>
      <c r="N13" s="3">
        <v>74.857101372821504</v>
      </c>
      <c r="O13" s="3">
        <v>6.5181126772361999</v>
      </c>
      <c r="P13" s="3">
        <v>60.335046063987797</v>
      </c>
      <c r="Q13" s="3">
        <v>59.963239176885999</v>
      </c>
      <c r="R13" s="3" t="str">
        <f>IF(Table1[[#This Row],[Nutrition_Quality_Score]]&lt;60, "Poor Nutrition",IF(AND(Table1[[#This Row],[Nutrition_Quality_Score]]&gt;=60,Table1[[#This Row],[Nutrition_Quality_Score]]&lt;=80),"Average Nutrition", "Good Nutrition"))</f>
        <v>Poor Nutrition</v>
      </c>
      <c r="S13">
        <v>0</v>
      </c>
      <c r="T13" t="str">
        <f>IF(Table1[[#This Row],[Warmup_Routine_Adherence]]=1, "Adherent","Non-Adherent")</f>
        <v>Non-Adherent</v>
      </c>
      <c r="U13">
        <v>1</v>
      </c>
      <c r="V13" t="str">
        <f>IF(Table1[[#This Row],[Injury_Next_Season]]=1, "Injury","No Injury")</f>
        <v>Injury</v>
      </c>
      <c r="W13" s="3">
        <v>22.9176097781801</v>
      </c>
    </row>
    <row r="14" spans="1:23" x14ac:dyDescent="0.25">
      <c r="A14" s="6">
        <v>18</v>
      </c>
      <c r="B14" s="8" t="str">
        <f>CONCATENATE(Table1[[#This Row],[Age]]," ", "years")</f>
        <v>18 years</v>
      </c>
      <c r="C14">
        <v>183</v>
      </c>
      <c r="D14">
        <v>72</v>
      </c>
      <c r="E14" t="s">
        <v>19</v>
      </c>
      <c r="F14" s="3">
        <v>13.3440935915292</v>
      </c>
      <c r="G14" s="3">
        <v>12</v>
      </c>
      <c r="H14">
        <v>2</v>
      </c>
      <c r="I14" s="3">
        <v>79.477854721930797</v>
      </c>
      <c r="J14" s="3">
        <v>80.691881249397497</v>
      </c>
      <c r="K14" s="3">
        <v>259.18983004770899</v>
      </c>
      <c r="L14" s="3">
        <v>88.796646318203301</v>
      </c>
      <c r="M14" s="3">
        <v>6.1330460552522501</v>
      </c>
      <c r="N14" s="3">
        <v>79.846485684462095</v>
      </c>
      <c r="O14" s="3">
        <v>7.5273615773165403</v>
      </c>
      <c r="P14" s="3">
        <v>43.653777253489501</v>
      </c>
      <c r="Q14" s="3">
        <v>75.520237797554699</v>
      </c>
      <c r="R14" s="3" t="str">
        <f>IF(Table1[[#This Row],[Nutrition_Quality_Score]]&lt;60, "Poor Nutrition",IF(AND(Table1[[#This Row],[Nutrition_Quality_Score]]&gt;=60,Table1[[#This Row],[Nutrition_Quality_Score]]&lt;=80),"Average Nutrition", "Good Nutrition"))</f>
        <v>Average Nutrition</v>
      </c>
      <c r="S14">
        <v>1</v>
      </c>
      <c r="T14" t="str">
        <f>IF(Table1[[#This Row],[Warmup_Routine_Adherence]]=1, "Adherent","Non-Adherent")</f>
        <v>Adherent</v>
      </c>
      <c r="U14">
        <v>0</v>
      </c>
      <c r="V14" t="str">
        <f>IF(Table1[[#This Row],[Injury_Next_Season]]=1, "Injury","No Injury")</f>
        <v>No Injury</v>
      </c>
      <c r="W14" s="3">
        <v>21.4995968825584</v>
      </c>
    </row>
    <row r="15" spans="1:23" x14ac:dyDescent="0.25">
      <c r="A15" s="6">
        <v>19</v>
      </c>
      <c r="B15" s="8" t="str">
        <f>CONCATENATE(Table1[[#This Row],[Age]]," ", "years")</f>
        <v>19 years</v>
      </c>
      <c r="C15">
        <v>198</v>
      </c>
      <c r="D15">
        <v>75</v>
      </c>
      <c r="E15" t="s">
        <v>21</v>
      </c>
      <c r="F15" s="3">
        <v>10.026712326869299</v>
      </c>
      <c r="G15" s="3">
        <v>28</v>
      </c>
      <c r="H15">
        <v>2</v>
      </c>
      <c r="I15" s="3">
        <v>72.172302792465402</v>
      </c>
      <c r="J15" s="3">
        <v>75.804658382958195</v>
      </c>
      <c r="K15" s="3">
        <v>282.08164947929902</v>
      </c>
      <c r="L15" s="3">
        <v>82.108524612757705</v>
      </c>
      <c r="M15" s="3">
        <v>5.94792261240356</v>
      </c>
      <c r="N15" s="3">
        <v>71.881053777147201</v>
      </c>
      <c r="O15" s="3">
        <v>6.4525573561155003</v>
      </c>
      <c r="P15" s="3">
        <v>46.226068114309598</v>
      </c>
      <c r="Q15" s="3">
        <v>88.220704490575898</v>
      </c>
      <c r="R15" s="3" t="str">
        <f>IF(Table1[[#This Row],[Nutrition_Quality_Score]]&lt;60, "Poor Nutrition",IF(AND(Table1[[#This Row],[Nutrition_Quality_Score]]&gt;=60,Table1[[#This Row],[Nutrition_Quality_Score]]&lt;=80),"Average Nutrition", "Good Nutrition"))</f>
        <v>Good Nutrition</v>
      </c>
      <c r="S15">
        <v>1</v>
      </c>
      <c r="T15" t="str">
        <f>IF(Table1[[#This Row],[Warmup_Routine_Adherence]]=1, "Adherent","Non-Adherent")</f>
        <v>Adherent</v>
      </c>
      <c r="U15">
        <v>1</v>
      </c>
      <c r="V15" t="str">
        <f>IF(Table1[[#This Row],[Injury_Next_Season]]=1, "Injury","No Injury")</f>
        <v>Injury</v>
      </c>
      <c r="W15" s="3">
        <v>19.130700948882701</v>
      </c>
    </row>
    <row r="16" spans="1:23" x14ac:dyDescent="0.25">
      <c r="A16" s="6">
        <v>21</v>
      </c>
      <c r="B16" s="8" t="str">
        <f>CONCATENATE(Table1[[#This Row],[Age]]," ", "years")</f>
        <v>21 years</v>
      </c>
      <c r="C16">
        <v>181</v>
      </c>
      <c r="D16">
        <v>82</v>
      </c>
      <c r="E16" t="s">
        <v>21</v>
      </c>
      <c r="F16" s="3">
        <v>10.697365347398399</v>
      </c>
      <c r="G16" s="3">
        <v>20</v>
      </c>
      <c r="H16">
        <v>1</v>
      </c>
      <c r="I16" s="3">
        <v>74.311419706413702</v>
      </c>
      <c r="J16" s="3">
        <v>69.513526800522598</v>
      </c>
      <c r="K16" s="3">
        <v>276.56355262998397</v>
      </c>
      <c r="L16" s="3">
        <v>79.782254087689594</v>
      </c>
      <c r="M16" s="3">
        <v>6.1891327214525296</v>
      </c>
      <c r="N16" s="3">
        <v>83.618914346525202</v>
      </c>
      <c r="O16" s="3">
        <v>7.8843630253613304</v>
      </c>
      <c r="P16" s="3">
        <v>47.493992172018601</v>
      </c>
      <c r="Q16" s="3">
        <v>77.838180319715903</v>
      </c>
      <c r="R16" s="3" t="str">
        <f>IF(Table1[[#This Row],[Nutrition_Quality_Score]]&lt;60, "Poor Nutrition",IF(AND(Table1[[#This Row],[Nutrition_Quality_Score]]&gt;=60,Table1[[#This Row],[Nutrition_Quality_Score]]&lt;=80),"Average Nutrition", "Good Nutrition"))</f>
        <v>Average Nutrition</v>
      </c>
      <c r="S16">
        <v>1</v>
      </c>
      <c r="T16" t="str">
        <f>IF(Table1[[#This Row],[Warmup_Routine_Adherence]]=1, "Adherent","Non-Adherent")</f>
        <v>Adherent</v>
      </c>
      <c r="U16">
        <v>1</v>
      </c>
      <c r="V16" t="str">
        <f>IF(Table1[[#This Row],[Injury_Next_Season]]=1, "Injury","No Injury")</f>
        <v>Injury</v>
      </c>
      <c r="W16" s="3">
        <v>25.0297609963065</v>
      </c>
    </row>
    <row r="17" spans="1:23" x14ac:dyDescent="0.25">
      <c r="A17" s="6">
        <v>18</v>
      </c>
      <c r="B17" s="8" t="str">
        <f>CONCATENATE(Table1[[#This Row],[Age]]," ", "years")</f>
        <v>18 years</v>
      </c>
      <c r="C17">
        <v>174</v>
      </c>
      <c r="D17">
        <v>69</v>
      </c>
      <c r="E17" t="s">
        <v>19</v>
      </c>
      <c r="F17" s="3">
        <v>13.422844454599201</v>
      </c>
      <c r="G17" s="3">
        <v>36</v>
      </c>
      <c r="H17">
        <v>2</v>
      </c>
      <c r="I17" s="3">
        <v>66.709014376683896</v>
      </c>
      <c r="J17" s="3">
        <v>78.570402322529702</v>
      </c>
      <c r="K17" s="3">
        <v>265.14407812261197</v>
      </c>
      <c r="L17" s="3">
        <v>65.586739410876604</v>
      </c>
      <c r="M17" s="3">
        <v>6.1656192909221303</v>
      </c>
      <c r="N17" s="3">
        <v>76.818886564764597</v>
      </c>
      <c r="O17" s="3">
        <v>5.8821565578950903</v>
      </c>
      <c r="P17" s="3">
        <v>33.381322549868699</v>
      </c>
      <c r="Q17" s="3">
        <v>66.087768872505293</v>
      </c>
      <c r="R17" s="3" t="str">
        <f>IF(Table1[[#This Row],[Nutrition_Quality_Score]]&lt;60, "Poor Nutrition",IF(AND(Table1[[#This Row],[Nutrition_Quality_Score]]&gt;=60,Table1[[#This Row],[Nutrition_Quality_Score]]&lt;=80),"Average Nutrition", "Good Nutrition"))</f>
        <v>Average Nutrition</v>
      </c>
      <c r="S17">
        <v>0</v>
      </c>
      <c r="T17" t="str">
        <f>IF(Table1[[#This Row],[Warmup_Routine_Adherence]]=1, "Adherent","Non-Adherent")</f>
        <v>Non-Adherent</v>
      </c>
      <c r="U17">
        <v>1</v>
      </c>
      <c r="V17" t="str">
        <f>IF(Table1[[#This Row],[Injury_Next_Season]]=1, "Injury","No Injury")</f>
        <v>Injury</v>
      </c>
      <c r="W17" s="3">
        <v>22.7903289734443</v>
      </c>
    </row>
    <row r="18" spans="1:23" x14ac:dyDescent="0.25">
      <c r="A18" s="6">
        <v>18</v>
      </c>
      <c r="B18" s="8" t="str">
        <f>CONCATENATE(Table1[[#This Row],[Age]]," ", "years")</f>
        <v>18 years</v>
      </c>
      <c r="C18">
        <v>168</v>
      </c>
      <c r="D18">
        <v>75</v>
      </c>
      <c r="E18" t="s">
        <v>22</v>
      </c>
      <c r="F18" s="3">
        <v>12.1563896075817</v>
      </c>
      <c r="G18" s="3">
        <v>30</v>
      </c>
      <c r="H18">
        <v>1</v>
      </c>
      <c r="I18" s="3">
        <v>69.299743451910999</v>
      </c>
      <c r="J18" s="3">
        <v>86.759011865487807</v>
      </c>
      <c r="K18" s="3">
        <v>221.74141206392801</v>
      </c>
      <c r="L18" s="3">
        <v>83.909147857068604</v>
      </c>
      <c r="M18" s="3">
        <v>5.9809347443083496</v>
      </c>
      <c r="N18" s="3">
        <v>78.751624619992</v>
      </c>
      <c r="O18" s="3">
        <v>7.7342757222630896</v>
      </c>
      <c r="P18" s="3">
        <v>55.377512001951999</v>
      </c>
      <c r="Q18" s="3">
        <v>69.060857744026407</v>
      </c>
      <c r="R18" s="3" t="str">
        <f>IF(Table1[[#This Row],[Nutrition_Quality_Score]]&lt;60, "Poor Nutrition",IF(AND(Table1[[#This Row],[Nutrition_Quality_Score]]&gt;=60,Table1[[#This Row],[Nutrition_Quality_Score]]&lt;=80),"Average Nutrition", "Good Nutrition"))</f>
        <v>Average Nutrition</v>
      </c>
      <c r="S18">
        <v>0</v>
      </c>
      <c r="T18" t="str">
        <f>IF(Table1[[#This Row],[Warmup_Routine_Adherence]]=1, "Adherent","Non-Adherent")</f>
        <v>Non-Adherent</v>
      </c>
      <c r="U18">
        <v>1</v>
      </c>
      <c r="V18" t="str">
        <f>IF(Table1[[#This Row],[Injury_Next_Season]]=1, "Injury","No Injury")</f>
        <v>Injury</v>
      </c>
      <c r="W18" s="3">
        <v>26.5731292517006</v>
      </c>
    </row>
    <row r="19" spans="1:23" x14ac:dyDescent="0.25">
      <c r="A19" s="6">
        <v>20</v>
      </c>
      <c r="B19" s="8" t="str">
        <f>CONCATENATE(Table1[[#This Row],[Age]]," ", "years")</f>
        <v>20 years</v>
      </c>
      <c r="C19">
        <v>162</v>
      </c>
      <c r="D19">
        <v>60</v>
      </c>
      <c r="E19" t="s">
        <v>21</v>
      </c>
      <c r="F19" s="3">
        <v>12.7891978375457</v>
      </c>
      <c r="G19" s="3">
        <v>25</v>
      </c>
      <c r="H19">
        <v>1</v>
      </c>
      <c r="I19" s="3">
        <v>66.734752287743802</v>
      </c>
      <c r="J19" s="3">
        <v>78.781087404451</v>
      </c>
      <c r="K19" s="3">
        <v>269.14447530494903</v>
      </c>
      <c r="L19" s="3">
        <v>78.0837697373575</v>
      </c>
      <c r="M19" s="3">
        <v>6.2453068334988897</v>
      </c>
      <c r="N19" s="3">
        <v>83.659734848798806</v>
      </c>
      <c r="O19" s="3">
        <v>7.3000530039241198</v>
      </c>
      <c r="P19" s="3">
        <v>54.651794339188598</v>
      </c>
      <c r="Q19" s="3">
        <v>65.700243020111103</v>
      </c>
      <c r="R19" s="3" t="str">
        <f>IF(Table1[[#This Row],[Nutrition_Quality_Score]]&lt;60, "Poor Nutrition",IF(AND(Table1[[#This Row],[Nutrition_Quality_Score]]&gt;=60,Table1[[#This Row],[Nutrition_Quality_Score]]&lt;=80),"Average Nutrition", "Good Nutrition"))</f>
        <v>Average Nutrition</v>
      </c>
      <c r="S19">
        <v>1</v>
      </c>
      <c r="T19" t="str">
        <f>IF(Table1[[#This Row],[Warmup_Routine_Adherence]]=1, "Adherent","Non-Adherent")</f>
        <v>Adherent</v>
      </c>
      <c r="U19">
        <v>1</v>
      </c>
      <c r="V19" t="str">
        <f>IF(Table1[[#This Row],[Injury_Next_Season]]=1, "Injury","No Injury")</f>
        <v>Injury</v>
      </c>
      <c r="W19" s="3">
        <v>22.8623685413808</v>
      </c>
    </row>
    <row r="20" spans="1:23" x14ac:dyDescent="0.25">
      <c r="A20" s="6">
        <v>20</v>
      </c>
      <c r="B20" s="8" t="str">
        <f>CONCATENATE(Table1[[#This Row],[Age]]," ", "years")</f>
        <v>20 years</v>
      </c>
      <c r="C20">
        <v>169</v>
      </c>
      <c r="D20">
        <v>60</v>
      </c>
      <c r="E20" t="s">
        <v>22</v>
      </c>
      <c r="F20" s="3">
        <v>9.8975746974266201</v>
      </c>
      <c r="G20" s="3">
        <v>23</v>
      </c>
      <c r="H20">
        <v>1</v>
      </c>
      <c r="I20" s="3">
        <v>76.266892154150199</v>
      </c>
      <c r="J20" s="3">
        <v>75.758770809712203</v>
      </c>
      <c r="K20" s="3">
        <v>265.321084682341</v>
      </c>
      <c r="L20" s="3">
        <v>84.687990779620705</v>
      </c>
      <c r="M20" s="3">
        <v>6.0482510143576498</v>
      </c>
      <c r="N20" s="3">
        <v>69.153116505155694</v>
      </c>
      <c r="O20" s="3">
        <v>8.4931848258496103</v>
      </c>
      <c r="P20" s="3">
        <v>62.317566935737901</v>
      </c>
      <c r="Q20" s="3">
        <v>79.764971620110799</v>
      </c>
      <c r="R20" s="3" t="str">
        <f>IF(Table1[[#This Row],[Nutrition_Quality_Score]]&lt;60, "Poor Nutrition",IF(AND(Table1[[#This Row],[Nutrition_Quality_Score]]&gt;=60,Table1[[#This Row],[Nutrition_Quality_Score]]&lt;=80),"Average Nutrition", "Good Nutrition"))</f>
        <v>Average Nutrition</v>
      </c>
      <c r="S20">
        <v>1</v>
      </c>
      <c r="T20" t="str">
        <f>IF(Table1[[#This Row],[Warmup_Routine_Adherence]]=1, "Adherent","Non-Adherent")</f>
        <v>Adherent</v>
      </c>
      <c r="U20">
        <v>0</v>
      </c>
      <c r="V20" t="str">
        <f>IF(Table1[[#This Row],[Injury_Next_Season]]=1, "Injury","No Injury")</f>
        <v>No Injury</v>
      </c>
      <c r="W20" s="3">
        <v>21.0076677987465</v>
      </c>
    </row>
    <row r="21" spans="1:23" x14ac:dyDescent="0.25">
      <c r="A21" s="6">
        <v>22</v>
      </c>
      <c r="B21" s="8" t="str">
        <f>CONCATENATE(Table1[[#This Row],[Age]]," ", "years")</f>
        <v>22 years</v>
      </c>
      <c r="C21">
        <v>164</v>
      </c>
      <c r="D21">
        <v>60</v>
      </c>
      <c r="E21" t="s">
        <v>19</v>
      </c>
      <c r="F21" s="3">
        <v>9.6687805322973297</v>
      </c>
      <c r="G21" s="3">
        <v>26</v>
      </c>
      <c r="H21">
        <v>0</v>
      </c>
      <c r="I21" s="3">
        <v>81.084701792280995</v>
      </c>
      <c r="J21" s="3">
        <v>72.186632251939201</v>
      </c>
      <c r="K21" s="3">
        <v>229.75034696887599</v>
      </c>
      <c r="L21" s="3">
        <v>84.697161034980596</v>
      </c>
      <c r="M21" s="3">
        <v>6.3447852852764797</v>
      </c>
      <c r="N21" s="3">
        <v>76.845292293704802</v>
      </c>
      <c r="O21" s="3">
        <v>7.3132196436142802</v>
      </c>
      <c r="P21" s="3">
        <v>49.673912716412502</v>
      </c>
      <c r="Q21" s="3">
        <v>85.9173634865042</v>
      </c>
      <c r="R21" s="3" t="str">
        <f>IF(Table1[[#This Row],[Nutrition_Quality_Score]]&lt;60, "Poor Nutrition",IF(AND(Table1[[#This Row],[Nutrition_Quality_Score]]&gt;=60,Table1[[#This Row],[Nutrition_Quality_Score]]&lt;=80),"Average Nutrition", "Good Nutrition"))</f>
        <v>Good Nutrition</v>
      </c>
      <c r="S21">
        <v>1</v>
      </c>
      <c r="T21" t="str">
        <f>IF(Table1[[#This Row],[Warmup_Routine_Adherence]]=1, "Adherent","Non-Adherent")</f>
        <v>Adherent</v>
      </c>
      <c r="U21">
        <v>0</v>
      </c>
      <c r="V21" t="str">
        <f>IF(Table1[[#This Row],[Injury_Next_Season]]=1, "Injury","No Injury")</f>
        <v>No Injury</v>
      </c>
      <c r="W21" s="3">
        <v>22.308149910767401</v>
      </c>
    </row>
    <row r="22" spans="1:23" x14ac:dyDescent="0.25">
      <c r="A22" s="6">
        <v>19</v>
      </c>
      <c r="B22" s="8" t="str">
        <f>CONCATENATE(Table1[[#This Row],[Age]]," ", "years")</f>
        <v>19 years</v>
      </c>
      <c r="C22">
        <v>186</v>
      </c>
      <c r="D22">
        <v>62</v>
      </c>
      <c r="E22" t="s">
        <v>21</v>
      </c>
      <c r="F22" s="3">
        <v>7.8136374564983004</v>
      </c>
      <c r="G22" s="3">
        <v>24</v>
      </c>
      <c r="H22">
        <v>0</v>
      </c>
      <c r="I22" s="3">
        <v>82.133043217026199</v>
      </c>
      <c r="J22" s="3">
        <v>78.211800293976594</v>
      </c>
      <c r="K22" s="3">
        <v>238.37377589284</v>
      </c>
      <c r="L22" s="3">
        <v>90.438687333244403</v>
      </c>
      <c r="M22" s="3">
        <v>6.4914675634140897</v>
      </c>
      <c r="N22" s="3">
        <v>71.521769487222102</v>
      </c>
      <c r="O22" s="3">
        <v>6.8340416368061501</v>
      </c>
      <c r="P22" s="3">
        <v>45.024989448225497</v>
      </c>
      <c r="Q22" s="3">
        <v>68.823026764293701</v>
      </c>
      <c r="R22" s="3" t="str">
        <f>IF(Table1[[#This Row],[Nutrition_Quality_Score]]&lt;60, "Poor Nutrition",IF(AND(Table1[[#This Row],[Nutrition_Quality_Score]]&gt;=60,Table1[[#This Row],[Nutrition_Quality_Score]]&lt;=80),"Average Nutrition", "Good Nutrition"))</f>
        <v>Average Nutrition</v>
      </c>
      <c r="S22">
        <v>1</v>
      </c>
      <c r="T22" t="str">
        <f>IF(Table1[[#This Row],[Warmup_Routine_Adherence]]=1, "Adherent","Non-Adherent")</f>
        <v>Adherent</v>
      </c>
      <c r="U22">
        <v>0</v>
      </c>
      <c r="V22" t="str">
        <f>IF(Table1[[#This Row],[Injury_Next_Season]]=1, "Injury","No Injury")</f>
        <v>No Injury</v>
      </c>
      <c r="W22" s="3">
        <v>17.921146953405</v>
      </c>
    </row>
    <row r="23" spans="1:23" x14ac:dyDescent="0.25">
      <c r="A23" s="6">
        <v>21</v>
      </c>
      <c r="B23" s="8" t="str">
        <f>CONCATENATE(Table1[[#This Row],[Age]]," ", "years")</f>
        <v>21 years</v>
      </c>
      <c r="C23">
        <v>175</v>
      </c>
      <c r="D23">
        <v>81</v>
      </c>
      <c r="E23" t="s">
        <v>20</v>
      </c>
      <c r="F23" s="3">
        <v>13.555198159011701</v>
      </c>
      <c r="G23" s="3">
        <v>37</v>
      </c>
      <c r="H23">
        <v>0</v>
      </c>
      <c r="I23" s="3">
        <v>82.540321101409106</v>
      </c>
      <c r="J23" s="3">
        <v>77.862831749925903</v>
      </c>
      <c r="K23" s="3">
        <v>240.17736345274</v>
      </c>
      <c r="L23" s="3">
        <v>97.203753232489504</v>
      </c>
      <c r="M23" s="3">
        <v>5.6588732975849396</v>
      </c>
      <c r="N23" s="3">
        <v>86.667615455211305</v>
      </c>
      <c r="O23" s="3">
        <v>7.8271694658452002</v>
      </c>
      <c r="P23" s="3">
        <v>49.959157727204001</v>
      </c>
      <c r="Q23" s="3">
        <v>81.816653327103197</v>
      </c>
      <c r="R23" s="3" t="str">
        <f>IF(Table1[[#This Row],[Nutrition_Quality_Score]]&lt;60, "Poor Nutrition",IF(AND(Table1[[#This Row],[Nutrition_Quality_Score]]&gt;=60,Table1[[#This Row],[Nutrition_Quality_Score]]&lt;=80),"Average Nutrition", "Good Nutrition"))</f>
        <v>Good Nutrition</v>
      </c>
      <c r="S23">
        <v>1</v>
      </c>
      <c r="T23" t="str">
        <f>IF(Table1[[#This Row],[Warmup_Routine_Adherence]]=1, "Adherent","Non-Adherent")</f>
        <v>Adherent</v>
      </c>
      <c r="U23">
        <v>0</v>
      </c>
      <c r="V23" t="str">
        <f>IF(Table1[[#This Row],[Injury_Next_Season]]=1, "Injury","No Injury")</f>
        <v>No Injury</v>
      </c>
      <c r="W23" s="3">
        <v>26.4489795918367</v>
      </c>
    </row>
    <row r="24" spans="1:23" x14ac:dyDescent="0.25">
      <c r="A24" s="6">
        <v>24</v>
      </c>
      <c r="B24" s="8" t="str">
        <f>CONCATENATE(Table1[[#This Row],[Age]]," ", "years")</f>
        <v>24 years</v>
      </c>
      <c r="C24">
        <v>177</v>
      </c>
      <c r="D24">
        <v>69</v>
      </c>
      <c r="E24" t="s">
        <v>22</v>
      </c>
      <c r="F24" s="3">
        <v>9.3233103000624507</v>
      </c>
      <c r="G24" s="3">
        <v>33</v>
      </c>
      <c r="H24">
        <v>1</v>
      </c>
      <c r="I24" s="3">
        <v>72.331228143733895</v>
      </c>
      <c r="J24" s="3">
        <v>81.659261004370904</v>
      </c>
      <c r="K24" s="3">
        <v>230.35330033062201</v>
      </c>
      <c r="L24" s="3">
        <v>94.854732253517398</v>
      </c>
      <c r="M24" s="3">
        <v>5.7378551645846896</v>
      </c>
      <c r="N24" s="3">
        <v>91.561437055286504</v>
      </c>
      <c r="O24" s="3">
        <v>6.7438649743949499</v>
      </c>
      <c r="P24" s="3">
        <v>30.135888538050899</v>
      </c>
      <c r="Q24" s="3">
        <v>72.363929610992599</v>
      </c>
      <c r="R24" s="3" t="str">
        <f>IF(Table1[[#This Row],[Nutrition_Quality_Score]]&lt;60, "Poor Nutrition",IF(AND(Table1[[#This Row],[Nutrition_Quality_Score]]&gt;=60,Table1[[#This Row],[Nutrition_Quality_Score]]&lt;=80),"Average Nutrition", "Good Nutrition"))</f>
        <v>Average Nutrition</v>
      </c>
      <c r="S24">
        <v>1</v>
      </c>
      <c r="T24" t="str">
        <f>IF(Table1[[#This Row],[Warmup_Routine_Adherence]]=1, "Adherent","Non-Adherent")</f>
        <v>Adherent</v>
      </c>
      <c r="U24">
        <v>0</v>
      </c>
      <c r="V24" t="str">
        <f>IF(Table1[[#This Row],[Injury_Next_Season]]=1, "Injury","No Injury")</f>
        <v>No Injury</v>
      </c>
      <c r="W24" s="3">
        <v>22.024322512687899</v>
      </c>
    </row>
    <row r="25" spans="1:23" x14ac:dyDescent="0.25">
      <c r="A25" s="6">
        <v>22</v>
      </c>
      <c r="B25" s="8" t="str">
        <f>CONCATENATE(Table1[[#This Row],[Age]]," ", "years")</f>
        <v>22 years</v>
      </c>
      <c r="C25">
        <v>178</v>
      </c>
      <c r="D25">
        <v>78</v>
      </c>
      <c r="E25" t="s">
        <v>22</v>
      </c>
      <c r="F25" s="3">
        <v>11.059557862742601</v>
      </c>
      <c r="G25" s="3">
        <v>7</v>
      </c>
      <c r="H25">
        <v>0</v>
      </c>
      <c r="I25" s="3">
        <v>69.828983996562997</v>
      </c>
      <c r="J25" s="3">
        <v>98.635667698633696</v>
      </c>
      <c r="K25" s="3">
        <v>245.066502352052</v>
      </c>
      <c r="L25" s="3">
        <v>87.398312408668502</v>
      </c>
      <c r="M25" s="3">
        <v>5.93286548553613</v>
      </c>
      <c r="N25" s="3">
        <v>77.621710692201901</v>
      </c>
      <c r="O25" s="3">
        <v>8.5144962638268602</v>
      </c>
      <c r="P25" s="3">
        <v>43.803944205189403</v>
      </c>
      <c r="Q25" s="3">
        <v>87.355766951725499</v>
      </c>
      <c r="R25" s="3" t="str">
        <f>IF(Table1[[#This Row],[Nutrition_Quality_Score]]&lt;60, "Poor Nutrition",IF(AND(Table1[[#This Row],[Nutrition_Quality_Score]]&gt;=60,Table1[[#This Row],[Nutrition_Quality_Score]]&lt;=80),"Average Nutrition", "Good Nutrition"))</f>
        <v>Good Nutrition</v>
      </c>
      <c r="S25">
        <v>1</v>
      </c>
      <c r="T25" t="str">
        <f>IF(Table1[[#This Row],[Warmup_Routine_Adherence]]=1, "Adherent","Non-Adherent")</f>
        <v>Adherent</v>
      </c>
      <c r="U25">
        <v>0</v>
      </c>
      <c r="V25" t="str">
        <f>IF(Table1[[#This Row],[Injury_Next_Season]]=1, "Injury","No Injury")</f>
        <v>No Injury</v>
      </c>
      <c r="W25" s="3">
        <v>24.6181037747759</v>
      </c>
    </row>
    <row r="26" spans="1:23" x14ac:dyDescent="0.25">
      <c r="A26" s="6">
        <v>21</v>
      </c>
      <c r="B26" s="8" t="str">
        <f>CONCATENATE(Table1[[#This Row],[Age]]," ", "years")</f>
        <v>21 years</v>
      </c>
      <c r="C26">
        <v>174</v>
      </c>
      <c r="D26">
        <v>83</v>
      </c>
      <c r="E26" t="s">
        <v>19</v>
      </c>
      <c r="F26" s="3">
        <v>8.8826381829314798</v>
      </c>
      <c r="G26" s="3">
        <v>39</v>
      </c>
      <c r="H26">
        <v>2</v>
      </c>
      <c r="I26" s="3">
        <v>69.691517396741006</v>
      </c>
      <c r="J26" s="3">
        <v>71.1927820049075</v>
      </c>
      <c r="K26" s="3">
        <v>260.01536984144298</v>
      </c>
      <c r="L26" s="3">
        <v>74.171560096923997</v>
      </c>
      <c r="M26" s="3">
        <v>5.4643669577763401</v>
      </c>
      <c r="N26" s="3">
        <v>82.964566608895595</v>
      </c>
      <c r="O26" s="3">
        <v>7.2187053138681803</v>
      </c>
      <c r="P26" s="3">
        <v>54.176530571621001</v>
      </c>
      <c r="Q26" s="3">
        <v>66.3221361799215</v>
      </c>
      <c r="R26" s="3" t="str">
        <f>IF(Table1[[#This Row],[Nutrition_Quality_Score]]&lt;60, "Poor Nutrition",IF(AND(Table1[[#This Row],[Nutrition_Quality_Score]]&gt;=60,Table1[[#This Row],[Nutrition_Quality_Score]]&lt;=80),"Average Nutrition", "Good Nutrition"))</f>
        <v>Average Nutrition</v>
      </c>
      <c r="S26">
        <v>1</v>
      </c>
      <c r="T26" t="str">
        <f>IF(Table1[[#This Row],[Warmup_Routine_Adherence]]=1, "Adherent","Non-Adherent")</f>
        <v>Adherent</v>
      </c>
      <c r="U26">
        <v>1</v>
      </c>
      <c r="V26" t="str">
        <f>IF(Table1[[#This Row],[Injury_Next_Season]]=1, "Injury","No Injury")</f>
        <v>Injury</v>
      </c>
      <c r="W26" s="3">
        <v>27.414453692693801</v>
      </c>
    </row>
    <row r="27" spans="1:23" x14ac:dyDescent="0.25">
      <c r="A27" s="6">
        <v>18</v>
      </c>
      <c r="B27" s="8" t="str">
        <f>CONCATENATE(Table1[[#This Row],[Age]]," ", "years")</f>
        <v>18 years</v>
      </c>
      <c r="C27">
        <v>171</v>
      </c>
      <c r="D27">
        <v>72</v>
      </c>
      <c r="E27" t="s">
        <v>21</v>
      </c>
      <c r="F27" s="3">
        <v>8.55519590846467</v>
      </c>
      <c r="G27" s="3">
        <v>7</v>
      </c>
      <c r="H27">
        <v>0</v>
      </c>
      <c r="I27" s="3">
        <v>71.505838774907005</v>
      </c>
      <c r="J27" s="3">
        <v>87.057381111321305</v>
      </c>
      <c r="K27" s="3">
        <v>249.75665550524499</v>
      </c>
      <c r="L27" s="3">
        <v>81.146616287874906</v>
      </c>
      <c r="M27" s="3">
        <v>6.2506617854390996</v>
      </c>
      <c r="N27" s="3">
        <v>84.742881219966904</v>
      </c>
      <c r="O27" s="3">
        <v>6.3340860228412899</v>
      </c>
      <c r="P27" s="3">
        <v>71.251767007153006</v>
      </c>
      <c r="Q27" s="3">
        <v>61.405131451432197</v>
      </c>
      <c r="R27" s="3" t="str">
        <f>IF(Table1[[#This Row],[Nutrition_Quality_Score]]&lt;60, "Poor Nutrition",IF(AND(Table1[[#This Row],[Nutrition_Quality_Score]]&gt;=60,Table1[[#This Row],[Nutrition_Quality_Score]]&lt;=80),"Average Nutrition", "Good Nutrition"))</f>
        <v>Average Nutrition</v>
      </c>
      <c r="S27">
        <v>0</v>
      </c>
      <c r="T27" t="str">
        <f>IF(Table1[[#This Row],[Warmup_Routine_Adherence]]=1, "Adherent","Non-Adherent")</f>
        <v>Non-Adherent</v>
      </c>
      <c r="U27">
        <v>1</v>
      </c>
      <c r="V27" t="str">
        <f>IF(Table1[[#This Row],[Injury_Next_Season]]=1, "Injury","No Injury")</f>
        <v>Injury</v>
      </c>
      <c r="W27" s="3">
        <v>24.6229609110495</v>
      </c>
    </row>
    <row r="28" spans="1:23" x14ac:dyDescent="0.25">
      <c r="A28" s="6">
        <v>24</v>
      </c>
      <c r="B28" s="8" t="str">
        <f>CONCATENATE(Table1[[#This Row],[Age]]," ", "years")</f>
        <v>24 years</v>
      </c>
      <c r="C28">
        <v>173</v>
      </c>
      <c r="D28">
        <v>76</v>
      </c>
      <c r="E28" t="s">
        <v>22</v>
      </c>
      <c r="F28" s="3">
        <v>11.1876498993081</v>
      </c>
      <c r="G28" s="3">
        <v>5</v>
      </c>
      <c r="H28">
        <v>0</v>
      </c>
      <c r="I28" s="3">
        <v>69.590651889288296</v>
      </c>
      <c r="J28" s="3">
        <v>77.518238822706707</v>
      </c>
      <c r="K28" s="3">
        <v>281.48950211011697</v>
      </c>
      <c r="L28" s="3">
        <v>77.005723182265797</v>
      </c>
      <c r="M28" s="3">
        <v>5.9017793349182002</v>
      </c>
      <c r="N28" s="3">
        <v>73.522567931518395</v>
      </c>
      <c r="O28" s="3">
        <v>7.7695520256491601</v>
      </c>
      <c r="P28" s="3">
        <v>47.429827590678499</v>
      </c>
      <c r="Q28" s="3">
        <v>65.636346293320301</v>
      </c>
      <c r="R28" s="3" t="str">
        <f>IF(Table1[[#This Row],[Nutrition_Quality_Score]]&lt;60, "Poor Nutrition",IF(AND(Table1[[#This Row],[Nutrition_Quality_Score]]&gt;=60,Table1[[#This Row],[Nutrition_Quality_Score]]&lt;=80),"Average Nutrition", "Good Nutrition"))</f>
        <v>Average Nutrition</v>
      </c>
      <c r="S28">
        <v>1</v>
      </c>
      <c r="T28" t="str">
        <f>IF(Table1[[#This Row],[Warmup_Routine_Adherence]]=1, "Adherent","Non-Adherent")</f>
        <v>Adherent</v>
      </c>
      <c r="U28">
        <v>1</v>
      </c>
      <c r="V28" t="str">
        <f>IF(Table1[[#This Row],[Injury_Next_Season]]=1, "Injury","No Injury")</f>
        <v>Injury</v>
      </c>
      <c r="W28" s="3">
        <v>25.393431120317999</v>
      </c>
    </row>
    <row r="29" spans="1:23" x14ac:dyDescent="0.25">
      <c r="A29" s="6">
        <v>21</v>
      </c>
      <c r="B29" s="8" t="str">
        <f>CONCATENATE(Table1[[#This Row],[Age]]," ", "years")</f>
        <v>21 years</v>
      </c>
      <c r="C29">
        <v>176</v>
      </c>
      <c r="D29">
        <v>64</v>
      </c>
      <c r="E29" t="s">
        <v>22</v>
      </c>
      <c r="F29" s="3">
        <v>9.4622885122407308</v>
      </c>
      <c r="G29" s="3">
        <v>6</v>
      </c>
      <c r="H29">
        <v>0</v>
      </c>
      <c r="I29" s="3">
        <v>76.437855394728402</v>
      </c>
      <c r="J29" s="3">
        <v>89.113009817011402</v>
      </c>
      <c r="K29" s="3">
        <v>241.33325419471899</v>
      </c>
      <c r="L29" s="3">
        <v>100</v>
      </c>
      <c r="M29" s="3">
        <v>6.1815273720687101</v>
      </c>
      <c r="N29" s="3">
        <v>83.855419977153502</v>
      </c>
      <c r="O29" s="3">
        <v>7.91583877330085</v>
      </c>
      <c r="P29" s="3">
        <v>49.0456145210945</v>
      </c>
      <c r="Q29" s="3">
        <v>73.080282591380893</v>
      </c>
      <c r="R29" s="3" t="str">
        <f>IF(Table1[[#This Row],[Nutrition_Quality_Score]]&lt;60, "Poor Nutrition",IF(AND(Table1[[#This Row],[Nutrition_Quality_Score]]&gt;=60,Table1[[#This Row],[Nutrition_Quality_Score]]&lt;=80),"Average Nutrition", "Good Nutrition"))</f>
        <v>Average Nutrition</v>
      </c>
      <c r="S29">
        <v>1</v>
      </c>
      <c r="T29" t="str">
        <f>IF(Table1[[#This Row],[Warmup_Routine_Adherence]]=1, "Adherent","Non-Adherent")</f>
        <v>Adherent</v>
      </c>
      <c r="U29">
        <v>0</v>
      </c>
      <c r="V29" t="str">
        <f>IF(Table1[[#This Row],[Injury_Next_Season]]=1, "Injury","No Injury")</f>
        <v>No Injury</v>
      </c>
      <c r="W29" s="3">
        <v>20.661157024793301</v>
      </c>
    </row>
    <row r="30" spans="1:23" x14ac:dyDescent="0.25">
      <c r="A30" s="6">
        <v>23</v>
      </c>
      <c r="B30" s="8" t="str">
        <f>CONCATENATE(Table1[[#This Row],[Age]]," ", "years")</f>
        <v>23 years</v>
      </c>
      <c r="C30">
        <v>179</v>
      </c>
      <c r="D30">
        <v>74</v>
      </c>
      <c r="E30" t="s">
        <v>20</v>
      </c>
      <c r="F30" s="3">
        <v>11.372849480395301</v>
      </c>
      <c r="G30" s="3">
        <v>34</v>
      </c>
      <c r="H30">
        <v>1</v>
      </c>
      <c r="I30" s="3">
        <v>75.088231742219094</v>
      </c>
      <c r="J30" s="3">
        <v>84.905377530375105</v>
      </c>
      <c r="K30" s="3">
        <v>238.594319866631</v>
      </c>
      <c r="L30" s="3">
        <v>83.5304845428074</v>
      </c>
      <c r="M30" s="3">
        <v>5.9487501531533704</v>
      </c>
      <c r="N30" s="3">
        <v>90.704647380277194</v>
      </c>
      <c r="O30" s="3">
        <v>8.5193821166404504</v>
      </c>
      <c r="P30" s="3">
        <v>47.175971965800898</v>
      </c>
      <c r="Q30" s="3">
        <v>88.321811889427593</v>
      </c>
      <c r="R30" s="3" t="str">
        <f>IF(Table1[[#This Row],[Nutrition_Quality_Score]]&lt;60, "Poor Nutrition",IF(AND(Table1[[#This Row],[Nutrition_Quality_Score]]&gt;=60,Table1[[#This Row],[Nutrition_Quality_Score]]&lt;=80),"Average Nutrition", "Good Nutrition"))</f>
        <v>Good Nutrition</v>
      </c>
      <c r="S30">
        <v>1</v>
      </c>
      <c r="T30" t="str">
        <f>IF(Table1[[#This Row],[Warmup_Routine_Adherence]]=1, "Adherent","Non-Adherent")</f>
        <v>Adherent</v>
      </c>
      <c r="U30">
        <v>0</v>
      </c>
      <c r="V30" t="str">
        <f>IF(Table1[[#This Row],[Injury_Next_Season]]=1, "Injury","No Injury")</f>
        <v>No Injury</v>
      </c>
      <c r="W30" s="3">
        <v>23.095409007209501</v>
      </c>
    </row>
    <row r="31" spans="1:23" x14ac:dyDescent="0.25">
      <c r="A31" s="6">
        <v>20</v>
      </c>
      <c r="B31" s="8" t="str">
        <f>CONCATENATE(Table1[[#This Row],[Age]]," ", "years")</f>
        <v>20 years</v>
      </c>
      <c r="C31">
        <v>174</v>
      </c>
      <c r="D31">
        <v>85</v>
      </c>
      <c r="E31" t="s">
        <v>22</v>
      </c>
      <c r="F31" s="3">
        <v>12.5139424446868</v>
      </c>
      <c r="G31" s="3">
        <v>19</v>
      </c>
      <c r="H31">
        <v>1</v>
      </c>
      <c r="I31" s="3">
        <v>71.981835495719906</v>
      </c>
      <c r="J31" s="3">
        <v>76.226399283303195</v>
      </c>
      <c r="K31" s="3">
        <v>261.95809514333399</v>
      </c>
      <c r="L31" s="3">
        <v>80.001905772930598</v>
      </c>
      <c r="M31" s="3">
        <v>6.3318957728199896</v>
      </c>
      <c r="N31" s="3">
        <v>75.751353167140707</v>
      </c>
      <c r="O31" s="3">
        <v>8.1506089953085699</v>
      </c>
      <c r="P31" s="3">
        <v>63.326109495925301</v>
      </c>
      <c r="Q31" s="3">
        <v>86.594697324213001</v>
      </c>
      <c r="R31" s="3" t="str">
        <f>IF(Table1[[#This Row],[Nutrition_Quality_Score]]&lt;60, "Poor Nutrition",IF(AND(Table1[[#This Row],[Nutrition_Quality_Score]]&gt;=60,Table1[[#This Row],[Nutrition_Quality_Score]]&lt;=80),"Average Nutrition", "Good Nutrition"))</f>
        <v>Good Nutrition</v>
      </c>
      <c r="S31">
        <v>1</v>
      </c>
      <c r="T31" t="str">
        <f>IF(Table1[[#This Row],[Warmup_Routine_Adherence]]=1, "Adherent","Non-Adherent")</f>
        <v>Adherent</v>
      </c>
      <c r="U31">
        <v>0</v>
      </c>
      <c r="V31" t="str">
        <f>IF(Table1[[#This Row],[Injury_Next_Season]]=1, "Injury","No Injury")</f>
        <v>No Injury</v>
      </c>
      <c r="W31" s="3">
        <v>28.0750429383009</v>
      </c>
    </row>
    <row r="32" spans="1:23" x14ac:dyDescent="0.25">
      <c r="A32" s="6">
        <v>23</v>
      </c>
      <c r="B32" s="8" t="str">
        <f>CONCATENATE(Table1[[#This Row],[Age]]," ", "years")</f>
        <v>23 years</v>
      </c>
      <c r="C32">
        <v>179</v>
      </c>
      <c r="D32">
        <v>73</v>
      </c>
      <c r="E32" t="s">
        <v>22</v>
      </c>
      <c r="F32" s="3">
        <v>5.3589661143582097</v>
      </c>
      <c r="G32" s="3">
        <v>11</v>
      </c>
      <c r="H32">
        <v>3</v>
      </c>
      <c r="I32" s="3">
        <v>69.076375962093095</v>
      </c>
      <c r="J32" s="3">
        <v>79.924124240447597</v>
      </c>
      <c r="K32" s="3">
        <v>259.64886881623102</v>
      </c>
      <c r="L32" s="3">
        <v>86.381199740640895</v>
      </c>
      <c r="M32" s="3">
        <v>5.73690154577739</v>
      </c>
      <c r="N32" s="3">
        <v>70.452502796048194</v>
      </c>
      <c r="O32" s="3">
        <v>7.2955744551618302</v>
      </c>
      <c r="P32" s="3">
        <v>60.439114468105302</v>
      </c>
      <c r="Q32" s="3">
        <v>59.054694204552803</v>
      </c>
      <c r="R32" s="3" t="str">
        <f>IF(Table1[[#This Row],[Nutrition_Quality_Score]]&lt;60, "Poor Nutrition",IF(AND(Table1[[#This Row],[Nutrition_Quality_Score]]&gt;=60,Table1[[#This Row],[Nutrition_Quality_Score]]&lt;=80),"Average Nutrition", "Good Nutrition"))</f>
        <v>Poor Nutrition</v>
      </c>
      <c r="S32">
        <v>0</v>
      </c>
      <c r="T32" t="str">
        <f>IF(Table1[[#This Row],[Warmup_Routine_Adherence]]=1, "Adherent","Non-Adherent")</f>
        <v>Non-Adherent</v>
      </c>
      <c r="U32">
        <v>1</v>
      </c>
      <c r="V32" t="str">
        <f>IF(Table1[[#This Row],[Injury_Next_Season]]=1, "Injury","No Injury")</f>
        <v>Injury</v>
      </c>
      <c r="W32" s="3">
        <v>22.783308885490399</v>
      </c>
    </row>
    <row r="33" spans="1:23" x14ac:dyDescent="0.25">
      <c r="A33" s="6">
        <v>23</v>
      </c>
      <c r="B33" s="8" t="str">
        <f>CONCATENATE(Table1[[#This Row],[Age]]," ", "years")</f>
        <v>23 years</v>
      </c>
      <c r="C33">
        <v>174</v>
      </c>
      <c r="D33">
        <v>64</v>
      </c>
      <c r="E33" t="s">
        <v>22</v>
      </c>
      <c r="F33" s="3">
        <v>11.227361161501999</v>
      </c>
      <c r="G33" s="3">
        <v>13</v>
      </c>
      <c r="H33">
        <v>1</v>
      </c>
      <c r="I33" s="3">
        <v>61.912909125206902</v>
      </c>
      <c r="J33" s="3">
        <v>69.777538202787099</v>
      </c>
      <c r="K33" s="3">
        <v>241.970730279962</v>
      </c>
      <c r="L33" s="3">
        <v>66.286336139903099</v>
      </c>
      <c r="M33" s="3">
        <v>5.9419095325964699</v>
      </c>
      <c r="N33" s="3">
        <v>66.041147855945596</v>
      </c>
      <c r="O33" s="3">
        <v>7.4319683047134397</v>
      </c>
      <c r="P33" s="3">
        <v>44.6402658251166</v>
      </c>
      <c r="Q33" s="3">
        <v>62.267213019348098</v>
      </c>
      <c r="R33" s="3" t="str">
        <f>IF(Table1[[#This Row],[Nutrition_Quality_Score]]&lt;60, "Poor Nutrition",IF(AND(Table1[[#This Row],[Nutrition_Quality_Score]]&gt;=60,Table1[[#This Row],[Nutrition_Quality_Score]]&lt;=80),"Average Nutrition", "Good Nutrition"))</f>
        <v>Average Nutrition</v>
      </c>
      <c r="S33">
        <v>1</v>
      </c>
      <c r="T33" t="str">
        <f>IF(Table1[[#This Row],[Warmup_Routine_Adherence]]=1, "Adherent","Non-Adherent")</f>
        <v>Adherent</v>
      </c>
      <c r="U33">
        <v>1</v>
      </c>
      <c r="V33" t="str">
        <f>IF(Table1[[#This Row],[Injury_Next_Season]]=1, "Injury","No Injury")</f>
        <v>Injury</v>
      </c>
      <c r="W33" s="3">
        <v>21.138855859426599</v>
      </c>
    </row>
    <row r="34" spans="1:23" x14ac:dyDescent="0.25">
      <c r="A34" s="6">
        <v>19</v>
      </c>
      <c r="B34" s="8" t="str">
        <f>CONCATENATE(Table1[[#This Row],[Age]]," ", "years")</f>
        <v>19 years</v>
      </c>
      <c r="C34">
        <v>167</v>
      </c>
      <c r="D34">
        <v>65</v>
      </c>
      <c r="E34" t="s">
        <v>21</v>
      </c>
      <c r="F34" s="3">
        <v>9.7492250424050493</v>
      </c>
      <c r="G34" s="3">
        <v>21</v>
      </c>
      <c r="H34">
        <v>0</v>
      </c>
      <c r="I34" s="3">
        <v>85.130515328813701</v>
      </c>
      <c r="J34" s="3">
        <v>91.417055826965395</v>
      </c>
      <c r="K34" s="3">
        <v>255.85760038933799</v>
      </c>
      <c r="L34" s="3">
        <v>84.458472731875602</v>
      </c>
      <c r="M34" s="3">
        <v>5.9121707048188501</v>
      </c>
      <c r="N34" s="3">
        <v>95.997029270065397</v>
      </c>
      <c r="O34" s="3">
        <v>6.02019275370629</v>
      </c>
      <c r="P34" s="3">
        <v>40.381166714266897</v>
      </c>
      <c r="Q34" s="3">
        <v>70.700858293816196</v>
      </c>
      <c r="R34" s="3" t="str">
        <f>IF(Table1[[#This Row],[Nutrition_Quality_Score]]&lt;60, "Poor Nutrition",IF(AND(Table1[[#This Row],[Nutrition_Quality_Score]]&gt;=60,Table1[[#This Row],[Nutrition_Quality_Score]]&lt;=80),"Average Nutrition", "Good Nutrition"))</f>
        <v>Average Nutrition</v>
      </c>
      <c r="S34">
        <v>1</v>
      </c>
      <c r="T34" t="str">
        <f>IF(Table1[[#This Row],[Warmup_Routine_Adherence]]=1, "Adherent","Non-Adherent")</f>
        <v>Adherent</v>
      </c>
      <c r="U34">
        <v>0</v>
      </c>
      <c r="V34" t="str">
        <f>IF(Table1[[#This Row],[Injury_Next_Season]]=1, "Injury","No Injury")</f>
        <v>No Injury</v>
      </c>
      <c r="W34" s="3">
        <v>23.306680053067499</v>
      </c>
    </row>
    <row r="35" spans="1:23" x14ac:dyDescent="0.25">
      <c r="A35" s="6">
        <v>22</v>
      </c>
      <c r="B35" s="8" t="str">
        <f>CONCATENATE(Table1[[#This Row],[Age]]," ", "years")</f>
        <v>22 years</v>
      </c>
      <c r="C35">
        <v>188</v>
      </c>
      <c r="D35">
        <v>72</v>
      </c>
      <c r="E35" t="s">
        <v>21</v>
      </c>
      <c r="F35" s="3">
        <v>9.1058532623215598</v>
      </c>
      <c r="G35" s="3">
        <v>16</v>
      </c>
      <c r="H35">
        <v>0</v>
      </c>
      <c r="I35" s="3">
        <v>80.667805427837493</v>
      </c>
      <c r="J35" s="3">
        <v>76.519325213209498</v>
      </c>
      <c r="K35" s="3">
        <v>244.02164233540901</v>
      </c>
      <c r="L35" s="3">
        <v>78.7509228835724</v>
      </c>
      <c r="M35" s="3">
        <v>5.7660328751552097</v>
      </c>
      <c r="N35" s="3">
        <v>77.635599708121404</v>
      </c>
      <c r="O35" s="3">
        <v>7.55640812974461</v>
      </c>
      <c r="P35" s="3">
        <v>56.731193501607002</v>
      </c>
      <c r="Q35" s="3">
        <v>61.582537630043198</v>
      </c>
      <c r="R35" s="3" t="str">
        <f>IF(Table1[[#This Row],[Nutrition_Quality_Score]]&lt;60, "Poor Nutrition",IF(AND(Table1[[#This Row],[Nutrition_Quality_Score]]&gt;=60,Table1[[#This Row],[Nutrition_Quality_Score]]&lt;=80),"Average Nutrition", "Good Nutrition"))</f>
        <v>Average Nutrition</v>
      </c>
      <c r="S35">
        <v>0</v>
      </c>
      <c r="T35" t="str">
        <f>IF(Table1[[#This Row],[Warmup_Routine_Adherence]]=1, "Adherent","Non-Adherent")</f>
        <v>Non-Adherent</v>
      </c>
      <c r="U35">
        <v>1</v>
      </c>
      <c r="V35" t="str">
        <f>IF(Table1[[#This Row],[Injury_Next_Season]]=1, "Injury","No Injury")</f>
        <v>Injury</v>
      </c>
      <c r="W35" s="3">
        <v>20.371208691715701</v>
      </c>
    </row>
    <row r="36" spans="1:23" x14ac:dyDescent="0.25">
      <c r="A36" s="6">
        <v>22</v>
      </c>
      <c r="B36" s="8" t="str">
        <f>CONCATENATE(Table1[[#This Row],[Age]]," ", "years")</f>
        <v>22 years</v>
      </c>
      <c r="C36">
        <v>176</v>
      </c>
      <c r="D36">
        <v>62</v>
      </c>
      <c r="E36" t="s">
        <v>21</v>
      </c>
      <c r="F36" s="3">
        <v>10.4817375970486</v>
      </c>
      <c r="G36" s="3">
        <v>6</v>
      </c>
      <c r="H36">
        <v>1</v>
      </c>
      <c r="I36" s="3">
        <v>65.647118539392494</v>
      </c>
      <c r="J36" s="3">
        <v>73.868452993341407</v>
      </c>
      <c r="K36" s="3">
        <v>254.56631261893401</v>
      </c>
      <c r="L36" s="3">
        <v>76.254803807188196</v>
      </c>
      <c r="M36" s="3">
        <v>6.3390368370748202</v>
      </c>
      <c r="N36" s="3">
        <v>75.676628604716001</v>
      </c>
      <c r="O36" s="3">
        <v>6.2093289251477</v>
      </c>
      <c r="P36" s="3">
        <v>48.724460000146301</v>
      </c>
      <c r="Q36" s="3">
        <v>81.375698533725199</v>
      </c>
      <c r="R36" s="3" t="str">
        <f>IF(Table1[[#This Row],[Nutrition_Quality_Score]]&lt;60, "Poor Nutrition",IF(AND(Table1[[#This Row],[Nutrition_Quality_Score]]&gt;=60,Table1[[#This Row],[Nutrition_Quality_Score]]&lt;=80),"Average Nutrition", "Good Nutrition"))</f>
        <v>Good Nutrition</v>
      </c>
      <c r="S36">
        <v>0</v>
      </c>
      <c r="T36" t="str">
        <f>IF(Table1[[#This Row],[Warmup_Routine_Adherence]]=1, "Adherent","Non-Adherent")</f>
        <v>Non-Adherent</v>
      </c>
      <c r="U36">
        <v>1</v>
      </c>
      <c r="V36" t="str">
        <f>IF(Table1[[#This Row],[Injury_Next_Season]]=1, "Injury","No Injury")</f>
        <v>Injury</v>
      </c>
      <c r="W36" s="3">
        <v>20.0154958677685</v>
      </c>
    </row>
    <row r="37" spans="1:23" x14ac:dyDescent="0.25">
      <c r="A37" s="6">
        <v>24</v>
      </c>
      <c r="B37" s="8" t="str">
        <f>CONCATENATE(Table1[[#This Row],[Age]]," ", "years")</f>
        <v>24 years</v>
      </c>
      <c r="C37">
        <v>179</v>
      </c>
      <c r="D37">
        <v>72</v>
      </c>
      <c r="E37" t="s">
        <v>21</v>
      </c>
      <c r="F37" s="3">
        <v>8.2691357926919107</v>
      </c>
      <c r="G37" s="3">
        <v>34</v>
      </c>
      <c r="H37">
        <v>2</v>
      </c>
      <c r="I37" s="3">
        <v>71.658466596974307</v>
      </c>
      <c r="J37" s="3">
        <v>70.004307685121404</v>
      </c>
      <c r="K37" s="3">
        <v>257.21624312107599</v>
      </c>
      <c r="L37" s="3">
        <v>86.535486702018602</v>
      </c>
      <c r="M37" s="3">
        <v>5.7620348965424597</v>
      </c>
      <c r="N37" s="3">
        <v>85.237684200996895</v>
      </c>
      <c r="O37" s="3">
        <v>6.4899110756993101</v>
      </c>
      <c r="P37" s="3">
        <v>47.804751833658202</v>
      </c>
      <c r="Q37" s="3">
        <v>60.985577507066097</v>
      </c>
      <c r="R37" s="3" t="str">
        <f>IF(Table1[[#This Row],[Nutrition_Quality_Score]]&lt;60, "Poor Nutrition",IF(AND(Table1[[#This Row],[Nutrition_Quality_Score]]&gt;=60,Table1[[#This Row],[Nutrition_Quality_Score]]&lt;=80),"Average Nutrition", "Good Nutrition"))</f>
        <v>Average Nutrition</v>
      </c>
      <c r="S37">
        <v>0</v>
      </c>
      <c r="T37" t="str">
        <f>IF(Table1[[#This Row],[Warmup_Routine_Adherence]]=1, "Adherent","Non-Adherent")</f>
        <v>Non-Adherent</v>
      </c>
      <c r="U37">
        <v>1</v>
      </c>
      <c r="V37" t="str">
        <f>IF(Table1[[#This Row],[Injury_Next_Season]]=1, "Injury","No Injury")</f>
        <v>Injury</v>
      </c>
      <c r="W37" s="3">
        <v>22.471208763771401</v>
      </c>
    </row>
    <row r="38" spans="1:23" x14ac:dyDescent="0.25">
      <c r="A38" s="6">
        <v>21</v>
      </c>
      <c r="B38" s="8" t="str">
        <f>CONCATENATE(Table1[[#This Row],[Age]]," ", "years")</f>
        <v>21 years</v>
      </c>
      <c r="C38">
        <v>186</v>
      </c>
      <c r="D38">
        <v>51</v>
      </c>
      <c r="E38" t="s">
        <v>19</v>
      </c>
      <c r="F38" s="3">
        <v>7.0956657604942901</v>
      </c>
      <c r="G38" s="3">
        <v>14</v>
      </c>
      <c r="H38">
        <v>0</v>
      </c>
      <c r="I38" s="3">
        <v>77.859488213251097</v>
      </c>
      <c r="J38" s="3">
        <v>79.449173811330795</v>
      </c>
      <c r="K38" s="3">
        <v>212.784330533597</v>
      </c>
      <c r="L38" s="3">
        <v>91.698375490512603</v>
      </c>
      <c r="M38" s="3">
        <v>5.8681311099951898</v>
      </c>
      <c r="N38" s="3">
        <v>81.438744330172298</v>
      </c>
      <c r="O38" s="3">
        <v>6.6784551666146301</v>
      </c>
      <c r="P38" s="3">
        <v>44.883812375397603</v>
      </c>
      <c r="Q38" s="3">
        <v>68.728216103726893</v>
      </c>
      <c r="R38" s="3" t="str">
        <f>IF(Table1[[#This Row],[Nutrition_Quality_Score]]&lt;60, "Poor Nutrition",IF(AND(Table1[[#This Row],[Nutrition_Quality_Score]]&gt;=60,Table1[[#This Row],[Nutrition_Quality_Score]]&lt;=80),"Average Nutrition", "Good Nutrition"))</f>
        <v>Average Nutrition</v>
      </c>
      <c r="S38">
        <v>1</v>
      </c>
      <c r="T38" t="str">
        <f>IF(Table1[[#This Row],[Warmup_Routine_Adherence]]=1, "Adherent","Non-Adherent")</f>
        <v>Adherent</v>
      </c>
      <c r="U38">
        <v>0</v>
      </c>
      <c r="V38" t="str">
        <f>IF(Table1[[#This Row],[Injury_Next_Season]]=1, "Injury","No Injury")</f>
        <v>No Injury</v>
      </c>
      <c r="W38" s="3">
        <v>14.7415886229621</v>
      </c>
    </row>
    <row r="39" spans="1:23" x14ac:dyDescent="0.25">
      <c r="A39" s="6">
        <v>23</v>
      </c>
      <c r="B39" s="8" t="str">
        <f>CONCATENATE(Table1[[#This Row],[Age]]," ", "years")</f>
        <v>23 years</v>
      </c>
      <c r="C39">
        <v>170</v>
      </c>
      <c r="D39">
        <v>67</v>
      </c>
      <c r="E39" t="s">
        <v>22</v>
      </c>
      <c r="F39" s="3">
        <v>14.3526902864012</v>
      </c>
      <c r="G39" s="3">
        <v>28</v>
      </c>
      <c r="H39">
        <v>2</v>
      </c>
      <c r="I39" s="3">
        <v>80.790286073949304</v>
      </c>
      <c r="J39" s="3">
        <v>79.068012037569602</v>
      </c>
      <c r="K39" s="3">
        <v>263.03041229015298</v>
      </c>
      <c r="L39" s="3">
        <v>79.987885717133693</v>
      </c>
      <c r="M39" s="3">
        <v>6.09402136048742</v>
      </c>
      <c r="N39" s="3">
        <v>83.225702486667004</v>
      </c>
      <c r="O39" s="3">
        <v>6.8215323299756703</v>
      </c>
      <c r="P39" s="3">
        <v>59.736847756695298</v>
      </c>
      <c r="Q39" s="3">
        <v>69.685577873783799</v>
      </c>
      <c r="R39" s="3" t="str">
        <f>IF(Table1[[#This Row],[Nutrition_Quality_Score]]&lt;60, "Poor Nutrition",IF(AND(Table1[[#This Row],[Nutrition_Quality_Score]]&gt;=60,Table1[[#This Row],[Nutrition_Quality_Score]]&lt;=80),"Average Nutrition", "Good Nutrition"))</f>
        <v>Average Nutrition</v>
      </c>
      <c r="S39">
        <v>0</v>
      </c>
      <c r="T39" t="str">
        <f>IF(Table1[[#This Row],[Warmup_Routine_Adherence]]=1, "Adherent","Non-Adherent")</f>
        <v>Non-Adherent</v>
      </c>
      <c r="U39">
        <v>1</v>
      </c>
      <c r="V39" t="str">
        <f>IF(Table1[[#This Row],[Injury_Next_Season]]=1, "Injury","No Injury")</f>
        <v>Injury</v>
      </c>
      <c r="W39" s="3">
        <v>23.183391003460201</v>
      </c>
    </row>
    <row r="40" spans="1:23" x14ac:dyDescent="0.25">
      <c r="A40" s="6">
        <v>23</v>
      </c>
      <c r="B40" s="8" t="str">
        <f>CONCATENATE(Table1[[#This Row],[Age]]," ", "years")</f>
        <v>23 years</v>
      </c>
      <c r="C40">
        <v>176</v>
      </c>
      <c r="D40">
        <v>75</v>
      </c>
      <c r="E40" t="s">
        <v>19</v>
      </c>
      <c r="F40" s="3">
        <v>7.9477376901776404</v>
      </c>
      <c r="G40" s="3">
        <v>39</v>
      </c>
      <c r="H40">
        <v>0</v>
      </c>
      <c r="I40" s="3">
        <v>84.267586139881104</v>
      </c>
      <c r="J40" s="3">
        <v>76.192060229128899</v>
      </c>
      <c r="K40" s="3">
        <v>221.46598290409599</v>
      </c>
      <c r="L40" s="3">
        <v>89.365256491008594</v>
      </c>
      <c r="M40" s="3">
        <v>6.17816631989567</v>
      </c>
      <c r="N40" s="3">
        <v>88.1332341084033</v>
      </c>
      <c r="O40" s="3">
        <v>7.6287633676825202</v>
      </c>
      <c r="P40" s="3">
        <v>48.928106568159798</v>
      </c>
      <c r="Q40" s="3">
        <v>70.220037208140994</v>
      </c>
      <c r="R40" s="3" t="str">
        <f>IF(Table1[[#This Row],[Nutrition_Quality_Score]]&lt;60, "Poor Nutrition",IF(AND(Table1[[#This Row],[Nutrition_Quality_Score]]&gt;=60,Table1[[#This Row],[Nutrition_Quality_Score]]&lt;=80),"Average Nutrition", "Good Nutrition"))</f>
        <v>Average Nutrition</v>
      </c>
      <c r="S40">
        <v>1</v>
      </c>
      <c r="T40" t="str">
        <f>IF(Table1[[#This Row],[Warmup_Routine_Adherence]]=1, "Adherent","Non-Adherent")</f>
        <v>Adherent</v>
      </c>
      <c r="U40">
        <v>0</v>
      </c>
      <c r="V40" t="str">
        <f>IF(Table1[[#This Row],[Injury_Next_Season]]=1, "Injury","No Injury")</f>
        <v>No Injury</v>
      </c>
      <c r="W40" s="3">
        <v>24.2122933884297</v>
      </c>
    </row>
    <row r="41" spans="1:23" x14ac:dyDescent="0.25">
      <c r="A41" s="6">
        <v>21</v>
      </c>
      <c r="B41" s="8" t="str">
        <f>CONCATENATE(Table1[[#This Row],[Age]]," ", "years")</f>
        <v>21 years</v>
      </c>
      <c r="C41">
        <v>170</v>
      </c>
      <c r="D41">
        <v>80</v>
      </c>
      <c r="E41" t="s">
        <v>19</v>
      </c>
      <c r="F41" s="3">
        <v>10.2505636979002</v>
      </c>
      <c r="G41" s="3">
        <v>7</v>
      </c>
      <c r="H41">
        <v>0</v>
      </c>
      <c r="I41" s="3">
        <v>81.226313917096903</v>
      </c>
      <c r="J41" s="3">
        <v>79.022511917738299</v>
      </c>
      <c r="K41" s="3">
        <v>241.97164674262501</v>
      </c>
      <c r="L41" s="3">
        <v>91.003638103108798</v>
      </c>
      <c r="M41" s="3">
        <v>5.8593621612753299</v>
      </c>
      <c r="N41" s="3">
        <v>84.020305141397401</v>
      </c>
      <c r="O41" s="3">
        <v>7.6137311551152296</v>
      </c>
      <c r="P41" s="3">
        <v>44.814835335110999</v>
      </c>
      <c r="Q41" s="3">
        <v>77.370174237290001</v>
      </c>
      <c r="R41" s="3" t="str">
        <f>IF(Table1[[#This Row],[Nutrition_Quality_Score]]&lt;60, "Poor Nutrition",IF(AND(Table1[[#This Row],[Nutrition_Quality_Score]]&gt;=60,Table1[[#This Row],[Nutrition_Quality_Score]]&lt;=80),"Average Nutrition", "Good Nutrition"))</f>
        <v>Average Nutrition</v>
      </c>
      <c r="S41">
        <v>1</v>
      </c>
      <c r="T41" t="str">
        <f>IF(Table1[[#This Row],[Warmup_Routine_Adherence]]=1, "Adherent","Non-Adherent")</f>
        <v>Adherent</v>
      </c>
      <c r="U41">
        <v>0</v>
      </c>
      <c r="V41" t="str">
        <f>IF(Table1[[#This Row],[Injury_Next_Season]]=1, "Injury","No Injury")</f>
        <v>No Injury</v>
      </c>
      <c r="W41" s="3">
        <v>27.681660899653899</v>
      </c>
    </row>
    <row r="42" spans="1:23" x14ac:dyDescent="0.25">
      <c r="A42" s="6">
        <v>20</v>
      </c>
      <c r="B42" s="8" t="str">
        <f>CONCATENATE(Table1[[#This Row],[Age]]," ", "years")</f>
        <v>20 years</v>
      </c>
      <c r="C42">
        <v>173</v>
      </c>
      <c r="D42">
        <v>69</v>
      </c>
      <c r="E42" t="s">
        <v>22</v>
      </c>
      <c r="F42" s="3">
        <v>13.719237427544201</v>
      </c>
      <c r="G42" s="3">
        <v>15</v>
      </c>
      <c r="H42">
        <v>3</v>
      </c>
      <c r="I42" s="3">
        <v>76.652816316763406</v>
      </c>
      <c r="J42" s="3">
        <v>81.560310147407293</v>
      </c>
      <c r="K42" s="3">
        <v>282.78861997889499</v>
      </c>
      <c r="L42" s="3">
        <v>81.5818894510398</v>
      </c>
      <c r="M42" s="3">
        <v>6.1074895287412199</v>
      </c>
      <c r="N42" s="3">
        <v>90.143219663611006</v>
      </c>
      <c r="O42" s="3">
        <v>7.92197246708312</v>
      </c>
      <c r="P42" s="3">
        <v>75.307463864333101</v>
      </c>
      <c r="Q42" s="3">
        <v>68.376945303499099</v>
      </c>
      <c r="R42" s="3" t="str">
        <f>IF(Table1[[#This Row],[Nutrition_Quality_Score]]&lt;60, "Poor Nutrition",IF(AND(Table1[[#This Row],[Nutrition_Quality_Score]]&gt;=60,Table1[[#This Row],[Nutrition_Quality_Score]]&lt;=80),"Average Nutrition", "Good Nutrition"))</f>
        <v>Average Nutrition</v>
      </c>
      <c r="S42">
        <v>0</v>
      </c>
      <c r="T42" t="str">
        <f>IF(Table1[[#This Row],[Warmup_Routine_Adherence]]=1, "Adherent","Non-Adherent")</f>
        <v>Non-Adherent</v>
      </c>
      <c r="U42">
        <v>1</v>
      </c>
      <c r="V42" t="str">
        <f>IF(Table1[[#This Row],[Injury_Next_Season]]=1, "Injury","No Injury")</f>
        <v>Injury</v>
      </c>
      <c r="W42" s="3">
        <v>23.054562464499298</v>
      </c>
    </row>
    <row r="43" spans="1:23" x14ac:dyDescent="0.25">
      <c r="A43" s="6">
        <v>24</v>
      </c>
      <c r="B43" s="8" t="str">
        <f>CONCATENATE(Table1[[#This Row],[Age]]," ", "years")</f>
        <v>24 years</v>
      </c>
      <c r="C43">
        <v>175</v>
      </c>
      <c r="D43">
        <v>77</v>
      </c>
      <c r="E43" t="s">
        <v>22</v>
      </c>
      <c r="F43" s="3">
        <v>8.4425851040597202</v>
      </c>
      <c r="G43" s="3">
        <v>21</v>
      </c>
      <c r="H43">
        <v>1</v>
      </c>
      <c r="I43" s="3">
        <v>52.391351328744399</v>
      </c>
      <c r="J43" s="3">
        <v>65.614185790222706</v>
      </c>
      <c r="K43" s="3">
        <v>251.833730682674</v>
      </c>
      <c r="L43" s="3">
        <v>87.0943925813189</v>
      </c>
      <c r="M43" s="3">
        <v>5.5856109011937001</v>
      </c>
      <c r="N43" s="3">
        <v>69.952087665272003</v>
      </c>
      <c r="O43" s="3">
        <v>7.4119711727393103</v>
      </c>
      <c r="P43" s="3">
        <v>75.830283627020293</v>
      </c>
      <c r="Q43" s="3">
        <v>91.782401345361095</v>
      </c>
      <c r="R43" s="3" t="str">
        <f>IF(Table1[[#This Row],[Nutrition_Quality_Score]]&lt;60, "Poor Nutrition",IF(AND(Table1[[#This Row],[Nutrition_Quality_Score]]&gt;=60,Table1[[#This Row],[Nutrition_Quality_Score]]&lt;=80),"Average Nutrition", "Good Nutrition"))</f>
        <v>Good Nutrition</v>
      </c>
      <c r="S43">
        <v>1</v>
      </c>
      <c r="T43" t="str">
        <f>IF(Table1[[#This Row],[Warmup_Routine_Adherence]]=1, "Adherent","Non-Adherent")</f>
        <v>Adherent</v>
      </c>
      <c r="U43">
        <v>1</v>
      </c>
      <c r="V43" t="str">
        <f>IF(Table1[[#This Row],[Injury_Next_Season]]=1, "Injury","No Injury")</f>
        <v>Injury</v>
      </c>
      <c r="W43" s="3">
        <v>25.1428571428571</v>
      </c>
    </row>
    <row r="44" spans="1:23" x14ac:dyDescent="0.25">
      <c r="A44" s="6">
        <v>23</v>
      </c>
      <c r="B44" s="8" t="str">
        <f>CONCATENATE(Table1[[#This Row],[Age]]," ", "years")</f>
        <v>23 years</v>
      </c>
      <c r="C44">
        <v>169</v>
      </c>
      <c r="D44">
        <v>56</v>
      </c>
      <c r="E44" t="s">
        <v>19</v>
      </c>
      <c r="F44" s="3">
        <v>12.8649723647237</v>
      </c>
      <c r="G44" s="3">
        <v>36</v>
      </c>
      <c r="H44">
        <v>2</v>
      </c>
      <c r="I44" s="3">
        <v>64.063474624380802</v>
      </c>
      <c r="J44" s="3">
        <v>74.294810286572798</v>
      </c>
      <c r="K44" s="3">
        <v>247.055113787979</v>
      </c>
      <c r="L44" s="3">
        <v>81.510105036238699</v>
      </c>
      <c r="M44" s="3">
        <v>6.3321488657709901</v>
      </c>
      <c r="N44" s="3">
        <v>91.934458164260604</v>
      </c>
      <c r="O44" s="3">
        <v>6.9268517652622501</v>
      </c>
      <c r="P44" s="3">
        <v>61.194076433580101</v>
      </c>
      <c r="Q44" s="3">
        <v>64.915671273690904</v>
      </c>
      <c r="R44" s="3" t="str">
        <f>IF(Table1[[#This Row],[Nutrition_Quality_Score]]&lt;60, "Poor Nutrition",IF(AND(Table1[[#This Row],[Nutrition_Quality_Score]]&gt;=60,Table1[[#This Row],[Nutrition_Quality_Score]]&lt;=80),"Average Nutrition", "Good Nutrition"))</f>
        <v>Average Nutrition</v>
      </c>
      <c r="S44">
        <v>1</v>
      </c>
      <c r="T44" t="str">
        <f>IF(Table1[[#This Row],[Warmup_Routine_Adherence]]=1, "Adherent","Non-Adherent")</f>
        <v>Adherent</v>
      </c>
      <c r="U44">
        <v>1</v>
      </c>
      <c r="V44" t="str">
        <f>IF(Table1[[#This Row],[Injury_Next_Season]]=1, "Injury","No Injury")</f>
        <v>Injury</v>
      </c>
      <c r="W44" s="3">
        <v>19.607156612163401</v>
      </c>
    </row>
    <row r="45" spans="1:23" x14ac:dyDescent="0.25">
      <c r="A45" s="6">
        <v>19</v>
      </c>
      <c r="B45" s="8" t="str">
        <f>CONCATENATE(Table1[[#This Row],[Age]]," ", "years")</f>
        <v>19 years</v>
      </c>
      <c r="C45">
        <v>189</v>
      </c>
      <c r="D45">
        <v>76</v>
      </c>
      <c r="E45" t="s">
        <v>21</v>
      </c>
      <c r="F45" s="3">
        <v>6.1412846180964804</v>
      </c>
      <c r="G45" s="3">
        <v>8</v>
      </c>
      <c r="H45">
        <v>1</v>
      </c>
      <c r="I45" s="3">
        <v>69.871327769809895</v>
      </c>
      <c r="J45" s="3">
        <v>80.404457419375206</v>
      </c>
      <c r="K45" s="3">
        <v>229.26700015834101</v>
      </c>
      <c r="L45" s="3">
        <v>83.4848721210289</v>
      </c>
      <c r="M45" s="3">
        <v>5.0560388043670903</v>
      </c>
      <c r="N45" s="3">
        <v>71.271135660573407</v>
      </c>
      <c r="O45" s="3">
        <v>6.6638324150004404</v>
      </c>
      <c r="P45" s="3">
        <v>58.456594216150997</v>
      </c>
      <c r="Q45" s="3">
        <v>84.556894415389294</v>
      </c>
      <c r="R45" s="3" t="str">
        <f>IF(Table1[[#This Row],[Nutrition_Quality_Score]]&lt;60, "Poor Nutrition",IF(AND(Table1[[#This Row],[Nutrition_Quality_Score]]&gt;=60,Table1[[#This Row],[Nutrition_Quality_Score]]&lt;=80),"Average Nutrition", "Good Nutrition"))</f>
        <v>Good Nutrition</v>
      </c>
      <c r="S45">
        <v>0</v>
      </c>
      <c r="T45" t="str">
        <f>IF(Table1[[#This Row],[Warmup_Routine_Adherence]]=1, "Adherent","Non-Adherent")</f>
        <v>Non-Adherent</v>
      </c>
      <c r="U45">
        <v>1</v>
      </c>
      <c r="V45" t="str">
        <f>IF(Table1[[#This Row],[Injury_Next_Season]]=1, "Injury","No Injury")</f>
        <v>Injury</v>
      </c>
      <c r="W45" s="3">
        <v>21.276000111978899</v>
      </c>
    </row>
    <row r="46" spans="1:23" x14ac:dyDescent="0.25">
      <c r="A46" s="6">
        <v>20</v>
      </c>
      <c r="B46" s="8" t="str">
        <f>CONCATENATE(Table1[[#This Row],[Age]]," ", "years")</f>
        <v>20 years</v>
      </c>
      <c r="C46">
        <v>176</v>
      </c>
      <c r="D46">
        <v>83</v>
      </c>
      <c r="E46" t="s">
        <v>22</v>
      </c>
      <c r="F46" s="3">
        <v>8.4223677686982601</v>
      </c>
      <c r="G46" s="3">
        <v>23</v>
      </c>
      <c r="H46">
        <v>2</v>
      </c>
      <c r="I46" s="3">
        <v>82.807464843077</v>
      </c>
      <c r="J46" s="3">
        <v>84.328817379259903</v>
      </c>
      <c r="K46" s="3">
        <v>242.367081349383</v>
      </c>
      <c r="L46" s="3">
        <v>98.132326401575597</v>
      </c>
      <c r="M46" s="3">
        <v>5.8938546373877303</v>
      </c>
      <c r="N46" s="3">
        <v>82.575123406684796</v>
      </c>
      <c r="O46" s="3">
        <v>6.7194015027341996</v>
      </c>
      <c r="P46" s="3">
        <v>68.390492259332106</v>
      </c>
      <c r="Q46" s="3">
        <v>90.985265307238393</v>
      </c>
      <c r="R46" s="3" t="str">
        <f>IF(Table1[[#This Row],[Nutrition_Quality_Score]]&lt;60, "Poor Nutrition",IF(AND(Table1[[#This Row],[Nutrition_Quality_Score]]&gt;=60,Table1[[#This Row],[Nutrition_Quality_Score]]&lt;=80),"Average Nutrition", "Good Nutrition"))</f>
        <v>Good Nutrition</v>
      </c>
      <c r="S46">
        <v>1</v>
      </c>
      <c r="T46" t="str">
        <f>IF(Table1[[#This Row],[Warmup_Routine_Adherence]]=1, "Adherent","Non-Adherent")</f>
        <v>Adherent</v>
      </c>
      <c r="U46">
        <v>0</v>
      </c>
      <c r="V46" t="str">
        <f>IF(Table1[[#This Row],[Injury_Next_Season]]=1, "Injury","No Injury")</f>
        <v>No Injury</v>
      </c>
      <c r="W46" s="3">
        <v>26.794938016528899</v>
      </c>
    </row>
    <row r="47" spans="1:23" x14ac:dyDescent="0.25">
      <c r="A47" s="6">
        <v>19</v>
      </c>
      <c r="B47" s="8" t="str">
        <f>CONCATENATE(Table1[[#This Row],[Age]]," ", "years")</f>
        <v>19 years</v>
      </c>
      <c r="C47">
        <v>171</v>
      </c>
      <c r="D47">
        <v>69</v>
      </c>
      <c r="E47" t="s">
        <v>20</v>
      </c>
      <c r="F47" s="3">
        <v>11.8120264957068</v>
      </c>
      <c r="G47" s="3">
        <v>34</v>
      </c>
      <c r="H47">
        <v>0</v>
      </c>
      <c r="I47" s="3">
        <v>80.216696564828098</v>
      </c>
      <c r="J47" s="3">
        <v>95.570873824139795</v>
      </c>
      <c r="K47" s="3">
        <v>254.523699203749</v>
      </c>
      <c r="L47" s="3">
        <v>89.415801172792897</v>
      </c>
      <c r="M47" s="3">
        <v>6.2338568535519299</v>
      </c>
      <c r="N47" s="3">
        <v>70.603764430041295</v>
      </c>
      <c r="O47" s="3">
        <v>7.9684922575225503</v>
      </c>
      <c r="P47" s="3">
        <v>59.270202385867201</v>
      </c>
      <c r="Q47" s="3">
        <v>59.066074436740003</v>
      </c>
      <c r="R47" s="3" t="str">
        <f>IF(Table1[[#This Row],[Nutrition_Quality_Score]]&lt;60, "Poor Nutrition",IF(AND(Table1[[#This Row],[Nutrition_Quality_Score]]&gt;=60,Table1[[#This Row],[Nutrition_Quality_Score]]&lt;=80),"Average Nutrition", "Good Nutrition"))</f>
        <v>Poor Nutrition</v>
      </c>
      <c r="S47">
        <v>1</v>
      </c>
      <c r="T47" t="str">
        <f>IF(Table1[[#This Row],[Warmup_Routine_Adherence]]=1, "Adherent","Non-Adherent")</f>
        <v>Adherent</v>
      </c>
      <c r="U47">
        <v>0</v>
      </c>
      <c r="V47" t="str">
        <f>IF(Table1[[#This Row],[Injury_Next_Season]]=1, "Injury","No Injury")</f>
        <v>No Injury</v>
      </c>
      <c r="W47" s="3">
        <v>23.597004206422401</v>
      </c>
    </row>
    <row r="48" spans="1:23" x14ac:dyDescent="0.25">
      <c r="A48" s="6">
        <v>20</v>
      </c>
      <c r="B48" s="8" t="str">
        <f>CONCATENATE(Table1[[#This Row],[Age]]," ", "years")</f>
        <v>20 years</v>
      </c>
      <c r="C48">
        <v>180</v>
      </c>
      <c r="D48">
        <v>69</v>
      </c>
      <c r="E48" t="s">
        <v>21</v>
      </c>
      <c r="F48" s="3">
        <v>8.0379070617670507</v>
      </c>
      <c r="G48" s="3">
        <v>23</v>
      </c>
      <c r="H48">
        <v>0</v>
      </c>
      <c r="I48" s="3">
        <v>80.547020738933497</v>
      </c>
      <c r="J48" s="3">
        <v>86.111363811657299</v>
      </c>
      <c r="K48" s="3">
        <v>251.94824345559101</v>
      </c>
      <c r="L48" s="3">
        <v>88.5404133247483</v>
      </c>
      <c r="M48" s="3">
        <v>6.2091647750546803</v>
      </c>
      <c r="N48" s="3">
        <v>98.483967933144996</v>
      </c>
      <c r="O48" s="3">
        <v>7.2908297102721003</v>
      </c>
      <c r="P48" s="3">
        <v>45.0392413211096</v>
      </c>
      <c r="Q48" s="3">
        <v>75.762147279738898</v>
      </c>
      <c r="R48" s="3" t="str">
        <f>IF(Table1[[#This Row],[Nutrition_Quality_Score]]&lt;60, "Poor Nutrition",IF(AND(Table1[[#This Row],[Nutrition_Quality_Score]]&gt;=60,Table1[[#This Row],[Nutrition_Quality_Score]]&lt;=80),"Average Nutrition", "Good Nutrition"))</f>
        <v>Average Nutrition</v>
      </c>
      <c r="S48">
        <v>1</v>
      </c>
      <c r="T48" t="str">
        <f>IF(Table1[[#This Row],[Warmup_Routine_Adherence]]=1, "Adherent","Non-Adherent")</f>
        <v>Adherent</v>
      </c>
      <c r="U48">
        <v>0</v>
      </c>
      <c r="V48" t="str">
        <f>IF(Table1[[#This Row],[Injury_Next_Season]]=1, "Injury","No Injury")</f>
        <v>No Injury</v>
      </c>
      <c r="W48" s="3">
        <v>21.296296296296202</v>
      </c>
    </row>
    <row r="49" spans="1:23" x14ac:dyDescent="0.25">
      <c r="A49" s="6">
        <v>19</v>
      </c>
      <c r="B49" s="8" t="str">
        <f>CONCATENATE(Table1[[#This Row],[Age]]," ", "years")</f>
        <v>19 years</v>
      </c>
      <c r="C49">
        <v>169</v>
      </c>
      <c r="D49">
        <v>88</v>
      </c>
      <c r="E49" t="s">
        <v>19</v>
      </c>
      <c r="F49" s="3">
        <v>14.6168125337558</v>
      </c>
      <c r="G49" s="3">
        <v>9</v>
      </c>
      <c r="H49">
        <v>0</v>
      </c>
      <c r="I49" s="3">
        <v>72.120322219222302</v>
      </c>
      <c r="J49" s="3">
        <v>78.928839658987599</v>
      </c>
      <c r="K49" s="3">
        <v>284.51542344830699</v>
      </c>
      <c r="L49" s="3">
        <v>91.635238856415</v>
      </c>
      <c r="M49" s="3">
        <v>6.0427901321953197</v>
      </c>
      <c r="N49" s="3">
        <v>76.017037686745098</v>
      </c>
      <c r="O49" s="3">
        <v>8.1699137771949708</v>
      </c>
      <c r="P49" s="3">
        <v>61.138582287632403</v>
      </c>
      <c r="Q49" s="3">
        <v>65.854199394932294</v>
      </c>
      <c r="R49" s="3" t="str">
        <f>IF(Table1[[#This Row],[Nutrition_Quality_Score]]&lt;60, "Poor Nutrition",IF(AND(Table1[[#This Row],[Nutrition_Quality_Score]]&gt;=60,Table1[[#This Row],[Nutrition_Quality_Score]]&lt;=80),"Average Nutrition", "Good Nutrition"))</f>
        <v>Average Nutrition</v>
      </c>
      <c r="S49">
        <v>1</v>
      </c>
      <c r="T49" t="str">
        <f>IF(Table1[[#This Row],[Warmup_Routine_Adherence]]=1, "Adherent","Non-Adherent")</f>
        <v>Adherent</v>
      </c>
      <c r="U49">
        <v>0</v>
      </c>
      <c r="V49" t="str">
        <f>IF(Table1[[#This Row],[Injury_Next_Season]]=1, "Injury","No Injury")</f>
        <v>No Injury</v>
      </c>
      <c r="W49" s="3">
        <v>30.8112461048282</v>
      </c>
    </row>
    <row r="50" spans="1:23" x14ac:dyDescent="0.25">
      <c r="A50" s="6">
        <v>22</v>
      </c>
      <c r="B50" s="8" t="str">
        <f>CONCATENATE(Table1[[#This Row],[Age]]," ", "years")</f>
        <v>22 years</v>
      </c>
      <c r="C50">
        <v>186</v>
      </c>
      <c r="D50">
        <v>88</v>
      </c>
      <c r="E50" t="s">
        <v>21</v>
      </c>
      <c r="F50" s="3">
        <v>11.6687106329023</v>
      </c>
      <c r="G50" s="3">
        <v>26</v>
      </c>
      <c r="H50">
        <v>5</v>
      </c>
      <c r="I50" s="3">
        <v>83.984055369752099</v>
      </c>
      <c r="J50" s="3">
        <v>79.9380408434061</v>
      </c>
      <c r="K50" s="3">
        <v>261.32394028765299</v>
      </c>
      <c r="L50" s="3">
        <v>85.753073932861994</v>
      </c>
      <c r="M50" s="3">
        <v>6.0878200304409997</v>
      </c>
      <c r="N50" s="3">
        <v>83.952197516892497</v>
      </c>
      <c r="O50" s="3">
        <v>7.6435651740388</v>
      </c>
      <c r="P50" s="3">
        <v>48.507216056461303</v>
      </c>
      <c r="Q50" s="3">
        <v>65.967493967180303</v>
      </c>
      <c r="R50" s="3" t="str">
        <f>IF(Table1[[#This Row],[Nutrition_Quality_Score]]&lt;60, "Poor Nutrition",IF(AND(Table1[[#This Row],[Nutrition_Quality_Score]]&gt;=60,Table1[[#This Row],[Nutrition_Quality_Score]]&lt;=80),"Average Nutrition", "Good Nutrition"))</f>
        <v>Average Nutrition</v>
      </c>
      <c r="S50">
        <v>1</v>
      </c>
      <c r="T50" t="str">
        <f>IF(Table1[[#This Row],[Warmup_Routine_Adherence]]=1, "Adherent","Non-Adherent")</f>
        <v>Adherent</v>
      </c>
      <c r="U50">
        <v>0</v>
      </c>
      <c r="V50" t="str">
        <f>IF(Table1[[#This Row],[Injury_Next_Season]]=1, "Injury","No Injury")</f>
        <v>No Injury</v>
      </c>
      <c r="W50" s="3">
        <v>25.436466643542602</v>
      </c>
    </row>
    <row r="51" spans="1:23" x14ac:dyDescent="0.25">
      <c r="A51" s="6">
        <v>23</v>
      </c>
      <c r="B51" s="8" t="str">
        <f>CONCATENATE(Table1[[#This Row],[Age]]," ", "years")</f>
        <v>23 years</v>
      </c>
      <c r="C51">
        <v>169</v>
      </c>
      <c r="D51">
        <v>58</v>
      </c>
      <c r="E51" t="s">
        <v>22</v>
      </c>
      <c r="F51" s="3">
        <v>6.4052625913821402</v>
      </c>
      <c r="G51" s="3">
        <v>24</v>
      </c>
      <c r="H51">
        <v>1</v>
      </c>
      <c r="I51" s="3">
        <v>87.440295453966598</v>
      </c>
      <c r="J51" s="3">
        <v>75.839150554816101</v>
      </c>
      <c r="K51" s="3">
        <v>228.267519952047</v>
      </c>
      <c r="L51" s="3">
        <v>89.445116334900106</v>
      </c>
      <c r="M51" s="3">
        <v>6.5218138578893399</v>
      </c>
      <c r="N51" s="3">
        <v>71.924438103165699</v>
      </c>
      <c r="O51" s="3">
        <v>6.4283592477764202</v>
      </c>
      <c r="P51" s="3">
        <v>44.107660591274403</v>
      </c>
      <c r="Q51" s="3">
        <v>86.340696547479894</v>
      </c>
      <c r="R51" s="3" t="str">
        <f>IF(Table1[[#This Row],[Nutrition_Quality_Score]]&lt;60, "Poor Nutrition",IF(AND(Table1[[#This Row],[Nutrition_Quality_Score]]&gt;=60,Table1[[#This Row],[Nutrition_Quality_Score]]&lt;=80),"Average Nutrition", "Good Nutrition"))</f>
        <v>Good Nutrition</v>
      </c>
      <c r="S51">
        <v>1</v>
      </c>
      <c r="T51" t="str">
        <f>IF(Table1[[#This Row],[Warmup_Routine_Adherence]]=1, "Adherent","Non-Adherent")</f>
        <v>Adherent</v>
      </c>
      <c r="U51">
        <v>0</v>
      </c>
      <c r="V51" t="str">
        <f>IF(Table1[[#This Row],[Injury_Next_Season]]=1, "Injury","No Injury")</f>
        <v>No Injury</v>
      </c>
      <c r="W51" s="3">
        <v>20.307412205454899</v>
      </c>
    </row>
    <row r="52" spans="1:23" x14ac:dyDescent="0.25">
      <c r="A52" s="6">
        <v>23</v>
      </c>
      <c r="B52" s="8" t="str">
        <f>CONCATENATE(Table1[[#This Row],[Age]]," ", "years")</f>
        <v>23 years</v>
      </c>
      <c r="C52">
        <v>171</v>
      </c>
      <c r="D52">
        <v>72</v>
      </c>
      <c r="E52" t="s">
        <v>19</v>
      </c>
      <c r="F52" s="3">
        <v>14.2708263205779</v>
      </c>
      <c r="G52" s="3">
        <v>24</v>
      </c>
      <c r="H52">
        <v>1</v>
      </c>
      <c r="I52" s="3">
        <v>74.868321030082399</v>
      </c>
      <c r="J52" s="3">
        <v>80.559333265264897</v>
      </c>
      <c r="K52" s="3">
        <v>276.61263800453298</v>
      </c>
      <c r="L52" s="3">
        <v>75.506867401590796</v>
      </c>
      <c r="M52" s="3">
        <v>5.5667355723735499</v>
      </c>
      <c r="N52" s="3">
        <v>80.747962803114703</v>
      </c>
      <c r="O52" s="3">
        <v>6.6971651600997903</v>
      </c>
      <c r="P52" s="3">
        <v>70.679794909231902</v>
      </c>
      <c r="Q52" s="3">
        <v>68.027103531480407</v>
      </c>
      <c r="R52" s="3" t="str">
        <f>IF(Table1[[#This Row],[Nutrition_Quality_Score]]&lt;60, "Poor Nutrition",IF(AND(Table1[[#This Row],[Nutrition_Quality_Score]]&gt;=60,Table1[[#This Row],[Nutrition_Quality_Score]]&lt;=80),"Average Nutrition", "Good Nutrition"))</f>
        <v>Average Nutrition</v>
      </c>
      <c r="S52">
        <v>1</v>
      </c>
      <c r="T52" t="str">
        <f>IF(Table1[[#This Row],[Warmup_Routine_Adherence]]=1, "Adherent","Non-Adherent")</f>
        <v>Adherent</v>
      </c>
      <c r="U52">
        <v>1</v>
      </c>
      <c r="V52" t="str">
        <f>IF(Table1[[#This Row],[Injury_Next_Season]]=1, "Injury","No Injury")</f>
        <v>Injury</v>
      </c>
      <c r="W52" s="3">
        <v>24.6229609110495</v>
      </c>
    </row>
    <row r="53" spans="1:23" x14ac:dyDescent="0.25">
      <c r="A53" s="6">
        <v>18</v>
      </c>
      <c r="B53" s="8" t="str">
        <f>CONCATENATE(Table1[[#This Row],[Age]]," ", "years")</f>
        <v>18 years</v>
      </c>
      <c r="C53">
        <v>171</v>
      </c>
      <c r="D53">
        <v>72</v>
      </c>
      <c r="E53" t="s">
        <v>21</v>
      </c>
      <c r="F53" s="3">
        <v>6.4723865093515904</v>
      </c>
      <c r="G53" s="3">
        <v>31</v>
      </c>
      <c r="H53">
        <v>2</v>
      </c>
      <c r="I53" s="3">
        <v>68.039565711073706</v>
      </c>
      <c r="J53" s="3">
        <v>73.050778687240694</v>
      </c>
      <c r="K53" s="3">
        <v>279.78627680464803</v>
      </c>
      <c r="L53" s="3">
        <v>85.926045082712506</v>
      </c>
      <c r="M53" s="3">
        <v>6.1702324437907903</v>
      </c>
      <c r="N53" s="3">
        <v>86.389638101788407</v>
      </c>
      <c r="O53" s="3">
        <v>7.3970786411217002</v>
      </c>
      <c r="P53" s="3">
        <v>71.404404387978204</v>
      </c>
      <c r="Q53" s="3">
        <v>64.213070223540996</v>
      </c>
      <c r="R53" s="3" t="str">
        <f>IF(Table1[[#This Row],[Nutrition_Quality_Score]]&lt;60, "Poor Nutrition",IF(AND(Table1[[#This Row],[Nutrition_Quality_Score]]&gt;=60,Table1[[#This Row],[Nutrition_Quality_Score]]&lt;=80),"Average Nutrition", "Good Nutrition"))</f>
        <v>Average Nutrition</v>
      </c>
      <c r="S53">
        <v>0</v>
      </c>
      <c r="T53" t="str">
        <f>IF(Table1[[#This Row],[Warmup_Routine_Adherence]]=1, "Adherent","Non-Adherent")</f>
        <v>Non-Adherent</v>
      </c>
      <c r="U53">
        <v>1</v>
      </c>
      <c r="V53" t="str">
        <f>IF(Table1[[#This Row],[Injury_Next_Season]]=1, "Injury","No Injury")</f>
        <v>Injury</v>
      </c>
      <c r="W53" s="3">
        <v>24.6229609110495</v>
      </c>
    </row>
    <row r="54" spans="1:23" x14ac:dyDescent="0.25">
      <c r="A54" s="6">
        <v>18</v>
      </c>
      <c r="B54" s="8" t="str">
        <f>CONCATENATE(Table1[[#This Row],[Age]]," ", "years")</f>
        <v>18 years</v>
      </c>
      <c r="C54">
        <v>178</v>
      </c>
      <c r="D54">
        <v>75</v>
      </c>
      <c r="E54" t="s">
        <v>21</v>
      </c>
      <c r="F54" s="3">
        <v>6.7964807958272502</v>
      </c>
      <c r="G54" s="3">
        <v>33</v>
      </c>
      <c r="H54">
        <v>3</v>
      </c>
      <c r="I54" s="3">
        <v>77.339167057923802</v>
      </c>
      <c r="J54" s="3">
        <v>83.204336494251095</v>
      </c>
      <c r="K54" s="3">
        <v>250.80006225884301</v>
      </c>
      <c r="L54" s="3">
        <v>78.742458285362403</v>
      </c>
      <c r="M54" s="3">
        <v>6.2805954563132698</v>
      </c>
      <c r="N54" s="3">
        <v>75.871406018514307</v>
      </c>
      <c r="O54" s="3">
        <v>9.3038490290130706</v>
      </c>
      <c r="P54" s="3">
        <v>39.914922063926902</v>
      </c>
      <c r="Q54" s="3">
        <v>85.227239000751496</v>
      </c>
      <c r="R54" s="3" t="str">
        <f>IF(Table1[[#This Row],[Nutrition_Quality_Score]]&lt;60, "Poor Nutrition",IF(AND(Table1[[#This Row],[Nutrition_Quality_Score]]&gt;=60,Table1[[#This Row],[Nutrition_Quality_Score]]&lt;=80),"Average Nutrition", "Good Nutrition"))</f>
        <v>Good Nutrition</v>
      </c>
      <c r="S54">
        <v>1</v>
      </c>
      <c r="T54" t="str">
        <f>IF(Table1[[#This Row],[Warmup_Routine_Adherence]]=1, "Adherent","Non-Adherent")</f>
        <v>Adherent</v>
      </c>
      <c r="U54">
        <v>0</v>
      </c>
      <c r="V54" t="str">
        <f>IF(Table1[[#This Row],[Injury_Next_Season]]=1, "Injury","No Injury")</f>
        <v>No Injury</v>
      </c>
      <c r="W54" s="3">
        <v>23.671253629592201</v>
      </c>
    </row>
    <row r="55" spans="1:23" x14ac:dyDescent="0.25">
      <c r="A55" s="6">
        <v>19</v>
      </c>
      <c r="B55" s="8" t="str">
        <f>CONCATENATE(Table1[[#This Row],[Age]]," ", "years")</f>
        <v>19 years</v>
      </c>
      <c r="C55">
        <v>182</v>
      </c>
      <c r="D55">
        <v>76</v>
      </c>
      <c r="E55" t="s">
        <v>20</v>
      </c>
      <c r="F55" s="3">
        <v>10.7895260563233</v>
      </c>
      <c r="G55" s="3">
        <v>26</v>
      </c>
      <c r="H55">
        <v>3</v>
      </c>
      <c r="I55" s="3">
        <v>71.4397653826463</v>
      </c>
      <c r="J55" s="3">
        <v>73.247595300102503</v>
      </c>
      <c r="K55" s="3">
        <v>225.246383076065</v>
      </c>
      <c r="L55" s="3">
        <v>85.931174869098598</v>
      </c>
      <c r="M55" s="3">
        <v>5.8947233769965601</v>
      </c>
      <c r="N55" s="3">
        <v>73.205286083862305</v>
      </c>
      <c r="O55" s="3">
        <v>7.2159497162581703</v>
      </c>
      <c r="P55" s="3">
        <v>60.7949434181917</v>
      </c>
      <c r="Q55" s="3">
        <v>68.3859199261572</v>
      </c>
      <c r="R55" s="3" t="str">
        <f>IF(Table1[[#This Row],[Nutrition_Quality_Score]]&lt;60, "Poor Nutrition",IF(AND(Table1[[#This Row],[Nutrition_Quality_Score]]&gt;=60,Table1[[#This Row],[Nutrition_Quality_Score]]&lt;=80),"Average Nutrition", "Good Nutrition"))</f>
        <v>Average Nutrition</v>
      </c>
      <c r="S55">
        <v>0</v>
      </c>
      <c r="T55" t="str">
        <f>IF(Table1[[#This Row],[Warmup_Routine_Adherence]]=1, "Adherent","Non-Adherent")</f>
        <v>Non-Adherent</v>
      </c>
      <c r="U55">
        <v>1</v>
      </c>
      <c r="V55" t="str">
        <f>IF(Table1[[#This Row],[Injury_Next_Season]]=1, "Injury","No Injury")</f>
        <v>Injury</v>
      </c>
      <c r="W55" s="3">
        <v>22.944088878154801</v>
      </c>
    </row>
    <row r="56" spans="1:23" x14ac:dyDescent="0.25">
      <c r="A56" s="6">
        <v>18</v>
      </c>
      <c r="B56" s="8" t="str">
        <f>CONCATENATE(Table1[[#This Row],[Age]]," ", "years")</f>
        <v>18 years</v>
      </c>
      <c r="C56">
        <v>184</v>
      </c>
      <c r="D56">
        <v>71</v>
      </c>
      <c r="E56" t="s">
        <v>19</v>
      </c>
      <c r="F56" s="3">
        <v>10.6688993295224</v>
      </c>
      <c r="G56" s="3">
        <v>9</v>
      </c>
      <c r="H56">
        <v>3</v>
      </c>
      <c r="I56" s="3">
        <v>79.069297999043002</v>
      </c>
      <c r="J56" s="3">
        <v>75.4392599797157</v>
      </c>
      <c r="K56" s="3">
        <v>245.49835556870599</v>
      </c>
      <c r="L56" s="3">
        <v>89.414235704050995</v>
      </c>
      <c r="M56" s="3">
        <v>5.9074952491726602</v>
      </c>
      <c r="N56" s="3">
        <v>79.794014096521806</v>
      </c>
      <c r="O56" s="3">
        <v>7.7388560018719001</v>
      </c>
      <c r="P56" s="3">
        <v>59.983516549867602</v>
      </c>
      <c r="Q56" s="3">
        <v>59.895287912934599</v>
      </c>
      <c r="R56" s="3" t="str">
        <f>IF(Table1[[#This Row],[Nutrition_Quality_Score]]&lt;60, "Poor Nutrition",IF(AND(Table1[[#This Row],[Nutrition_Quality_Score]]&gt;=60,Table1[[#This Row],[Nutrition_Quality_Score]]&lt;=80),"Average Nutrition", "Good Nutrition"))</f>
        <v>Poor Nutrition</v>
      </c>
      <c r="S56">
        <v>0</v>
      </c>
      <c r="T56" t="str">
        <f>IF(Table1[[#This Row],[Warmup_Routine_Adherence]]=1, "Adherent","Non-Adherent")</f>
        <v>Non-Adherent</v>
      </c>
      <c r="U56">
        <v>1</v>
      </c>
      <c r="V56" t="str">
        <f>IF(Table1[[#This Row],[Injury_Next_Season]]=1, "Injury","No Injury")</f>
        <v>Injury</v>
      </c>
      <c r="W56" s="3">
        <v>20.9711720226843</v>
      </c>
    </row>
    <row r="57" spans="1:23" x14ac:dyDescent="0.25">
      <c r="A57" s="6">
        <v>19</v>
      </c>
      <c r="B57" s="8" t="str">
        <f>CONCATENATE(Table1[[#This Row],[Age]]," ", "years")</f>
        <v>19 years</v>
      </c>
      <c r="C57">
        <v>167</v>
      </c>
      <c r="D57">
        <v>68</v>
      </c>
      <c r="E57" t="s">
        <v>21</v>
      </c>
      <c r="F57" s="3">
        <v>9.1808151989618008</v>
      </c>
      <c r="G57" s="3">
        <v>25</v>
      </c>
      <c r="H57">
        <v>1</v>
      </c>
      <c r="I57" s="3">
        <v>65.072423589253404</v>
      </c>
      <c r="J57" s="3">
        <v>80.428423185905501</v>
      </c>
      <c r="K57" s="3">
        <v>286.769457132029</v>
      </c>
      <c r="L57" s="3">
        <v>80.465951938459099</v>
      </c>
      <c r="M57" s="3">
        <v>5.7512224931222304</v>
      </c>
      <c r="N57" s="3">
        <v>66.001438295205105</v>
      </c>
      <c r="O57" s="3">
        <v>7.2944140496220298</v>
      </c>
      <c r="P57" s="3">
        <v>73.093796097201107</v>
      </c>
      <c r="Q57" s="3">
        <v>62.082781437426803</v>
      </c>
      <c r="R57" s="3" t="str">
        <f>IF(Table1[[#This Row],[Nutrition_Quality_Score]]&lt;60, "Poor Nutrition",IF(AND(Table1[[#This Row],[Nutrition_Quality_Score]]&gt;=60,Table1[[#This Row],[Nutrition_Quality_Score]]&lt;=80),"Average Nutrition", "Good Nutrition"))</f>
        <v>Average Nutrition</v>
      </c>
      <c r="S57">
        <v>1</v>
      </c>
      <c r="T57" t="str">
        <f>IF(Table1[[#This Row],[Warmup_Routine_Adherence]]=1, "Adherent","Non-Adherent")</f>
        <v>Adherent</v>
      </c>
      <c r="U57">
        <v>1</v>
      </c>
      <c r="V57" t="str">
        <f>IF(Table1[[#This Row],[Injury_Next_Season]]=1, "Injury","No Injury")</f>
        <v>Injury</v>
      </c>
      <c r="W57" s="3">
        <v>24.3823729785937</v>
      </c>
    </row>
    <row r="58" spans="1:23" x14ac:dyDescent="0.25">
      <c r="A58" s="6">
        <v>18</v>
      </c>
      <c r="B58" s="8" t="str">
        <f>CONCATENATE(Table1[[#This Row],[Age]]," ", "years")</f>
        <v>18 years</v>
      </c>
      <c r="C58">
        <v>179</v>
      </c>
      <c r="D58">
        <v>49</v>
      </c>
      <c r="E58" t="s">
        <v>20</v>
      </c>
      <c r="F58" s="3">
        <v>9.2801626094970597</v>
      </c>
      <c r="G58" s="3">
        <v>33</v>
      </c>
      <c r="H58">
        <v>1</v>
      </c>
      <c r="I58" s="3">
        <v>89.322006038637696</v>
      </c>
      <c r="J58" s="3">
        <v>85.750506006458593</v>
      </c>
      <c r="K58" s="3">
        <v>221.06248256854801</v>
      </c>
      <c r="L58" s="3">
        <v>79.997703971370996</v>
      </c>
      <c r="M58" s="3">
        <v>5.5753428858511498</v>
      </c>
      <c r="N58" s="3">
        <v>69.200858674600099</v>
      </c>
      <c r="O58" s="3">
        <v>6.99638867873007</v>
      </c>
      <c r="P58" s="3">
        <v>31.3277714718817</v>
      </c>
      <c r="Q58" s="3">
        <v>76.767070169479993</v>
      </c>
      <c r="R58" s="3" t="str">
        <f>IF(Table1[[#This Row],[Nutrition_Quality_Score]]&lt;60, "Poor Nutrition",IF(AND(Table1[[#This Row],[Nutrition_Quality_Score]]&gt;=60,Table1[[#This Row],[Nutrition_Quality_Score]]&lt;=80),"Average Nutrition", "Good Nutrition"))</f>
        <v>Average Nutrition</v>
      </c>
      <c r="S58">
        <v>0</v>
      </c>
      <c r="T58" t="str">
        <f>IF(Table1[[#This Row],[Warmup_Routine_Adherence]]=1, "Adherent","Non-Adherent")</f>
        <v>Non-Adherent</v>
      </c>
      <c r="U58">
        <v>0</v>
      </c>
      <c r="V58" t="str">
        <f>IF(Table1[[#This Row],[Injury_Next_Season]]=1, "Injury","No Injury")</f>
        <v>No Injury</v>
      </c>
      <c r="W58" s="3">
        <v>15.292905964233301</v>
      </c>
    </row>
    <row r="59" spans="1:23" x14ac:dyDescent="0.25">
      <c r="A59" s="6">
        <v>24</v>
      </c>
      <c r="B59" s="8" t="str">
        <f>CONCATENATE(Table1[[#This Row],[Age]]," ", "years")</f>
        <v>24 years</v>
      </c>
      <c r="C59">
        <v>181</v>
      </c>
      <c r="D59">
        <v>75</v>
      </c>
      <c r="E59" t="s">
        <v>21</v>
      </c>
      <c r="F59" s="3">
        <v>13.5730690931588</v>
      </c>
      <c r="G59" s="3">
        <v>23</v>
      </c>
      <c r="H59">
        <v>1</v>
      </c>
      <c r="I59" s="3">
        <v>72.764630307676697</v>
      </c>
      <c r="J59" s="3">
        <v>73.336110560935197</v>
      </c>
      <c r="K59" s="3">
        <v>284.473872129965</v>
      </c>
      <c r="L59" s="3">
        <v>76.195981124096903</v>
      </c>
      <c r="M59" s="3">
        <v>5.7920685146666901</v>
      </c>
      <c r="N59" s="3">
        <v>70.521681246696303</v>
      </c>
      <c r="O59" s="3">
        <v>7.0750709368298299</v>
      </c>
      <c r="P59" s="3">
        <v>85.702209929163999</v>
      </c>
      <c r="Q59" s="3">
        <v>66.861020354482704</v>
      </c>
      <c r="R59" s="3" t="str">
        <f>IF(Table1[[#This Row],[Nutrition_Quality_Score]]&lt;60, "Poor Nutrition",IF(AND(Table1[[#This Row],[Nutrition_Quality_Score]]&gt;=60,Table1[[#This Row],[Nutrition_Quality_Score]]&lt;=80),"Average Nutrition", "Good Nutrition"))</f>
        <v>Average Nutrition</v>
      </c>
      <c r="S59">
        <v>0</v>
      </c>
      <c r="T59" t="str">
        <f>IF(Table1[[#This Row],[Warmup_Routine_Adherence]]=1, "Adherent","Non-Adherent")</f>
        <v>Non-Adherent</v>
      </c>
      <c r="U59">
        <v>1</v>
      </c>
      <c r="V59" t="str">
        <f>IF(Table1[[#This Row],[Injury_Next_Season]]=1, "Injury","No Injury")</f>
        <v>Injury</v>
      </c>
      <c r="W59" s="3">
        <v>22.893074081987699</v>
      </c>
    </row>
    <row r="60" spans="1:23" x14ac:dyDescent="0.25">
      <c r="A60" s="6">
        <v>18</v>
      </c>
      <c r="B60" s="8" t="str">
        <f>CONCATENATE(Table1[[#This Row],[Age]]," ", "years")</f>
        <v>18 years</v>
      </c>
      <c r="C60">
        <v>172</v>
      </c>
      <c r="D60">
        <v>64</v>
      </c>
      <c r="E60" t="s">
        <v>21</v>
      </c>
      <c r="F60" s="3">
        <v>14.896714293023701</v>
      </c>
      <c r="G60" s="3">
        <v>33</v>
      </c>
      <c r="H60">
        <v>1</v>
      </c>
      <c r="I60" s="3">
        <v>68.542633715965394</v>
      </c>
      <c r="J60" s="3">
        <v>84.071064153569296</v>
      </c>
      <c r="K60" s="3">
        <v>283.16680015042698</v>
      </c>
      <c r="L60" s="3">
        <v>80.672736012201696</v>
      </c>
      <c r="M60" s="3">
        <v>5.8491459105118997</v>
      </c>
      <c r="N60" s="3">
        <v>76.366779619668705</v>
      </c>
      <c r="O60" s="3">
        <v>7.0940858224482399</v>
      </c>
      <c r="P60" s="3">
        <v>70.014873092820196</v>
      </c>
      <c r="Q60" s="3">
        <v>76.095393204743203</v>
      </c>
      <c r="R60" s="3" t="str">
        <f>IF(Table1[[#This Row],[Nutrition_Quality_Score]]&lt;60, "Poor Nutrition",IF(AND(Table1[[#This Row],[Nutrition_Quality_Score]]&gt;=60,Table1[[#This Row],[Nutrition_Quality_Score]]&lt;=80),"Average Nutrition", "Good Nutrition"))</f>
        <v>Average Nutrition</v>
      </c>
      <c r="S60">
        <v>0</v>
      </c>
      <c r="T60" t="str">
        <f>IF(Table1[[#This Row],[Warmup_Routine_Adherence]]=1, "Adherent","Non-Adherent")</f>
        <v>Non-Adherent</v>
      </c>
      <c r="U60">
        <v>1</v>
      </c>
      <c r="V60" t="str">
        <f>IF(Table1[[#This Row],[Injury_Next_Season]]=1, "Injury","No Injury")</f>
        <v>Injury</v>
      </c>
      <c r="W60" s="3">
        <v>21.633315305570498</v>
      </c>
    </row>
    <row r="61" spans="1:23" x14ac:dyDescent="0.25">
      <c r="A61" s="6">
        <v>23</v>
      </c>
      <c r="B61" s="8" t="str">
        <f>CONCATENATE(Table1[[#This Row],[Age]]," ", "years")</f>
        <v>23 years</v>
      </c>
      <c r="C61">
        <v>175</v>
      </c>
      <c r="D61">
        <v>74</v>
      </c>
      <c r="E61" t="s">
        <v>19</v>
      </c>
      <c r="F61" s="3">
        <v>7.8698190534240497</v>
      </c>
      <c r="G61" s="3">
        <v>7</v>
      </c>
      <c r="H61">
        <v>7</v>
      </c>
      <c r="I61" s="3">
        <v>62.232846838041503</v>
      </c>
      <c r="J61" s="3">
        <v>73.688628659451396</v>
      </c>
      <c r="K61" s="3">
        <v>275.87882566249698</v>
      </c>
      <c r="L61" s="3">
        <v>82.921823175019796</v>
      </c>
      <c r="M61" s="3">
        <v>6.0557012746173999</v>
      </c>
      <c r="N61" s="3">
        <v>77.721119520482603</v>
      </c>
      <c r="O61" s="3">
        <v>7.2105016625617004</v>
      </c>
      <c r="P61" s="3">
        <v>58.388618055177098</v>
      </c>
      <c r="Q61" s="3">
        <v>60.828558665373798</v>
      </c>
      <c r="R61" s="3" t="str">
        <f>IF(Table1[[#This Row],[Nutrition_Quality_Score]]&lt;60, "Poor Nutrition",IF(AND(Table1[[#This Row],[Nutrition_Quality_Score]]&gt;=60,Table1[[#This Row],[Nutrition_Quality_Score]]&lt;=80),"Average Nutrition", "Good Nutrition"))</f>
        <v>Average Nutrition</v>
      </c>
      <c r="S61">
        <v>1</v>
      </c>
      <c r="T61" t="str">
        <f>IF(Table1[[#This Row],[Warmup_Routine_Adherence]]=1, "Adherent","Non-Adherent")</f>
        <v>Adherent</v>
      </c>
      <c r="U61">
        <v>1</v>
      </c>
      <c r="V61" t="str">
        <f>IF(Table1[[#This Row],[Injury_Next_Season]]=1, "Injury","No Injury")</f>
        <v>Injury</v>
      </c>
      <c r="W61" s="3">
        <v>24.163265306122401</v>
      </c>
    </row>
    <row r="62" spans="1:23" x14ac:dyDescent="0.25">
      <c r="A62" s="6">
        <v>23</v>
      </c>
      <c r="B62" s="8" t="str">
        <f>CONCATENATE(Table1[[#This Row],[Age]]," ", "years")</f>
        <v>23 years</v>
      </c>
      <c r="C62">
        <v>185</v>
      </c>
      <c r="D62">
        <v>73</v>
      </c>
      <c r="E62" t="s">
        <v>20</v>
      </c>
      <c r="F62" s="3">
        <v>12.269424997170599</v>
      </c>
      <c r="G62" s="3">
        <v>32</v>
      </c>
      <c r="H62">
        <v>1</v>
      </c>
      <c r="I62" s="3">
        <v>75.707848875489503</v>
      </c>
      <c r="J62" s="3">
        <v>88.0692625070227</v>
      </c>
      <c r="K62" s="3">
        <v>228.258801804136</v>
      </c>
      <c r="L62" s="3">
        <v>87.511900231063606</v>
      </c>
      <c r="M62" s="3">
        <v>5.8943043630358298</v>
      </c>
      <c r="N62" s="3">
        <v>86.422098688726606</v>
      </c>
      <c r="O62" s="3">
        <v>6.6335824613558101</v>
      </c>
      <c r="P62" s="3">
        <v>29.3274035417104</v>
      </c>
      <c r="Q62" s="3">
        <v>78.568005245627901</v>
      </c>
      <c r="R62" s="3" t="str">
        <f>IF(Table1[[#This Row],[Nutrition_Quality_Score]]&lt;60, "Poor Nutrition",IF(AND(Table1[[#This Row],[Nutrition_Quality_Score]]&gt;=60,Table1[[#This Row],[Nutrition_Quality_Score]]&lt;=80),"Average Nutrition", "Good Nutrition"))</f>
        <v>Average Nutrition</v>
      </c>
      <c r="S62">
        <v>0</v>
      </c>
      <c r="T62" t="str">
        <f>IF(Table1[[#This Row],[Warmup_Routine_Adherence]]=1, "Adherent","Non-Adherent")</f>
        <v>Non-Adherent</v>
      </c>
      <c r="U62">
        <v>0</v>
      </c>
      <c r="V62" t="str">
        <f>IF(Table1[[#This Row],[Injury_Next_Season]]=1, "Injury","No Injury")</f>
        <v>No Injury</v>
      </c>
      <c r="W62" s="3">
        <v>21.3294375456537</v>
      </c>
    </row>
    <row r="63" spans="1:23" x14ac:dyDescent="0.25">
      <c r="A63" s="6">
        <v>18</v>
      </c>
      <c r="B63" s="8" t="str">
        <f>CONCATENATE(Table1[[#This Row],[Age]]," ", "years")</f>
        <v>18 years</v>
      </c>
      <c r="C63">
        <v>171</v>
      </c>
      <c r="D63">
        <v>83</v>
      </c>
      <c r="E63" t="s">
        <v>21</v>
      </c>
      <c r="F63" s="3">
        <v>7.8285039201331701</v>
      </c>
      <c r="G63" s="3">
        <v>16</v>
      </c>
      <c r="H63">
        <v>0</v>
      </c>
      <c r="I63" s="3">
        <v>77.983085408776006</v>
      </c>
      <c r="J63" s="3">
        <v>80.636523904649493</v>
      </c>
      <c r="K63" s="3">
        <v>243.58969503487501</v>
      </c>
      <c r="L63" s="3">
        <v>90.196005820836504</v>
      </c>
      <c r="M63" s="3">
        <v>5.9913781928956196</v>
      </c>
      <c r="N63" s="3">
        <v>78.407960532097704</v>
      </c>
      <c r="O63" s="3">
        <v>8.0339140771811905</v>
      </c>
      <c r="P63" s="3">
        <v>21.561185943923601</v>
      </c>
      <c r="Q63" s="3">
        <v>72.623803963149101</v>
      </c>
      <c r="R63" s="3" t="str">
        <f>IF(Table1[[#This Row],[Nutrition_Quality_Score]]&lt;60, "Poor Nutrition",IF(AND(Table1[[#This Row],[Nutrition_Quality_Score]]&gt;=60,Table1[[#This Row],[Nutrition_Quality_Score]]&lt;=80),"Average Nutrition", "Good Nutrition"))</f>
        <v>Average Nutrition</v>
      </c>
      <c r="S63">
        <v>0</v>
      </c>
      <c r="T63" t="str">
        <f>IF(Table1[[#This Row],[Warmup_Routine_Adherence]]=1, "Adherent","Non-Adherent")</f>
        <v>Non-Adherent</v>
      </c>
      <c r="U63">
        <v>0</v>
      </c>
      <c r="V63" t="str">
        <f>IF(Table1[[#This Row],[Injury_Next_Season]]=1, "Injury","No Injury")</f>
        <v>No Injury</v>
      </c>
      <c r="W63" s="3">
        <v>28.384802161348698</v>
      </c>
    </row>
    <row r="64" spans="1:23" x14ac:dyDescent="0.25">
      <c r="A64" s="6">
        <v>20</v>
      </c>
      <c r="B64" s="8" t="str">
        <f>CONCATENATE(Table1[[#This Row],[Age]]," ", "years")</f>
        <v>20 years</v>
      </c>
      <c r="C64">
        <v>181</v>
      </c>
      <c r="D64">
        <v>70</v>
      </c>
      <c r="E64" t="s">
        <v>21</v>
      </c>
      <c r="F64" s="3">
        <v>10.6118511197326</v>
      </c>
      <c r="G64" s="3">
        <v>14</v>
      </c>
      <c r="H64">
        <v>1</v>
      </c>
      <c r="I64" s="3">
        <v>76.002066900875406</v>
      </c>
      <c r="J64" s="3">
        <v>77.077616250587397</v>
      </c>
      <c r="K64" s="3">
        <v>233.49596815594001</v>
      </c>
      <c r="L64" s="3">
        <v>80.684443649137904</v>
      </c>
      <c r="M64" s="3">
        <v>5.5750908203406002</v>
      </c>
      <c r="N64" s="3">
        <v>79.0717727006149</v>
      </c>
      <c r="O64" s="3">
        <v>6.9028111547787701</v>
      </c>
      <c r="P64" s="3">
        <v>40.268729151037299</v>
      </c>
      <c r="Q64" s="3">
        <v>76.675780692820297</v>
      </c>
      <c r="R64" s="3" t="str">
        <f>IF(Table1[[#This Row],[Nutrition_Quality_Score]]&lt;60, "Poor Nutrition",IF(AND(Table1[[#This Row],[Nutrition_Quality_Score]]&gt;=60,Table1[[#This Row],[Nutrition_Quality_Score]]&lt;=80),"Average Nutrition", "Good Nutrition"))</f>
        <v>Average Nutrition</v>
      </c>
      <c r="S64">
        <v>0</v>
      </c>
      <c r="T64" t="str">
        <f>IF(Table1[[#This Row],[Warmup_Routine_Adherence]]=1, "Adherent","Non-Adherent")</f>
        <v>Non-Adherent</v>
      </c>
      <c r="U64">
        <v>0</v>
      </c>
      <c r="V64" t="str">
        <f>IF(Table1[[#This Row],[Injury_Next_Season]]=1, "Injury","No Injury")</f>
        <v>No Injury</v>
      </c>
      <c r="W64" s="3">
        <v>21.366869143188499</v>
      </c>
    </row>
    <row r="65" spans="1:23" x14ac:dyDescent="0.25">
      <c r="A65" s="6">
        <v>20</v>
      </c>
      <c r="B65" s="8" t="str">
        <f>CONCATENATE(Table1[[#This Row],[Age]]," ", "years")</f>
        <v>20 years</v>
      </c>
      <c r="C65">
        <v>183</v>
      </c>
      <c r="D65">
        <v>76</v>
      </c>
      <c r="E65" t="s">
        <v>22</v>
      </c>
      <c r="F65" s="3">
        <v>9.9996817628223695</v>
      </c>
      <c r="G65" s="3">
        <v>10</v>
      </c>
      <c r="H65">
        <v>3</v>
      </c>
      <c r="I65" s="3">
        <v>71.268828860861007</v>
      </c>
      <c r="J65" s="3">
        <v>71.0342397259477</v>
      </c>
      <c r="K65" s="3">
        <v>266.12578190068098</v>
      </c>
      <c r="L65" s="3">
        <v>85.041695660690493</v>
      </c>
      <c r="M65" s="3">
        <v>5.7687549040913799</v>
      </c>
      <c r="N65" s="3">
        <v>83.852042522577705</v>
      </c>
      <c r="O65" s="3">
        <v>6.99633197007718</v>
      </c>
      <c r="P65" s="3">
        <v>48.937421699000197</v>
      </c>
      <c r="Q65" s="3">
        <v>70.744827270379801</v>
      </c>
      <c r="R65" s="3" t="str">
        <f>IF(Table1[[#This Row],[Nutrition_Quality_Score]]&lt;60, "Poor Nutrition",IF(AND(Table1[[#This Row],[Nutrition_Quality_Score]]&gt;=60,Table1[[#This Row],[Nutrition_Quality_Score]]&lt;=80),"Average Nutrition", "Good Nutrition"))</f>
        <v>Average Nutrition</v>
      </c>
      <c r="S65">
        <v>0</v>
      </c>
      <c r="T65" t="str">
        <f>IF(Table1[[#This Row],[Warmup_Routine_Adherence]]=1, "Adherent","Non-Adherent")</f>
        <v>Non-Adherent</v>
      </c>
      <c r="U65">
        <v>1</v>
      </c>
      <c r="V65" t="str">
        <f>IF(Table1[[#This Row],[Injury_Next_Season]]=1, "Injury","No Injury")</f>
        <v>Injury</v>
      </c>
      <c r="W65" s="3">
        <v>22.694018931589401</v>
      </c>
    </row>
    <row r="66" spans="1:23" x14ac:dyDescent="0.25">
      <c r="A66" s="6">
        <v>21</v>
      </c>
      <c r="B66" s="8" t="str">
        <f>CONCATENATE(Table1[[#This Row],[Age]]," ", "years")</f>
        <v>21 years</v>
      </c>
      <c r="C66">
        <v>162</v>
      </c>
      <c r="D66">
        <v>71</v>
      </c>
      <c r="E66" t="s">
        <v>19</v>
      </c>
      <c r="F66" s="3">
        <v>11.807645384522401</v>
      </c>
      <c r="G66" s="3">
        <v>24</v>
      </c>
      <c r="H66">
        <v>2</v>
      </c>
      <c r="I66" s="3">
        <v>67.540735578939106</v>
      </c>
      <c r="J66" s="3">
        <v>95.768612729215405</v>
      </c>
      <c r="K66" s="3">
        <v>257.5396756582</v>
      </c>
      <c r="L66" s="3">
        <v>74.922434598429405</v>
      </c>
      <c r="M66" s="3">
        <v>5.5587226407865096</v>
      </c>
      <c r="N66" s="3">
        <v>74.485423120306706</v>
      </c>
      <c r="O66" s="3">
        <v>7.0502085400095202</v>
      </c>
      <c r="P66" s="3">
        <v>65.755437743338902</v>
      </c>
      <c r="Q66" s="3">
        <v>68.371144757770594</v>
      </c>
      <c r="R66" s="3" t="str">
        <f>IF(Table1[[#This Row],[Nutrition_Quality_Score]]&lt;60, "Poor Nutrition",IF(AND(Table1[[#This Row],[Nutrition_Quality_Score]]&gt;=60,Table1[[#This Row],[Nutrition_Quality_Score]]&lt;=80),"Average Nutrition", "Good Nutrition"))</f>
        <v>Average Nutrition</v>
      </c>
      <c r="S66">
        <v>1</v>
      </c>
      <c r="T66" t="str">
        <f>IF(Table1[[#This Row],[Warmup_Routine_Adherence]]=1, "Adherent","Non-Adherent")</f>
        <v>Adherent</v>
      </c>
      <c r="U66">
        <v>1</v>
      </c>
      <c r="V66" t="str">
        <f>IF(Table1[[#This Row],[Injury_Next_Season]]=1, "Injury","No Injury")</f>
        <v>Injury</v>
      </c>
      <c r="W66" s="3">
        <v>27.053802773967298</v>
      </c>
    </row>
    <row r="67" spans="1:23" x14ac:dyDescent="0.25">
      <c r="A67" s="6">
        <v>21</v>
      </c>
      <c r="B67" s="8" t="str">
        <f>CONCATENATE(Table1[[#This Row],[Age]]," ", "years")</f>
        <v>21 years</v>
      </c>
      <c r="C67">
        <v>173</v>
      </c>
      <c r="D67">
        <v>61</v>
      </c>
      <c r="E67" t="s">
        <v>20</v>
      </c>
      <c r="F67" s="3">
        <v>9.0862081842028797</v>
      </c>
      <c r="G67" s="3">
        <v>20</v>
      </c>
      <c r="H67">
        <v>0</v>
      </c>
      <c r="I67" s="3">
        <v>74.114484254329895</v>
      </c>
      <c r="J67" s="3">
        <v>74.847774671987096</v>
      </c>
      <c r="K67" s="3">
        <v>236.734760368</v>
      </c>
      <c r="L67" s="3">
        <v>94.696009571904995</v>
      </c>
      <c r="M67" s="3">
        <v>6.4538507105131702</v>
      </c>
      <c r="N67" s="3">
        <v>74.356958107658798</v>
      </c>
      <c r="O67" s="3">
        <v>6.4283020557976398</v>
      </c>
      <c r="P67" s="3">
        <v>42.113866262450699</v>
      </c>
      <c r="Q67" s="3">
        <v>84.331380300192905</v>
      </c>
      <c r="R67" s="3" t="str">
        <f>IF(Table1[[#This Row],[Nutrition_Quality_Score]]&lt;60, "Poor Nutrition",IF(AND(Table1[[#This Row],[Nutrition_Quality_Score]]&gt;=60,Table1[[#This Row],[Nutrition_Quality_Score]]&lt;=80),"Average Nutrition", "Good Nutrition"))</f>
        <v>Good Nutrition</v>
      </c>
      <c r="S67">
        <v>1</v>
      </c>
      <c r="T67" t="str">
        <f>IF(Table1[[#This Row],[Warmup_Routine_Adherence]]=1, "Adherent","Non-Adherent")</f>
        <v>Adherent</v>
      </c>
      <c r="U67">
        <v>0</v>
      </c>
      <c r="V67" t="str">
        <f>IF(Table1[[#This Row],[Injury_Next_Season]]=1, "Injury","No Injury")</f>
        <v>No Injury</v>
      </c>
      <c r="W67" s="3">
        <v>20.3815697149921</v>
      </c>
    </row>
    <row r="68" spans="1:23" x14ac:dyDescent="0.25">
      <c r="A68" s="6">
        <v>24</v>
      </c>
      <c r="B68" s="8" t="str">
        <f>CONCATENATE(Table1[[#This Row],[Age]]," ", "years")</f>
        <v>24 years</v>
      </c>
      <c r="C68">
        <v>183</v>
      </c>
      <c r="D68">
        <v>71</v>
      </c>
      <c r="E68" t="s">
        <v>20</v>
      </c>
      <c r="F68" s="3">
        <v>5.80127064160214</v>
      </c>
      <c r="G68" s="3">
        <v>37</v>
      </c>
      <c r="H68">
        <v>3</v>
      </c>
      <c r="I68" s="3">
        <v>64.0235931929126</v>
      </c>
      <c r="J68" s="3">
        <v>78.797275087800898</v>
      </c>
      <c r="K68" s="3">
        <v>275.45332484843198</v>
      </c>
      <c r="L68" s="3">
        <v>72.062097168395098</v>
      </c>
      <c r="M68" s="3">
        <v>5.6232859139895801</v>
      </c>
      <c r="N68" s="3">
        <v>67.946306823685603</v>
      </c>
      <c r="O68" s="3">
        <v>7.6504241638124197</v>
      </c>
      <c r="P68" s="3">
        <v>64.848743462205505</v>
      </c>
      <c r="Q68" s="3">
        <v>69.549424033168293</v>
      </c>
      <c r="R68" s="3" t="str">
        <f>IF(Table1[[#This Row],[Nutrition_Quality_Score]]&lt;60, "Poor Nutrition",IF(AND(Table1[[#This Row],[Nutrition_Quality_Score]]&gt;=60,Table1[[#This Row],[Nutrition_Quality_Score]]&lt;=80),"Average Nutrition", "Good Nutrition"))</f>
        <v>Average Nutrition</v>
      </c>
      <c r="S68">
        <v>0</v>
      </c>
      <c r="T68" t="str">
        <f>IF(Table1[[#This Row],[Warmup_Routine_Adherence]]=1, "Adherent","Non-Adherent")</f>
        <v>Non-Adherent</v>
      </c>
      <c r="U68">
        <v>1</v>
      </c>
      <c r="V68" t="str">
        <f>IF(Table1[[#This Row],[Injury_Next_Season]]=1, "Injury","No Injury")</f>
        <v>Injury</v>
      </c>
      <c r="W68" s="3">
        <v>21.200991370300599</v>
      </c>
    </row>
    <row r="69" spans="1:23" x14ac:dyDescent="0.25">
      <c r="A69" s="6">
        <v>20</v>
      </c>
      <c r="B69" s="8" t="str">
        <f>CONCATENATE(Table1[[#This Row],[Age]]," ", "years")</f>
        <v>20 years</v>
      </c>
      <c r="C69">
        <v>190</v>
      </c>
      <c r="D69">
        <v>90</v>
      </c>
      <c r="E69" t="s">
        <v>21</v>
      </c>
      <c r="F69" s="3">
        <v>12.4059778666058</v>
      </c>
      <c r="G69" s="3">
        <v>14</v>
      </c>
      <c r="H69">
        <v>0</v>
      </c>
      <c r="I69" s="3">
        <v>79.597412952972704</v>
      </c>
      <c r="J69" s="3">
        <v>85.366862726626906</v>
      </c>
      <c r="K69" s="3">
        <v>243.02175613313599</v>
      </c>
      <c r="L69" s="3">
        <v>91.477137743868198</v>
      </c>
      <c r="M69" s="3">
        <v>6.5983027377500898</v>
      </c>
      <c r="N69" s="3">
        <v>72.459994563309294</v>
      </c>
      <c r="O69" s="3">
        <v>8.0048169381608805</v>
      </c>
      <c r="P69" s="3">
        <v>45.9323474741865</v>
      </c>
      <c r="Q69" s="3">
        <v>77.249440036937102</v>
      </c>
      <c r="R69" s="3" t="str">
        <f>IF(Table1[[#This Row],[Nutrition_Quality_Score]]&lt;60, "Poor Nutrition",IF(AND(Table1[[#This Row],[Nutrition_Quality_Score]]&gt;=60,Table1[[#This Row],[Nutrition_Quality_Score]]&lt;=80),"Average Nutrition", "Good Nutrition"))</f>
        <v>Average Nutrition</v>
      </c>
      <c r="S69">
        <v>0</v>
      </c>
      <c r="T69" t="str">
        <f>IF(Table1[[#This Row],[Warmup_Routine_Adherence]]=1, "Adherent","Non-Adherent")</f>
        <v>Non-Adherent</v>
      </c>
      <c r="U69">
        <v>0</v>
      </c>
      <c r="V69" t="str">
        <f>IF(Table1[[#This Row],[Injury_Next_Season]]=1, "Injury","No Injury")</f>
        <v>No Injury</v>
      </c>
      <c r="W69" s="3">
        <v>24.9307479224376</v>
      </c>
    </row>
    <row r="70" spans="1:23" x14ac:dyDescent="0.25">
      <c r="A70" s="6">
        <v>20</v>
      </c>
      <c r="B70" s="8" t="str">
        <f>CONCATENATE(Table1[[#This Row],[Age]]," ", "years")</f>
        <v>20 years</v>
      </c>
      <c r="C70">
        <v>170</v>
      </c>
      <c r="D70">
        <v>78</v>
      </c>
      <c r="E70" t="s">
        <v>21</v>
      </c>
      <c r="F70" s="3">
        <v>10.3023369806077</v>
      </c>
      <c r="G70" s="3">
        <v>8</v>
      </c>
      <c r="H70">
        <v>3</v>
      </c>
      <c r="I70" s="3">
        <v>72.797461481103895</v>
      </c>
      <c r="J70" s="3">
        <v>70.777997851734696</v>
      </c>
      <c r="K70" s="3">
        <v>269.037851427715</v>
      </c>
      <c r="L70" s="3">
        <v>75.350966553138406</v>
      </c>
      <c r="M70" s="3">
        <v>5.5593505941557</v>
      </c>
      <c r="N70" s="3">
        <v>73.758080820651401</v>
      </c>
      <c r="O70" s="3">
        <v>6.79008921099945</v>
      </c>
      <c r="P70" s="3">
        <v>51.370739256088498</v>
      </c>
      <c r="Q70" s="3">
        <v>89.623592284761898</v>
      </c>
      <c r="R70" s="3" t="str">
        <f>IF(Table1[[#This Row],[Nutrition_Quality_Score]]&lt;60, "Poor Nutrition",IF(AND(Table1[[#This Row],[Nutrition_Quality_Score]]&gt;=60,Table1[[#This Row],[Nutrition_Quality_Score]]&lt;=80),"Average Nutrition", "Good Nutrition"))</f>
        <v>Good Nutrition</v>
      </c>
      <c r="S70">
        <v>0</v>
      </c>
      <c r="T70" t="str">
        <f>IF(Table1[[#This Row],[Warmup_Routine_Adherence]]=1, "Adherent","Non-Adherent")</f>
        <v>Non-Adherent</v>
      </c>
      <c r="U70">
        <v>1</v>
      </c>
      <c r="V70" t="str">
        <f>IF(Table1[[#This Row],[Injury_Next_Season]]=1, "Injury","No Injury")</f>
        <v>Injury</v>
      </c>
      <c r="W70" s="3">
        <v>26.989619377162601</v>
      </c>
    </row>
    <row r="71" spans="1:23" x14ac:dyDescent="0.25">
      <c r="A71" s="6">
        <v>18</v>
      </c>
      <c r="B71" s="8" t="str">
        <f>CONCATENATE(Table1[[#This Row],[Age]]," ", "years")</f>
        <v>18 years</v>
      </c>
      <c r="C71">
        <v>178</v>
      </c>
      <c r="D71">
        <v>68</v>
      </c>
      <c r="E71" t="s">
        <v>19</v>
      </c>
      <c r="F71" s="3">
        <v>9.09268729464738</v>
      </c>
      <c r="G71" s="3">
        <v>18</v>
      </c>
      <c r="H71">
        <v>2</v>
      </c>
      <c r="I71" s="3">
        <v>69.574038096505902</v>
      </c>
      <c r="J71" s="3">
        <v>72.751627827298293</v>
      </c>
      <c r="K71" s="3">
        <v>259.72389913365703</v>
      </c>
      <c r="L71" s="3">
        <v>80.864009591602994</v>
      </c>
      <c r="M71" s="3">
        <v>5.5265651603931998</v>
      </c>
      <c r="N71" s="3">
        <v>74.215513233257596</v>
      </c>
      <c r="O71" s="3">
        <v>6.1354992827290298</v>
      </c>
      <c r="P71" s="3">
        <v>58.018946547933801</v>
      </c>
      <c r="Q71" s="3">
        <v>72.970841857508802</v>
      </c>
      <c r="R71" s="3" t="str">
        <f>IF(Table1[[#This Row],[Nutrition_Quality_Score]]&lt;60, "Poor Nutrition",IF(AND(Table1[[#This Row],[Nutrition_Quality_Score]]&gt;=60,Table1[[#This Row],[Nutrition_Quality_Score]]&lt;=80),"Average Nutrition", "Good Nutrition"))</f>
        <v>Average Nutrition</v>
      </c>
      <c r="S71">
        <v>0</v>
      </c>
      <c r="T71" t="str">
        <f>IF(Table1[[#This Row],[Warmup_Routine_Adherence]]=1, "Adherent","Non-Adherent")</f>
        <v>Non-Adherent</v>
      </c>
      <c r="U71">
        <v>1</v>
      </c>
      <c r="V71" t="str">
        <f>IF(Table1[[#This Row],[Injury_Next_Season]]=1, "Injury","No Injury")</f>
        <v>Injury</v>
      </c>
      <c r="W71" s="3">
        <v>21.461936624163599</v>
      </c>
    </row>
    <row r="72" spans="1:23" x14ac:dyDescent="0.25">
      <c r="A72" s="6">
        <v>20</v>
      </c>
      <c r="B72" s="8" t="str">
        <f>CONCATENATE(Table1[[#This Row],[Age]]," ", "years")</f>
        <v>20 years</v>
      </c>
      <c r="C72">
        <v>169</v>
      </c>
      <c r="D72">
        <v>71</v>
      </c>
      <c r="E72" t="s">
        <v>22</v>
      </c>
      <c r="F72" s="3">
        <v>7.0272552089549496</v>
      </c>
      <c r="G72" s="3">
        <v>37</v>
      </c>
      <c r="H72">
        <v>1</v>
      </c>
      <c r="I72" s="3">
        <v>66.905255035036603</v>
      </c>
      <c r="J72" s="3">
        <v>88.800614333044294</v>
      </c>
      <c r="K72" s="3">
        <v>250.113433888684</v>
      </c>
      <c r="L72" s="3">
        <v>86.063700740143005</v>
      </c>
      <c r="M72" s="3">
        <v>6.0703176369283502</v>
      </c>
      <c r="N72" s="3">
        <v>91.169369925966706</v>
      </c>
      <c r="O72" s="3">
        <v>7.5584399684257599</v>
      </c>
      <c r="P72" s="3">
        <v>49.455593846390201</v>
      </c>
      <c r="Q72" s="3">
        <v>76.340709308873301</v>
      </c>
      <c r="R72" s="3" t="str">
        <f>IF(Table1[[#This Row],[Nutrition_Quality_Score]]&lt;60, "Poor Nutrition",IF(AND(Table1[[#This Row],[Nutrition_Quality_Score]]&gt;=60,Table1[[#This Row],[Nutrition_Quality_Score]]&lt;=80),"Average Nutrition", "Good Nutrition"))</f>
        <v>Average Nutrition</v>
      </c>
      <c r="S72">
        <v>1</v>
      </c>
      <c r="T72" t="str">
        <f>IF(Table1[[#This Row],[Warmup_Routine_Adherence]]=1, "Adherent","Non-Adherent")</f>
        <v>Adherent</v>
      </c>
      <c r="U72">
        <v>0</v>
      </c>
      <c r="V72" t="str">
        <f>IF(Table1[[#This Row],[Injury_Next_Season]]=1, "Injury","No Injury")</f>
        <v>No Injury</v>
      </c>
      <c r="W72" s="3">
        <v>24.85907356185</v>
      </c>
    </row>
    <row r="73" spans="1:23" x14ac:dyDescent="0.25">
      <c r="A73" s="6">
        <v>23</v>
      </c>
      <c r="B73" s="8" t="str">
        <f>CONCATENATE(Table1[[#This Row],[Age]]," ", "years")</f>
        <v>23 years</v>
      </c>
      <c r="C73">
        <v>173</v>
      </c>
      <c r="D73">
        <v>75</v>
      </c>
      <c r="E73" t="s">
        <v>19</v>
      </c>
      <c r="F73" s="3">
        <v>10.7645404391728</v>
      </c>
      <c r="G73" s="3">
        <v>18</v>
      </c>
      <c r="H73">
        <v>0</v>
      </c>
      <c r="I73" s="3">
        <v>79.1296403779983</v>
      </c>
      <c r="J73" s="3">
        <v>58.180380764972597</v>
      </c>
      <c r="K73" s="3">
        <v>244.75747681908899</v>
      </c>
      <c r="L73" s="3">
        <v>89.564104451799594</v>
      </c>
      <c r="M73" s="3">
        <v>5.7557291450054304</v>
      </c>
      <c r="N73" s="3">
        <v>77.246818529072499</v>
      </c>
      <c r="O73" s="3">
        <v>7.1972793325063602</v>
      </c>
      <c r="P73" s="3">
        <v>46.554610493431902</v>
      </c>
      <c r="Q73" s="3">
        <v>64.469233810839796</v>
      </c>
      <c r="R73" s="3" t="str">
        <f>IF(Table1[[#This Row],[Nutrition_Quality_Score]]&lt;60, "Poor Nutrition",IF(AND(Table1[[#This Row],[Nutrition_Quality_Score]]&gt;=60,Table1[[#This Row],[Nutrition_Quality_Score]]&lt;=80),"Average Nutrition", "Good Nutrition"))</f>
        <v>Average Nutrition</v>
      </c>
      <c r="S73">
        <v>1</v>
      </c>
      <c r="T73" t="str">
        <f>IF(Table1[[#This Row],[Warmup_Routine_Adherence]]=1, "Adherent","Non-Adherent")</f>
        <v>Adherent</v>
      </c>
      <c r="U73">
        <v>1</v>
      </c>
      <c r="V73" t="str">
        <f>IF(Table1[[#This Row],[Injury_Next_Season]]=1, "Injury","No Injury")</f>
        <v>Injury</v>
      </c>
      <c r="W73" s="3">
        <v>25.0593070266296</v>
      </c>
    </row>
    <row r="74" spans="1:23" x14ac:dyDescent="0.25">
      <c r="A74" s="6">
        <v>21</v>
      </c>
      <c r="B74" s="8" t="str">
        <f>CONCATENATE(Table1[[#This Row],[Age]]," ", "years")</f>
        <v>21 years</v>
      </c>
      <c r="C74">
        <v>174</v>
      </c>
      <c r="D74">
        <v>83</v>
      </c>
      <c r="E74" t="s">
        <v>22</v>
      </c>
      <c r="F74" s="3">
        <v>11.244043761654</v>
      </c>
      <c r="G74" s="3">
        <v>26</v>
      </c>
      <c r="H74">
        <v>0</v>
      </c>
      <c r="I74" s="3">
        <v>82.459754324745504</v>
      </c>
      <c r="J74" s="3">
        <v>84.023458082485107</v>
      </c>
      <c r="K74" s="3">
        <v>244.72169589881901</v>
      </c>
      <c r="L74" s="3">
        <v>86.690430879936301</v>
      </c>
      <c r="M74" s="3">
        <v>6.8880631871783198</v>
      </c>
      <c r="N74" s="3">
        <v>85.5852748782155</v>
      </c>
      <c r="O74" s="3">
        <v>6.2437586318104001</v>
      </c>
      <c r="P74" s="3">
        <v>54.383893005016802</v>
      </c>
      <c r="Q74" s="3">
        <v>52.197550488049302</v>
      </c>
      <c r="R74" s="3" t="str">
        <f>IF(Table1[[#This Row],[Nutrition_Quality_Score]]&lt;60, "Poor Nutrition",IF(AND(Table1[[#This Row],[Nutrition_Quality_Score]]&gt;=60,Table1[[#This Row],[Nutrition_Quality_Score]]&lt;=80),"Average Nutrition", "Good Nutrition"))</f>
        <v>Poor Nutrition</v>
      </c>
      <c r="S74">
        <v>1</v>
      </c>
      <c r="T74" t="str">
        <f>IF(Table1[[#This Row],[Warmup_Routine_Adherence]]=1, "Adherent","Non-Adherent")</f>
        <v>Adherent</v>
      </c>
      <c r="U74">
        <v>0</v>
      </c>
      <c r="V74" t="str">
        <f>IF(Table1[[#This Row],[Injury_Next_Season]]=1, "Injury","No Injury")</f>
        <v>No Injury</v>
      </c>
      <c r="W74" s="3">
        <v>27.414453692693801</v>
      </c>
    </row>
    <row r="75" spans="1:23" x14ac:dyDescent="0.25">
      <c r="A75" s="6">
        <v>24</v>
      </c>
      <c r="B75" s="8" t="str">
        <f>CONCATENATE(Table1[[#This Row],[Age]]," ", "years")</f>
        <v>24 years</v>
      </c>
      <c r="C75">
        <v>167</v>
      </c>
      <c r="D75">
        <v>68</v>
      </c>
      <c r="E75" t="s">
        <v>19</v>
      </c>
      <c r="F75" s="3">
        <v>15.193020809625001</v>
      </c>
      <c r="G75" s="3">
        <v>20</v>
      </c>
      <c r="H75">
        <v>1</v>
      </c>
      <c r="I75" s="3">
        <v>75.401178061127595</v>
      </c>
      <c r="J75" s="3">
        <v>82.061596960037704</v>
      </c>
      <c r="K75" s="3">
        <v>290.38603046897902</v>
      </c>
      <c r="L75" s="3">
        <v>80.916712228116495</v>
      </c>
      <c r="M75" s="3">
        <v>6.1133118800041801</v>
      </c>
      <c r="N75" s="3">
        <v>96.212492404603594</v>
      </c>
      <c r="O75" s="3">
        <v>7.6585137722511103</v>
      </c>
      <c r="P75" s="3">
        <v>34.327127063313199</v>
      </c>
      <c r="Q75" s="3">
        <v>66.883639961755605</v>
      </c>
      <c r="R75" s="3" t="str">
        <f>IF(Table1[[#This Row],[Nutrition_Quality_Score]]&lt;60, "Poor Nutrition",IF(AND(Table1[[#This Row],[Nutrition_Quality_Score]]&gt;=60,Table1[[#This Row],[Nutrition_Quality_Score]]&lt;=80),"Average Nutrition", "Good Nutrition"))</f>
        <v>Average Nutrition</v>
      </c>
      <c r="S75">
        <v>1</v>
      </c>
      <c r="T75" t="str">
        <f>IF(Table1[[#This Row],[Warmup_Routine_Adherence]]=1, "Adherent","Non-Adherent")</f>
        <v>Adherent</v>
      </c>
      <c r="U75">
        <v>1</v>
      </c>
      <c r="V75" t="str">
        <f>IF(Table1[[#This Row],[Injury_Next_Season]]=1, "Injury","No Injury")</f>
        <v>Injury</v>
      </c>
      <c r="W75" s="3">
        <v>24.3823729785937</v>
      </c>
    </row>
    <row r="76" spans="1:23" x14ac:dyDescent="0.25">
      <c r="A76" s="6">
        <v>22</v>
      </c>
      <c r="B76" s="8" t="str">
        <f>CONCATENATE(Table1[[#This Row],[Age]]," ", "years")</f>
        <v>22 years</v>
      </c>
      <c r="C76">
        <v>181</v>
      </c>
      <c r="D76">
        <v>67</v>
      </c>
      <c r="E76" t="s">
        <v>22</v>
      </c>
      <c r="F76" s="3">
        <v>10.802992279949899</v>
      </c>
      <c r="G76" s="3">
        <v>26</v>
      </c>
      <c r="H76">
        <v>2</v>
      </c>
      <c r="I76" s="3">
        <v>73.910673338955803</v>
      </c>
      <c r="J76" s="3">
        <v>77.566461401699101</v>
      </c>
      <c r="K76" s="3">
        <v>240.581453992414</v>
      </c>
      <c r="L76" s="3">
        <v>93.816813041227505</v>
      </c>
      <c r="M76" s="3">
        <v>5.6254877324222496</v>
      </c>
      <c r="N76" s="3">
        <v>76.683190416765697</v>
      </c>
      <c r="O76" s="3">
        <v>7.5541257694799802</v>
      </c>
      <c r="P76" s="3">
        <v>53.717771330624899</v>
      </c>
      <c r="Q76" s="3">
        <v>55.318640310548801</v>
      </c>
      <c r="R76" s="3" t="str">
        <f>IF(Table1[[#This Row],[Nutrition_Quality_Score]]&lt;60, "Poor Nutrition",IF(AND(Table1[[#This Row],[Nutrition_Quality_Score]]&gt;=60,Table1[[#This Row],[Nutrition_Quality_Score]]&lt;=80),"Average Nutrition", "Good Nutrition"))</f>
        <v>Poor Nutrition</v>
      </c>
      <c r="S76">
        <v>0</v>
      </c>
      <c r="T76" t="str">
        <f>IF(Table1[[#This Row],[Warmup_Routine_Adherence]]=1, "Adherent","Non-Adherent")</f>
        <v>Non-Adherent</v>
      </c>
      <c r="U76">
        <v>1</v>
      </c>
      <c r="V76" t="str">
        <f>IF(Table1[[#This Row],[Injury_Next_Season]]=1, "Injury","No Injury")</f>
        <v>Injury</v>
      </c>
      <c r="W76" s="3">
        <v>20.451146179908999</v>
      </c>
    </row>
    <row r="77" spans="1:23" x14ac:dyDescent="0.25">
      <c r="A77" s="6">
        <v>20</v>
      </c>
      <c r="B77" s="8" t="str">
        <f>CONCATENATE(Table1[[#This Row],[Age]]," ", "years")</f>
        <v>20 years</v>
      </c>
      <c r="C77">
        <v>177</v>
      </c>
      <c r="D77">
        <v>88</v>
      </c>
      <c r="E77" t="s">
        <v>22</v>
      </c>
      <c r="F77" s="3">
        <v>11.5031675647133</v>
      </c>
      <c r="G77" s="3">
        <v>28</v>
      </c>
      <c r="H77">
        <v>0</v>
      </c>
      <c r="I77" s="3">
        <v>57.099491941903104</v>
      </c>
      <c r="J77" s="3">
        <v>80.225343123725807</v>
      </c>
      <c r="K77" s="3">
        <v>266.09341085575898</v>
      </c>
      <c r="L77" s="3">
        <v>78.244581792129793</v>
      </c>
      <c r="M77" s="3">
        <v>5.2664551060115903</v>
      </c>
      <c r="N77" s="3">
        <v>80.936849400401499</v>
      </c>
      <c r="O77" s="3">
        <v>6.2995068669075396</v>
      </c>
      <c r="P77" s="3">
        <v>54.976735304639597</v>
      </c>
      <c r="Q77" s="3">
        <v>50</v>
      </c>
      <c r="R77" s="3" t="str">
        <f>IF(Table1[[#This Row],[Nutrition_Quality_Score]]&lt;60, "Poor Nutrition",IF(AND(Table1[[#This Row],[Nutrition_Quality_Score]]&gt;=60,Table1[[#This Row],[Nutrition_Quality_Score]]&lt;=80),"Average Nutrition", "Good Nutrition"))</f>
        <v>Poor Nutrition</v>
      </c>
      <c r="S77">
        <v>0</v>
      </c>
      <c r="T77" t="str">
        <f>IF(Table1[[#This Row],[Warmup_Routine_Adherence]]=1, "Adherent","Non-Adherent")</f>
        <v>Non-Adherent</v>
      </c>
      <c r="U77">
        <v>1</v>
      </c>
      <c r="V77" t="str">
        <f>IF(Table1[[#This Row],[Injury_Next_Season]]=1, "Injury","No Injury")</f>
        <v>Injury</v>
      </c>
      <c r="W77" s="3">
        <v>28.0889910306744</v>
      </c>
    </row>
    <row r="78" spans="1:23" x14ac:dyDescent="0.25">
      <c r="A78" s="6">
        <v>22</v>
      </c>
      <c r="B78" s="8" t="str">
        <f>CONCATENATE(Table1[[#This Row],[Age]]," ", "years")</f>
        <v>22 years</v>
      </c>
      <c r="C78">
        <v>177</v>
      </c>
      <c r="D78">
        <v>61</v>
      </c>
      <c r="E78" t="s">
        <v>21</v>
      </c>
      <c r="F78" s="3">
        <v>10.304786711921899</v>
      </c>
      <c r="G78" s="3">
        <v>16</v>
      </c>
      <c r="H78">
        <v>3</v>
      </c>
      <c r="I78" s="3">
        <v>76.078706152289101</v>
      </c>
      <c r="J78" s="3">
        <v>67.203818900939496</v>
      </c>
      <c r="K78" s="3">
        <v>267.23622077968503</v>
      </c>
      <c r="L78" s="3">
        <v>89.792107381923898</v>
      </c>
      <c r="M78" s="3">
        <v>6.0841536979245996</v>
      </c>
      <c r="N78" s="3">
        <v>83.488067753688696</v>
      </c>
      <c r="O78" s="3">
        <v>5.9906756069259899</v>
      </c>
      <c r="P78" s="3">
        <v>52.736790875246001</v>
      </c>
      <c r="Q78" s="3">
        <v>70.6153973046586</v>
      </c>
      <c r="R78" s="3" t="str">
        <f>IF(Table1[[#This Row],[Nutrition_Quality_Score]]&lt;60, "Poor Nutrition",IF(AND(Table1[[#This Row],[Nutrition_Quality_Score]]&gt;=60,Table1[[#This Row],[Nutrition_Quality_Score]]&lt;=80),"Average Nutrition", "Good Nutrition"))</f>
        <v>Average Nutrition</v>
      </c>
      <c r="S78">
        <v>0</v>
      </c>
      <c r="T78" t="str">
        <f>IF(Table1[[#This Row],[Warmup_Routine_Adherence]]=1, "Adherent","Non-Adherent")</f>
        <v>Non-Adherent</v>
      </c>
      <c r="U78">
        <v>1</v>
      </c>
      <c r="V78" t="str">
        <f>IF(Table1[[#This Row],[Injury_Next_Season]]=1, "Injury","No Injury")</f>
        <v>Injury</v>
      </c>
      <c r="W78" s="3">
        <v>19.470777873535699</v>
      </c>
    </row>
    <row r="79" spans="1:23" x14ac:dyDescent="0.25">
      <c r="A79" s="6">
        <v>18</v>
      </c>
      <c r="B79" s="8" t="str">
        <f>CONCATENATE(Table1[[#This Row],[Age]]," ", "years")</f>
        <v>18 years</v>
      </c>
      <c r="C79">
        <v>174</v>
      </c>
      <c r="D79">
        <v>76</v>
      </c>
      <c r="E79" t="s">
        <v>21</v>
      </c>
      <c r="F79" s="3">
        <v>10.792458950919301</v>
      </c>
      <c r="G79" s="3">
        <v>17</v>
      </c>
      <c r="H79">
        <v>0</v>
      </c>
      <c r="I79" s="3">
        <v>77.843612049879994</v>
      </c>
      <c r="J79" s="3">
        <v>80.547820745423095</v>
      </c>
      <c r="K79" s="3">
        <v>181.692203910361</v>
      </c>
      <c r="L79" s="3">
        <v>82.2823287138757</v>
      </c>
      <c r="M79" s="3">
        <v>5.7999037906908599</v>
      </c>
      <c r="N79" s="3">
        <v>76.641269624292207</v>
      </c>
      <c r="O79" s="3">
        <v>6.8440781112454099</v>
      </c>
      <c r="P79" s="3">
        <v>52.082495447477001</v>
      </c>
      <c r="Q79" s="3">
        <v>68.510731452284702</v>
      </c>
      <c r="R79" s="3" t="str">
        <f>IF(Table1[[#This Row],[Nutrition_Quality_Score]]&lt;60, "Poor Nutrition",IF(AND(Table1[[#This Row],[Nutrition_Quality_Score]]&gt;=60,Table1[[#This Row],[Nutrition_Quality_Score]]&lt;=80),"Average Nutrition", "Good Nutrition"))</f>
        <v>Average Nutrition</v>
      </c>
      <c r="S79">
        <v>0</v>
      </c>
      <c r="T79" t="str">
        <f>IF(Table1[[#This Row],[Warmup_Routine_Adherence]]=1, "Adherent","Non-Adherent")</f>
        <v>Non-Adherent</v>
      </c>
      <c r="U79">
        <v>0</v>
      </c>
      <c r="V79" t="str">
        <f>IF(Table1[[#This Row],[Injury_Next_Season]]=1, "Injury","No Injury")</f>
        <v>No Injury</v>
      </c>
      <c r="W79" s="3">
        <v>25.102391333069001</v>
      </c>
    </row>
    <row r="80" spans="1:23" x14ac:dyDescent="0.25">
      <c r="A80" s="6">
        <v>18</v>
      </c>
      <c r="B80" s="8" t="str">
        <f>CONCATENATE(Table1[[#This Row],[Age]]," ", "years")</f>
        <v>18 years</v>
      </c>
      <c r="C80">
        <v>174</v>
      </c>
      <c r="D80">
        <v>70</v>
      </c>
      <c r="E80" t="s">
        <v>19</v>
      </c>
      <c r="F80" s="3">
        <v>11.6006823130318</v>
      </c>
      <c r="G80" s="3">
        <v>34</v>
      </c>
      <c r="H80">
        <v>3</v>
      </c>
      <c r="I80" s="3">
        <v>75.572212445603498</v>
      </c>
      <c r="J80" s="3">
        <v>67.670253773155807</v>
      </c>
      <c r="K80" s="3">
        <v>234.21735467954301</v>
      </c>
      <c r="L80" s="3">
        <v>75.331760599711799</v>
      </c>
      <c r="M80" s="3">
        <v>6.2823146389177902</v>
      </c>
      <c r="N80" s="3">
        <v>85.554955568413604</v>
      </c>
      <c r="O80" s="3">
        <v>8.5443400897107207</v>
      </c>
      <c r="P80" s="3">
        <v>63.165321011641801</v>
      </c>
      <c r="Q80" s="3">
        <v>82.306582468244002</v>
      </c>
      <c r="R80" s="3" t="str">
        <f>IF(Table1[[#This Row],[Nutrition_Quality_Score]]&lt;60, "Poor Nutrition",IF(AND(Table1[[#This Row],[Nutrition_Quality_Score]]&gt;=60,Table1[[#This Row],[Nutrition_Quality_Score]]&lt;=80),"Average Nutrition", "Good Nutrition"))</f>
        <v>Good Nutrition</v>
      </c>
      <c r="S80">
        <v>1</v>
      </c>
      <c r="T80" t="str">
        <f>IF(Table1[[#This Row],[Warmup_Routine_Adherence]]=1, "Adherent","Non-Adherent")</f>
        <v>Adherent</v>
      </c>
      <c r="U80">
        <v>0</v>
      </c>
      <c r="V80" t="str">
        <f>IF(Table1[[#This Row],[Injury_Next_Season]]=1, "Injury","No Injury")</f>
        <v>No Injury</v>
      </c>
      <c r="W80" s="3">
        <v>23.1206235962478</v>
      </c>
    </row>
    <row r="81" spans="1:23" x14ac:dyDescent="0.25">
      <c r="A81" s="6">
        <v>24</v>
      </c>
      <c r="B81" s="8" t="str">
        <f>CONCATENATE(Table1[[#This Row],[Age]]," ", "years")</f>
        <v>24 years</v>
      </c>
      <c r="C81">
        <v>189</v>
      </c>
      <c r="D81">
        <v>72</v>
      </c>
      <c r="E81" t="s">
        <v>22</v>
      </c>
      <c r="F81" s="3">
        <v>9.4790874866298598</v>
      </c>
      <c r="G81" s="3">
        <v>7</v>
      </c>
      <c r="H81">
        <v>1</v>
      </c>
      <c r="I81" s="3">
        <v>74.850210881761299</v>
      </c>
      <c r="J81" s="3">
        <v>79.544739017549503</v>
      </c>
      <c r="K81" s="3">
        <v>237.63176155234501</v>
      </c>
      <c r="L81" s="3">
        <v>88.631767127398007</v>
      </c>
      <c r="M81" s="3">
        <v>6.65269287689582</v>
      </c>
      <c r="N81" s="3">
        <v>84.757144025266896</v>
      </c>
      <c r="O81" s="3">
        <v>7.6804045535821199</v>
      </c>
      <c r="P81" s="3">
        <v>51.380502147783297</v>
      </c>
      <c r="Q81" s="3">
        <v>72.7641867571554</v>
      </c>
      <c r="R81" s="3" t="str">
        <f>IF(Table1[[#This Row],[Nutrition_Quality_Score]]&lt;60, "Poor Nutrition",IF(AND(Table1[[#This Row],[Nutrition_Quality_Score]]&gt;=60,Table1[[#This Row],[Nutrition_Quality_Score]]&lt;=80),"Average Nutrition", "Good Nutrition"))</f>
        <v>Average Nutrition</v>
      </c>
      <c r="S81">
        <v>0</v>
      </c>
      <c r="T81" t="str">
        <f>IF(Table1[[#This Row],[Warmup_Routine_Adherence]]=1, "Adherent","Non-Adherent")</f>
        <v>Non-Adherent</v>
      </c>
      <c r="U81">
        <v>0</v>
      </c>
      <c r="V81" t="str">
        <f>IF(Table1[[#This Row],[Injury_Next_Season]]=1, "Injury","No Injury")</f>
        <v>No Injury</v>
      </c>
      <c r="W81" s="3">
        <v>20.156210632401098</v>
      </c>
    </row>
    <row r="82" spans="1:23" x14ac:dyDescent="0.25">
      <c r="A82" s="6">
        <v>18</v>
      </c>
      <c r="B82" s="8" t="str">
        <f>CONCATENATE(Table1[[#This Row],[Age]]," ", "years")</f>
        <v>18 years</v>
      </c>
      <c r="C82">
        <v>169</v>
      </c>
      <c r="D82">
        <v>80</v>
      </c>
      <c r="E82" t="s">
        <v>22</v>
      </c>
      <c r="F82" s="3">
        <v>9.5989565738951992</v>
      </c>
      <c r="G82" s="3">
        <v>32</v>
      </c>
      <c r="H82">
        <v>2</v>
      </c>
      <c r="I82" s="3">
        <v>78.118395373326607</v>
      </c>
      <c r="J82" s="3">
        <v>83.324070122257496</v>
      </c>
      <c r="K82" s="3">
        <v>236.429527640419</v>
      </c>
      <c r="L82" s="3">
        <v>88.875901961688797</v>
      </c>
      <c r="M82" s="3">
        <v>6.6750391611500497</v>
      </c>
      <c r="N82" s="3">
        <v>91.644244016468093</v>
      </c>
      <c r="O82" s="3">
        <v>7.6959956954910798</v>
      </c>
      <c r="P82" s="3">
        <v>49.596895222023399</v>
      </c>
      <c r="Q82" s="3">
        <v>88.182632993265202</v>
      </c>
      <c r="R82" s="3" t="str">
        <f>IF(Table1[[#This Row],[Nutrition_Quality_Score]]&lt;60, "Poor Nutrition",IF(AND(Table1[[#This Row],[Nutrition_Quality_Score]]&gt;=60,Table1[[#This Row],[Nutrition_Quality_Score]]&lt;=80),"Average Nutrition", "Good Nutrition"))</f>
        <v>Good Nutrition</v>
      </c>
      <c r="S82">
        <v>1</v>
      </c>
      <c r="T82" t="str">
        <f>IF(Table1[[#This Row],[Warmup_Routine_Adherence]]=1, "Adherent","Non-Adherent")</f>
        <v>Adherent</v>
      </c>
      <c r="U82">
        <v>0</v>
      </c>
      <c r="V82" t="str">
        <f>IF(Table1[[#This Row],[Injury_Next_Season]]=1, "Injury","No Injury")</f>
        <v>No Injury</v>
      </c>
      <c r="W82" s="3">
        <v>28.010223731661998</v>
      </c>
    </row>
    <row r="83" spans="1:23" x14ac:dyDescent="0.25">
      <c r="A83" s="6">
        <v>23</v>
      </c>
      <c r="B83" s="8" t="str">
        <f>CONCATENATE(Table1[[#This Row],[Age]]," ", "years")</f>
        <v>23 years</v>
      </c>
      <c r="C83">
        <v>175</v>
      </c>
      <c r="D83">
        <v>64</v>
      </c>
      <c r="E83" t="s">
        <v>20</v>
      </c>
      <c r="F83" s="3">
        <v>7.6536747621666503</v>
      </c>
      <c r="G83" s="3">
        <v>28</v>
      </c>
      <c r="H83">
        <v>3</v>
      </c>
      <c r="I83" s="3">
        <v>72.448455945831896</v>
      </c>
      <c r="J83" s="3">
        <v>80.904870738615699</v>
      </c>
      <c r="K83" s="3">
        <v>267.82337114549301</v>
      </c>
      <c r="L83" s="3">
        <v>74.969669643571095</v>
      </c>
      <c r="M83" s="3">
        <v>5.5174203129515602</v>
      </c>
      <c r="N83" s="3">
        <v>78.741170430488793</v>
      </c>
      <c r="O83" s="3">
        <v>6.1461054118061602</v>
      </c>
      <c r="P83" s="3">
        <v>61.821420906263803</v>
      </c>
      <c r="Q83" s="3">
        <v>63.751282058604097</v>
      </c>
      <c r="R83" s="3" t="str">
        <f>IF(Table1[[#This Row],[Nutrition_Quality_Score]]&lt;60, "Poor Nutrition",IF(AND(Table1[[#This Row],[Nutrition_Quality_Score]]&gt;=60,Table1[[#This Row],[Nutrition_Quality_Score]]&lt;=80),"Average Nutrition", "Good Nutrition"))</f>
        <v>Average Nutrition</v>
      </c>
      <c r="S83">
        <v>0</v>
      </c>
      <c r="T83" t="str">
        <f>IF(Table1[[#This Row],[Warmup_Routine_Adherence]]=1, "Adherent","Non-Adherent")</f>
        <v>Non-Adherent</v>
      </c>
      <c r="U83">
        <v>1</v>
      </c>
      <c r="V83" t="str">
        <f>IF(Table1[[#This Row],[Injury_Next_Season]]=1, "Injury","No Injury")</f>
        <v>Injury</v>
      </c>
      <c r="W83" s="3">
        <v>20.8979591836734</v>
      </c>
    </row>
    <row r="84" spans="1:23" x14ac:dyDescent="0.25">
      <c r="A84" s="6">
        <v>18</v>
      </c>
      <c r="B84" s="8" t="str">
        <f>CONCATENATE(Table1[[#This Row],[Age]]," ", "years")</f>
        <v>18 years</v>
      </c>
      <c r="C84">
        <v>168</v>
      </c>
      <c r="D84">
        <v>80</v>
      </c>
      <c r="E84" t="s">
        <v>19</v>
      </c>
      <c r="F84" s="3">
        <v>14.8120802593655</v>
      </c>
      <c r="G84" s="3">
        <v>21</v>
      </c>
      <c r="H84">
        <v>3</v>
      </c>
      <c r="I84" s="3">
        <v>77.912985627977903</v>
      </c>
      <c r="J84" s="3">
        <v>72.043917849260595</v>
      </c>
      <c r="K84" s="3">
        <v>289.93029388674103</v>
      </c>
      <c r="L84" s="3">
        <v>80.454723586075005</v>
      </c>
      <c r="M84" s="3">
        <v>5.8799177211096696</v>
      </c>
      <c r="N84" s="3">
        <v>50</v>
      </c>
      <c r="O84" s="3">
        <v>7.0889498471589603</v>
      </c>
      <c r="P84" s="3">
        <v>53.059999767412798</v>
      </c>
      <c r="Q84" s="3">
        <v>80.0724712094936</v>
      </c>
      <c r="R84" s="3" t="str">
        <f>IF(Table1[[#This Row],[Nutrition_Quality_Score]]&lt;60, "Poor Nutrition",IF(AND(Table1[[#This Row],[Nutrition_Quality_Score]]&gt;=60,Table1[[#This Row],[Nutrition_Quality_Score]]&lt;=80),"Average Nutrition", "Good Nutrition"))</f>
        <v>Good Nutrition</v>
      </c>
      <c r="S84">
        <v>1</v>
      </c>
      <c r="T84" t="str">
        <f>IF(Table1[[#This Row],[Warmup_Routine_Adherence]]=1, "Adherent","Non-Adherent")</f>
        <v>Adherent</v>
      </c>
      <c r="U84">
        <v>1</v>
      </c>
      <c r="V84" t="str">
        <f>IF(Table1[[#This Row],[Injury_Next_Season]]=1, "Injury","No Injury")</f>
        <v>Injury</v>
      </c>
      <c r="W84" s="3">
        <v>28.344671201813998</v>
      </c>
    </row>
    <row r="85" spans="1:23" x14ac:dyDescent="0.25">
      <c r="A85" s="6">
        <v>19</v>
      </c>
      <c r="B85" s="8" t="str">
        <f>CONCATENATE(Table1[[#This Row],[Age]]," ", "years")</f>
        <v>19 years</v>
      </c>
      <c r="C85">
        <v>166</v>
      </c>
      <c r="D85">
        <v>79</v>
      </c>
      <c r="E85" t="s">
        <v>22</v>
      </c>
      <c r="F85" s="3">
        <v>8.90251715665452</v>
      </c>
      <c r="G85" s="3">
        <v>23</v>
      </c>
      <c r="H85">
        <v>2</v>
      </c>
      <c r="I85" s="3">
        <v>73.172377054491093</v>
      </c>
      <c r="J85" s="3">
        <v>81.524010954970805</v>
      </c>
      <c r="K85" s="3">
        <v>284.39631622320599</v>
      </c>
      <c r="L85" s="3">
        <v>78.280558025301801</v>
      </c>
      <c r="M85" s="3">
        <v>5.7425520759946203</v>
      </c>
      <c r="N85" s="3">
        <v>81.633077643714401</v>
      </c>
      <c r="O85" s="3">
        <v>7.6327826865736803</v>
      </c>
      <c r="P85" s="3">
        <v>48.432757379542501</v>
      </c>
      <c r="Q85" s="3">
        <v>62.598926425014902</v>
      </c>
      <c r="R85" s="3" t="str">
        <f>IF(Table1[[#This Row],[Nutrition_Quality_Score]]&lt;60, "Poor Nutrition",IF(AND(Table1[[#This Row],[Nutrition_Quality_Score]]&gt;=60,Table1[[#This Row],[Nutrition_Quality_Score]]&lt;=80),"Average Nutrition", "Good Nutrition"))</f>
        <v>Average Nutrition</v>
      </c>
      <c r="S85">
        <v>0</v>
      </c>
      <c r="T85" t="str">
        <f>IF(Table1[[#This Row],[Warmup_Routine_Adherence]]=1, "Adherent","Non-Adherent")</f>
        <v>Non-Adherent</v>
      </c>
      <c r="U85">
        <v>1</v>
      </c>
      <c r="V85" t="str">
        <f>IF(Table1[[#This Row],[Injury_Next_Season]]=1, "Injury","No Injury")</f>
        <v>Injury</v>
      </c>
      <c r="W85" s="3">
        <v>28.668892437218702</v>
      </c>
    </row>
    <row r="86" spans="1:23" x14ac:dyDescent="0.25">
      <c r="A86" s="6">
        <v>24</v>
      </c>
      <c r="B86" s="8" t="str">
        <f>CONCATENATE(Table1[[#This Row],[Age]]," ", "years")</f>
        <v>24 years</v>
      </c>
      <c r="C86">
        <v>172</v>
      </c>
      <c r="D86">
        <v>77</v>
      </c>
      <c r="E86" t="s">
        <v>20</v>
      </c>
      <c r="F86" s="3">
        <v>14.0586910121411</v>
      </c>
      <c r="G86" s="3">
        <v>22</v>
      </c>
      <c r="H86">
        <v>0</v>
      </c>
      <c r="I86" s="3">
        <v>77.8761232114188</v>
      </c>
      <c r="J86" s="3">
        <v>71.057874077333594</v>
      </c>
      <c r="K86" s="3">
        <v>230.80073163935799</v>
      </c>
      <c r="L86" s="3">
        <v>92.017102390394498</v>
      </c>
      <c r="M86" s="3">
        <v>5.58676205269738</v>
      </c>
      <c r="N86" s="3">
        <v>76.345037772394605</v>
      </c>
      <c r="O86" s="3">
        <v>6.7521057587066098</v>
      </c>
      <c r="P86" s="3">
        <v>41.0821662948346</v>
      </c>
      <c r="Q86" s="3">
        <v>64.389940453483803</v>
      </c>
      <c r="R86" s="3" t="str">
        <f>IF(Table1[[#This Row],[Nutrition_Quality_Score]]&lt;60, "Poor Nutrition",IF(AND(Table1[[#This Row],[Nutrition_Quality_Score]]&gt;=60,Table1[[#This Row],[Nutrition_Quality_Score]]&lt;=80),"Average Nutrition", "Good Nutrition"))</f>
        <v>Average Nutrition</v>
      </c>
      <c r="S86">
        <v>1</v>
      </c>
      <c r="T86" t="str">
        <f>IF(Table1[[#This Row],[Warmup_Routine_Adherence]]=1, "Adherent","Non-Adherent")</f>
        <v>Adherent</v>
      </c>
      <c r="U86">
        <v>0</v>
      </c>
      <c r="V86" t="str">
        <f>IF(Table1[[#This Row],[Injury_Next_Season]]=1, "Injury","No Injury")</f>
        <v>No Injury</v>
      </c>
      <c r="W86" s="3">
        <v>26.027582477014601</v>
      </c>
    </row>
    <row r="87" spans="1:23" x14ac:dyDescent="0.25">
      <c r="A87" s="6">
        <v>22</v>
      </c>
      <c r="B87" s="8" t="str">
        <f>CONCATENATE(Table1[[#This Row],[Age]]," ", "years")</f>
        <v>22 years</v>
      </c>
      <c r="C87">
        <v>173</v>
      </c>
      <c r="D87">
        <v>75</v>
      </c>
      <c r="E87" t="s">
        <v>20</v>
      </c>
      <c r="F87" s="3">
        <v>11.2576953764323</v>
      </c>
      <c r="G87" s="3">
        <v>17</v>
      </c>
      <c r="H87">
        <v>2</v>
      </c>
      <c r="I87" s="3">
        <v>86.495570065000194</v>
      </c>
      <c r="J87" s="3">
        <v>86.675784792055097</v>
      </c>
      <c r="K87" s="3">
        <v>262.96839659032003</v>
      </c>
      <c r="L87" s="3">
        <v>84.404612938607102</v>
      </c>
      <c r="M87" s="3">
        <v>5.8541260199276204</v>
      </c>
      <c r="N87" s="3">
        <v>94.665867168321299</v>
      </c>
      <c r="O87" s="3">
        <v>7.2286685178682699</v>
      </c>
      <c r="P87" s="3">
        <v>55.876970912841202</v>
      </c>
      <c r="Q87" s="3">
        <v>87.268175579609405</v>
      </c>
      <c r="R87" s="3" t="str">
        <f>IF(Table1[[#This Row],[Nutrition_Quality_Score]]&lt;60, "Poor Nutrition",IF(AND(Table1[[#This Row],[Nutrition_Quality_Score]]&gt;=60,Table1[[#This Row],[Nutrition_Quality_Score]]&lt;=80),"Average Nutrition", "Good Nutrition"))</f>
        <v>Good Nutrition</v>
      </c>
      <c r="S87">
        <v>0</v>
      </c>
      <c r="T87" t="str">
        <f>IF(Table1[[#This Row],[Warmup_Routine_Adherence]]=1, "Adherent","Non-Adherent")</f>
        <v>Non-Adherent</v>
      </c>
      <c r="U87">
        <v>0</v>
      </c>
      <c r="V87" t="str">
        <f>IF(Table1[[#This Row],[Injury_Next_Season]]=1, "Injury","No Injury")</f>
        <v>No Injury</v>
      </c>
      <c r="W87" s="3">
        <v>25.0593070266296</v>
      </c>
    </row>
    <row r="88" spans="1:23" x14ac:dyDescent="0.25">
      <c r="A88" s="6">
        <v>18</v>
      </c>
      <c r="B88" s="8" t="str">
        <f>CONCATENATE(Table1[[#This Row],[Age]]," ", "years")</f>
        <v>18 years</v>
      </c>
      <c r="C88">
        <v>182</v>
      </c>
      <c r="D88">
        <v>64</v>
      </c>
      <c r="E88" t="s">
        <v>22</v>
      </c>
      <c r="F88" s="3">
        <v>12.2128831128013</v>
      </c>
      <c r="G88" s="3">
        <v>16</v>
      </c>
      <c r="H88">
        <v>1</v>
      </c>
      <c r="I88" s="3">
        <v>90.056353128119994</v>
      </c>
      <c r="J88" s="3">
        <v>82.027696421561501</v>
      </c>
      <c r="K88" s="3">
        <v>188.038208290471</v>
      </c>
      <c r="L88" s="3">
        <v>81.967948167886505</v>
      </c>
      <c r="M88" s="3">
        <v>5.7726157017525903</v>
      </c>
      <c r="N88" s="3">
        <v>83.237306201426904</v>
      </c>
      <c r="O88" s="3">
        <v>8.3952616923019701</v>
      </c>
      <c r="P88" s="3">
        <v>49.152168672030101</v>
      </c>
      <c r="Q88" s="3">
        <v>80.903573425557099</v>
      </c>
      <c r="R88" s="3" t="str">
        <f>IF(Table1[[#This Row],[Nutrition_Quality_Score]]&lt;60, "Poor Nutrition",IF(AND(Table1[[#This Row],[Nutrition_Quality_Score]]&gt;=60,Table1[[#This Row],[Nutrition_Quality_Score]]&lt;=80),"Average Nutrition", "Good Nutrition"))</f>
        <v>Good Nutrition</v>
      </c>
      <c r="S88">
        <v>0</v>
      </c>
      <c r="T88" t="str">
        <f>IF(Table1[[#This Row],[Warmup_Routine_Adherence]]=1, "Adherent","Non-Adherent")</f>
        <v>Non-Adherent</v>
      </c>
      <c r="U88">
        <v>0</v>
      </c>
      <c r="V88" t="str">
        <f>IF(Table1[[#This Row],[Injury_Next_Season]]=1, "Injury","No Injury")</f>
        <v>No Injury</v>
      </c>
      <c r="W88" s="3">
        <v>19.321338002656599</v>
      </c>
    </row>
    <row r="89" spans="1:23" x14ac:dyDescent="0.25">
      <c r="A89" s="6">
        <v>22</v>
      </c>
      <c r="B89" s="8" t="str">
        <f>CONCATENATE(Table1[[#This Row],[Age]]," ", "years")</f>
        <v>22 years</v>
      </c>
      <c r="C89">
        <v>189</v>
      </c>
      <c r="D89">
        <v>80</v>
      </c>
      <c r="E89" t="s">
        <v>20</v>
      </c>
      <c r="F89" s="3">
        <v>6.5439419322394299</v>
      </c>
      <c r="G89" s="3">
        <v>31</v>
      </c>
      <c r="H89">
        <v>2</v>
      </c>
      <c r="I89" s="3">
        <v>68.871568569725099</v>
      </c>
      <c r="J89" s="3">
        <v>71.561245738303995</v>
      </c>
      <c r="K89" s="3">
        <v>243.711235397416</v>
      </c>
      <c r="L89" s="3">
        <v>81.845559824469902</v>
      </c>
      <c r="M89" s="3">
        <v>5.8109620514091098</v>
      </c>
      <c r="N89" s="3">
        <v>75.713448508168199</v>
      </c>
      <c r="O89" s="3">
        <v>6.2230293244128303</v>
      </c>
      <c r="P89" s="3">
        <v>67.193346254938803</v>
      </c>
      <c r="Q89" s="3">
        <v>64.696712002343503</v>
      </c>
      <c r="R89" s="3" t="str">
        <f>IF(Table1[[#This Row],[Nutrition_Quality_Score]]&lt;60, "Poor Nutrition",IF(AND(Table1[[#This Row],[Nutrition_Quality_Score]]&gt;=60,Table1[[#This Row],[Nutrition_Quality_Score]]&lt;=80),"Average Nutrition", "Good Nutrition"))</f>
        <v>Average Nutrition</v>
      </c>
      <c r="S89">
        <v>1</v>
      </c>
      <c r="T89" t="str">
        <f>IF(Table1[[#This Row],[Warmup_Routine_Adherence]]=1, "Adherent","Non-Adherent")</f>
        <v>Adherent</v>
      </c>
      <c r="U89">
        <v>1</v>
      </c>
      <c r="V89" t="str">
        <f>IF(Table1[[#This Row],[Injury_Next_Season]]=1, "Injury","No Injury")</f>
        <v>Injury</v>
      </c>
      <c r="W89" s="3">
        <v>22.395789591556699</v>
      </c>
    </row>
    <row r="90" spans="1:23" x14ac:dyDescent="0.25">
      <c r="A90" s="6">
        <v>19</v>
      </c>
      <c r="B90" s="8" t="str">
        <f>CONCATENATE(Table1[[#This Row],[Age]]," ", "years")</f>
        <v>19 years</v>
      </c>
      <c r="C90">
        <v>182</v>
      </c>
      <c r="D90">
        <v>86</v>
      </c>
      <c r="E90" t="s">
        <v>22</v>
      </c>
      <c r="F90" s="3">
        <v>12.9237766124606</v>
      </c>
      <c r="G90" s="3">
        <v>39</v>
      </c>
      <c r="H90">
        <v>4</v>
      </c>
      <c r="I90" s="3">
        <v>75.791028401387507</v>
      </c>
      <c r="J90" s="3">
        <v>79.796098034790305</v>
      </c>
      <c r="K90" s="3">
        <v>261.90185350241899</v>
      </c>
      <c r="L90" s="3">
        <v>78.337518382637597</v>
      </c>
      <c r="M90" s="3">
        <v>5.96053018856046</v>
      </c>
      <c r="N90" s="3">
        <v>88.008281152149195</v>
      </c>
      <c r="O90" s="3">
        <v>6.7986354162107503</v>
      </c>
      <c r="P90" s="3">
        <v>72.321076706231096</v>
      </c>
      <c r="Q90" s="3">
        <v>75.655721035273601</v>
      </c>
      <c r="R90" s="3" t="str">
        <f>IF(Table1[[#This Row],[Nutrition_Quality_Score]]&lt;60, "Poor Nutrition",IF(AND(Table1[[#This Row],[Nutrition_Quality_Score]]&gt;=60,Table1[[#This Row],[Nutrition_Quality_Score]]&lt;=80),"Average Nutrition", "Good Nutrition"))</f>
        <v>Average Nutrition</v>
      </c>
      <c r="S90">
        <v>1</v>
      </c>
      <c r="T90" t="str">
        <f>IF(Table1[[#This Row],[Warmup_Routine_Adherence]]=1, "Adherent","Non-Adherent")</f>
        <v>Adherent</v>
      </c>
      <c r="U90">
        <v>1</v>
      </c>
      <c r="V90" t="str">
        <f>IF(Table1[[#This Row],[Injury_Next_Season]]=1, "Injury","No Injury")</f>
        <v>Injury</v>
      </c>
      <c r="W90" s="3">
        <v>25.963047941069899</v>
      </c>
    </row>
    <row r="91" spans="1:23" x14ac:dyDescent="0.25">
      <c r="A91" s="6">
        <v>23</v>
      </c>
      <c r="B91" s="8" t="str">
        <f>CONCATENATE(Table1[[#This Row],[Age]]," ", "years")</f>
        <v>23 years</v>
      </c>
      <c r="C91">
        <v>183</v>
      </c>
      <c r="D91">
        <v>76</v>
      </c>
      <c r="E91" t="s">
        <v>20</v>
      </c>
      <c r="F91" s="3">
        <v>11.5954768331836</v>
      </c>
      <c r="G91" s="3">
        <v>39</v>
      </c>
      <c r="H91">
        <v>3</v>
      </c>
      <c r="I91" s="3">
        <v>65.3617738668855</v>
      </c>
      <c r="J91" s="3">
        <v>77.149191595452706</v>
      </c>
      <c r="K91" s="3">
        <v>249.80709134149799</v>
      </c>
      <c r="L91" s="3">
        <v>79.041324498418106</v>
      </c>
      <c r="M91" s="3">
        <v>5.6877506068059898</v>
      </c>
      <c r="N91" s="3">
        <v>74.479773654136295</v>
      </c>
      <c r="O91" s="3">
        <v>7.0522538262471901</v>
      </c>
      <c r="P91" s="3">
        <v>58.695903312700104</v>
      </c>
      <c r="Q91" s="3">
        <v>74.206355518130906</v>
      </c>
      <c r="R91" s="3" t="str">
        <f>IF(Table1[[#This Row],[Nutrition_Quality_Score]]&lt;60, "Poor Nutrition",IF(AND(Table1[[#This Row],[Nutrition_Quality_Score]]&gt;=60,Table1[[#This Row],[Nutrition_Quality_Score]]&lt;=80),"Average Nutrition", "Good Nutrition"))</f>
        <v>Average Nutrition</v>
      </c>
      <c r="S91">
        <v>0</v>
      </c>
      <c r="T91" t="str">
        <f>IF(Table1[[#This Row],[Warmup_Routine_Adherence]]=1, "Adherent","Non-Adherent")</f>
        <v>Non-Adherent</v>
      </c>
      <c r="U91">
        <v>1</v>
      </c>
      <c r="V91" t="str">
        <f>IF(Table1[[#This Row],[Injury_Next_Season]]=1, "Injury","No Injury")</f>
        <v>Injury</v>
      </c>
      <c r="W91" s="3">
        <v>22.694018931589401</v>
      </c>
    </row>
    <row r="92" spans="1:23" x14ac:dyDescent="0.25">
      <c r="A92" s="6">
        <v>21</v>
      </c>
      <c r="B92" s="8" t="str">
        <f>CONCATENATE(Table1[[#This Row],[Age]]," ", "years")</f>
        <v>21 years</v>
      </c>
      <c r="C92">
        <v>181</v>
      </c>
      <c r="D92">
        <v>73</v>
      </c>
      <c r="E92" t="s">
        <v>21</v>
      </c>
      <c r="F92" s="3">
        <v>16.666169276325299</v>
      </c>
      <c r="G92" s="3">
        <v>17</v>
      </c>
      <c r="H92">
        <v>1</v>
      </c>
      <c r="I92" s="3">
        <v>86.928476378864303</v>
      </c>
      <c r="J92" s="3">
        <v>72.855384708644394</v>
      </c>
      <c r="K92" s="3">
        <v>230.48197907006599</v>
      </c>
      <c r="L92" s="3">
        <v>81.302198515554295</v>
      </c>
      <c r="M92" s="3">
        <v>5.7954184157562896</v>
      </c>
      <c r="N92" s="3">
        <v>64.185144408947494</v>
      </c>
      <c r="O92" s="3">
        <v>8.45343941610607</v>
      </c>
      <c r="P92" s="3">
        <v>52.410465075799301</v>
      </c>
      <c r="Q92" s="3">
        <v>76.844328863944796</v>
      </c>
      <c r="R92" s="3" t="str">
        <f>IF(Table1[[#This Row],[Nutrition_Quality_Score]]&lt;60, "Poor Nutrition",IF(AND(Table1[[#This Row],[Nutrition_Quality_Score]]&gt;=60,Table1[[#This Row],[Nutrition_Quality_Score]]&lt;=80),"Average Nutrition", "Good Nutrition"))</f>
        <v>Average Nutrition</v>
      </c>
      <c r="S92">
        <v>0</v>
      </c>
      <c r="T92" t="str">
        <f>IF(Table1[[#This Row],[Warmup_Routine_Adherence]]=1, "Adherent","Non-Adherent")</f>
        <v>Non-Adherent</v>
      </c>
      <c r="U92">
        <v>0</v>
      </c>
      <c r="V92" t="str">
        <f>IF(Table1[[#This Row],[Injury_Next_Season]]=1, "Injury","No Injury")</f>
        <v>No Injury</v>
      </c>
      <c r="W92" s="3">
        <v>22.282592106468002</v>
      </c>
    </row>
    <row r="93" spans="1:23" x14ac:dyDescent="0.25">
      <c r="A93" s="6">
        <v>18</v>
      </c>
      <c r="B93" s="8" t="str">
        <f>CONCATENATE(Table1[[#This Row],[Age]]," ", "years")</f>
        <v>18 years</v>
      </c>
      <c r="C93">
        <v>193</v>
      </c>
      <c r="D93">
        <v>87</v>
      </c>
      <c r="E93" t="s">
        <v>21</v>
      </c>
      <c r="F93" s="3">
        <v>11.648625670942501</v>
      </c>
      <c r="G93" s="3">
        <v>18</v>
      </c>
      <c r="H93">
        <v>2</v>
      </c>
      <c r="I93" s="3">
        <v>81.839856563678893</v>
      </c>
      <c r="J93" s="3">
        <v>94.103794451819695</v>
      </c>
      <c r="K93" s="3">
        <v>272.55839270895899</v>
      </c>
      <c r="L93" s="3">
        <v>89.288746559075406</v>
      </c>
      <c r="M93" s="3">
        <v>6.3875182445306002</v>
      </c>
      <c r="N93" s="3">
        <v>66.095235633129803</v>
      </c>
      <c r="O93" s="3">
        <v>7.9209921089332704</v>
      </c>
      <c r="P93" s="3">
        <v>55.0150718350503</v>
      </c>
      <c r="Q93" s="3">
        <v>58.722935175155797</v>
      </c>
      <c r="R93" s="3" t="str">
        <f>IF(Table1[[#This Row],[Nutrition_Quality_Score]]&lt;60, "Poor Nutrition",IF(AND(Table1[[#This Row],[Nutrition_Quality_Score]]&gt;=60,Table1[[#This Row],[Nutrition_Quality_Score]]&lt;=80),"Average Nutrition", "Good Nutrition"))</f>
        <v>Poor Nutrition</v>
      </c>
      <c r="S93">
        <v>0</v>
      </c>
      <c r="T93" t="str">
        <f>IF(Table1[[#This Row],[Warmup_Routine_Adherence]]=1, "Adherent","Non-Adherent")</f>
        <v>Non-Adherent</v>
      </c>
      <c r="U93">
        <v>0</v>
      </c>
      <c r="V93" t="str">
        <f>IF(Table1[[#This Row],[Injury_Next_Season]]=1, "Injury","No Injury")</f>
        <v>No Injury</v>
      </c>
      <c r="W93" s="3">
        <v>23.356331713603002</v>
      </c>
    </row>
    <row r="94" spans="1:23" x14ac:dyDescent="0.25">
      <c r="A94" s="6">
        <v>20</v>
      </c>
      <c r="B94" s="8" t="str">
        <f>CONCATENATE(Table1[[#This Row],[Age]]," ", "years")</f>
        <v>20 years</v>
      </c>
      <c r="C94">
        <v>175</v>
      </c>
      <c r="D94">
        <v>89</v>
      </c>
      <c r="E94" t="s">
        <v>20</v>
      </c>
      <c r="F94" s="3">
        <v>6.1344400524125504</v>
      </c>
      <c r="G94" s="3">
        <v>11</v>
      </c>
      <c r="H94">
        <v>1</v>
      </c>
      <c r="I94" s="3">
        <v>71.082330658043503</v>
      </c>
      <c r="J94" s="3">
        <v>76.699628118777596</v>
      </c>
      <c r="K94" s="3">
        <v>244.07196874815401</v>
      </c>
      <c r="L94" s="3">
        <v>82.203688442272295</v>
      </c>
      <c r="M94" s="3">
        <v>6.0627893176249401</v>
      </c>
      <c r="N94" s="3">
        <v>60.467521264419602</v>
      </c>
      <c r="O94" s="3">
        <v>7.5688166306718703</v>
      </c>
      <c r="P94" s="3">
        <v>52.9469341304357</v>
      </c>
      <c r="Q94" s="3">
        <v>69.709471850823604</v>
      </c>
      <c r="R94" s="3" t="str">
        <f>IF(Table1[[#This Row],[Nutrition_Quality_Score]]&lt;60, "Poor Nutrition",IF(AND(Table1[[#This Row],[Nutrition_Quality_Score]]&gt;=60,Table1[[#This Row],[Nutrition_Quality_Score]]&lt;=80),"Average Nutrition", "Good Nutrition"))</f>
        <v>Average Nutrition</v>
      </c>
      <c r="S94">
        <v>1</v>
      </c>
      <c r="T94" t="str">
        <f>IF(Table1[[#This Row],[Warmup_Routine_Adherence]]=1, "Adherent","Non-Adherent")</f>
        <v>Adherent</v>
      </c>
      <c r="U94">
        <v>1</v>
      </c>
      <c r="V94" t="str">
        <f>IF(Table1[[#This Row],[Injury_Next_Season]]=1, "Injury","No Injury")</f>
        <v>Injury</v>
      </c>
      <c r="W94" s="3">
        <v>29.061224489795901</v>
      </c>
    </row>
    <row r="95" spans="1:23" x14ac:dyDescent="0.25">
      <c r="A95" s="6">
        <v>21</v>
      </c>
      <c r="B95" s="8" t="str">
        <f>CONCATENATE(Table1[[#This Row],[Age]]," ", "years")</f>
        <v>21 years</v>
      </c>
      <c r="C95">
        <v>165</v>
      </c>
      <c r="D95">
        <v>57</v>
      </c>
      <c r="E95" t="s">
        <v>19</v>
      </c>
      <c r="F95" s="3">
        <v>8.2925745199682197</v>
      </c>
      <c r="G95" s="3">
        <v>15</v>
      </c>
      <c r="H95">
        <v>1</v>
      </c>
      <c r="I95" s="3">
        <v>72.964002795300701</v>
      </c>
      <c r="J95" s="3">
        <v>79.155117406844397</v>
      </c>
      <c r="K95" s="3">
        <v>246.17569137604801</v>
      </c>
      <c r="L95" s="3">
        <v>84.923203197685694</v>
      </c>
      <c r="M95" s="3">
        <v>5.8812272952943196</v>
      </c>
      <c r="N95" s="3">
        <v>71.508752597739303</v>
      </c>
      <c r="O95" s="3">
        <v>6.8638499314614201</v>
      </c>
      <c r="P95" s="3">
        <v>61.4575448471006</v>
      </c>
      <c r="Q95" s="3">
        <v>83.390720301715007</v>
      </c>
      <c r="R95" s="3" t="str">
        <f>IF(Table1[[#This Row],[Nutrition_Quality_Score]]&lt;60, "Poor Nutrition",IF(AND(Table1[[#This Row],[Nutrition_Quality_Score]]&gt;=60,Table1[[#This Row],[Nutrition_Quality_Score]]&lt;=80),"Average Nutrition", "Good Nutrition"))</f>
        <v>Good Nutrition</v>
      </c>
      <c r="S95">
        <v>1</v>
      </c>
      <c r="T95" t="str">
        <f>IF(Table1[[#This Row],[Warmup_Routine_Adherence]]=1, "Adherent","Non-Adherent")</f>
        <v>Adherent</v>
      </c>
      <c r="U95">
        <v>1</v>
      </c>
      <c r="V95" t="str">
        <f>IF(Table1[[#This Row],[Injury_Next_Season]]=1, "Injury","No Injury")</f>
        <v>Injury</v>
      </c>
      <c r="W95" s="3">
        <v>20.9366391184573</v>
      </c>
    </row>
    <row r="96" spans="1:23" x14ac:dyDescent="0.25">
      <c r="A96" s="6">
        <v>21</v>
      </c>
      <c r="B96" s="8" t="str">
        <f>CONCATENATE(Table1[[#This Row],[Age]]," ", "years")</f>
        <v>21 years</v>
      </c>
      <c r="C96">
        <v>173</v>
      </c>
      <c r="D96">
        <v>83</v>
      </c>
      <c r="E96" t="s">
        <v>22</v>
      </c>
      <c r="F96" s="3">
        <v>12.5233473198114</v>
      </c>
      <c r="G96" s="3">
        <v>32</v>
      </c>
      <c r="H96">
        <v>3</v>
      </c>
      <c r="I96" s="3">
        <v>78.7044826410811</v>
      </c>
      <c r="J96" s="3">
        <v>75.890813325801901</v>
      </c>
      <c r="K96" s="3">
        <v>238.98337364430401</v>
      </c>
      <c r="L96" s="3">
        <v>88.528201772070801</v>
      </c>
      <c r="M96" s="3">
        <v>5.9043864259800403</v>
      </c>
      <c r="N96" s="3">
        <v>83.102650640734296</v>
      </c>
      <c r="O96" s="3">
        <v>8.1381182563753001</v>
      </c>
      <c r="P96" s="3">
        <v>46.420695270102399</v>
      </c>
      <c r="Q96" s="3">
        <v>82.960306688172096</v>
      </c>
      <c r="R96" s="3" t="str">
        <f>IF(Table1[[#This Row],[Nutrition_Quality_Score]]&lt;60, "Poor Nutrition",IF(AND(Table1[[#This Row],[Nutrition_Quality_Score]]&gt;=60,Table1[[#This Row],[Nutrition_Quality_Score]]&lt;=80),"Average Nutrition", "Good Nutrition"))</f>
        <v>Good Nutrition</v>
      </c>
      <c r="S96">
        <v>1</v>
      </c>
      <c r="T96" t="str">
        <f>IF(Table1[[#This Row],[Warmup_Routine_Adherence]]=1, "Adherent","Non-Adherent")</f>
        <v>Adherent</v>
      </c>
      <c r="U96">
        <v>0</v>
      </c>
      <c r="V96" t="str">
        <f>IF(Table1[[#This Row],[Injury_Next_Season]]=1, "Injury","No Injury")</f>
        <v>No Injury</v>
      </c>
      <c r="W96" s="3">
        <v>27.732299776136799</v>
      </c>
    </row>
    <row r="97" spans="1:23" x14ac:dyDescent="0.25">
      <c r="A97" s="6">
        <v>19</v>
      </c>
      <c r="B97" s="8" t="str">
        <f>CONCATENATE(Table1[[#This Row],[Age]]," ", "years")</f>
        <v>19 years</v>
      </c>
      <c r="C97">
        <v>185</v>
      </c>
      <c r="D97">
        <v>78</v>
      </c>
      <c r="E97" t="s">
        <v>20</v>
      </c>
      <c r="F97" s="3">
        <v>8.50349546518677</v>
      </c>
      <c r="G97" s="3">
        <v>26</v>
      </c>
      <c r="H97">
        <v>1</v>
      </c>
      <c r="I97" s="3">
        <v>77.602973712599095</v>
      </c>
      <c r="J97" s="3">
        <v>74.5948483738823</v>
      </c>
      <c r="K97" s="3">
        <v>236.53273578844301</v>
      </c>
      <c r="L97" s="3">
        <v>82.468505058361501</v>
      </c>
      <c r="M97" s="3">
        <v>6.3268009606771001</v>
      </c>
      <c r="N97" s="3">
        <v>81.335091311459195</v>
      </c>
      <c r="O97" s="3">
        <v>7.7067343041034997</v>
      </c>
      <c r="P97" s="3">
        <v>41.375977307332903</v>
      </c>
      <c r="Q97" s="3">
        <v>72.501392788862702</v>
      </c>
      <c r="R97" s="3" t="str">
        <f>IF(Table1[[#This Row],[Nutrition_Quality_Score]]&lt;60, "Poor Nutrition",IF(AND(Table1[[#This Row],[Nutrition_Quality_Score]]&gt;=60,Table1[[#This Row],[Nutrition_Quality_Score]]&lt;=80),"Average Nutrition", "Good Nutrition"))</f>
        <v>Average Nutrition</v>
      </c>
      <c r="S97">
        <v>0</v>
      </c>
      <c r="T97" t="str">
        <f>IF(Table1[[#This Row],[Warmup_Routine_Adherence]]=1, "Adherent","Non-Adherent")</f>
        <v>Non-Adherent</v>
      </c>
      <c r="U97">
        <v>0</v>
      </c>
      <c r="V97" t="str">
        <f>IF(Table1[[#This Row],[Injury_Next_Season]]=1, "Injury","No Injury")</f>
        <v>No Injury</v>
      </c>
      <c r="W97" s="3">
        <v>22.790357925493002</v>
      </c>
    </row>
    <row r="98" spans="1:23" x14ac:dyDescent="0.25">
      <c r="A98" s="6">
        <v>24</v>
      </c>
      <c r="B98" s="8" t="str">
        <f>CONCATENATE(Table1[[#This Row],[Age]]," ", "years")</f>
        <v>24 years</v>
      </c>
      <c r="C98">
        <v>174</v>
      </c>
      <c r="D98">
        <v>66</v>
      </c>
      <c r="E98" t="s">
        <v>21</v>
      </c>
      <c r="F98" s="3">
        <v>5.4845894790525502</v>
      </c>
      <c r="G98" s="3">
        <v>36</v>
      </c>
      <c r="H98">
        <v>0</v>
      </c>
      <c r="I98" s="3">
        <v>84.569473912910595</v>
      </c>
      <c r="J98" s="3">
        <v>83.823652139844697</v>
      </c>
      <c r="K98" s="3">
        <v>229.88407985937499</v>
      </c>
      <c r="L98" s="3">
        <v>81.924709250410203</v>
      </c>
      <c r="M98" s="3">
        <v>5.5851089443559703</v>
      </c>
      <c r="N98" s="3">
        <v>94.469760879351895</v>
      </c>
      <c r="O98" s="3">
        <v>7.5811757657929704</v>
      </c>
      <c r="P98" s="3">
        <v>43.855021461126299</v>
      </c>
      <c r="Q98" s="3">
        <v>88.700996830237898</v>
      </c>
      <c r="R98" s="3" t="str">
        <f>IF(Table1[[#This Row],[Nutrition_Quality_Score]]&lt;60, "Poor Nutrition",IF(AND(Table1[[#This Row],[Nutrition_Quality_Score]]&gt;=60,Table1[[#This Row],[Nutrition_Quality_Score]]&lt;=80),"Average Nutrition", "Good Nutrition"))</f>
        <v>Good Nutrition</v>
      </c>
      <c r="S98">
        <v>1</v>
      </c>
      <c r="T98" t="str">
        <f>IF(Table1[[#This Row],[Warmup_Routine_Adherence]]=1, "Adherent","Non-Adherent")</f>
        <v>Adherent</v>
      </c>
      <c r="U98">
        <v>0</v>
      </c>
      <c r="V98" t="str">
        <f>IF(Table1[[#This Row],[Injury_Next_Season]]=1, "Injury","No Injury")</f>
        <v>No Injury</v>
      </c>
      <c r="W98" s="3">
        <v>21.799445105033598</v>
      </c>
    </row>
    <row r="99" spans="1:23" x14ac:dyDescent="0.25">
      <c r="A99" s="6">
        <v>23</v>
      </c>
      <c r="B99" s="8" t="str">
        <f>CONCATENATE(Table1[[#This Row],[Age]]," ", "years")</f>
        <v>23 years</v>
      </c>
      <c r="C99">
        <v>198</v>
      </c>
      <c r="D99">
        <v>81</v>
      </c>
      <c r="E99" t="s">
        <v>22</v>
      </c>
      <c r="F99" s="3">
        <v>8.3960453198351903</v>
      </c>
      <c r="G99" s="3">
        <v>34</v>
      </c>
      <c r="H99">
        <v>1</v>
      </c>
      <c r="I99" s="3">
        <v>81.072016458705406</v>
      </c>
      <c r="J99" s="3">
        <v>77.808503366112305</v>
      </c>
      <c r="K99" s="3">
        <v>271.47675269307501</v>
      </c>
      <c r="L99" s="3">
        <v>79.629702357962799</v>
      </c>
      <c r="M99" s="3">
        <v>6.1294635648072902</v>
      </c>
      <c r="N99" s="3">
        <v>76.379775535740905</v>
      </c>
      <c r="O99" s="3">
        <v>7.5874989544310703</v>
      </c>
      <c r="P99" s="3">
        <v>40.877590912594798</v>
      </c>
      <c r="Q99" s="3">
        <v>82.135080930311403</v>
      </c>
      <c r="R99" s="3" t="str">
        <f>IF(Table1[[#This Row],[Nutrition_Quality_Score]]&lt;60, "Poor Nutrition",IF(AND(Table1[[#This Row],[Nutrition_Quality_Score]]&gt;=60,Table1[[#This Row],[Nutrition_Quality_Score]]&lt;=80),"Average Nutrition", "Good Nutrition"))</f>
        <v>Good Nutrition</v>
      </c>
      <c r="S99">
        <v>0</v>
      </c>
      <c r="T99" t="str">
        <f>IF(Table1[[#This Row],[Warmup_Routine_Adherence]]=1, "Adherent","Non-Adherent")</f>
        <v>Non-Adherent</v>
      </c>
      <c r="U99">
        <v>0</v>
      </c>
      <c r="V99" t="str">
        <f>IF(Table1[[#This Row],[Injury_Next_Season]]=1, "Injury","No Injury")</f>
        <v>No Injury</v>
      </c>
      <c r="W99" s="3">
        <v>20.661157024793301</v>
      </c>
    </row>
    <row r="100" spans="1:23" x14ac:dyDescent="0.25">
      <c r="A100" s="6">
        <v>24</v>
      </c>
      <c r="B100" s="8" t="str">
        <f>CONCATENATE(Table1[[#This Row],[Age]]," ", "years")</f>
        <v>24 years</v>
      </c>
      <c r="C100">
        <v>178</v>
      </c>
      <c r="D100">
        <v>68</v>
      </c>
      <c r="E100" t="s">
        <v>19</v>
      </c>
      <c r="F100" s="3">
        <v>10.780298930078899</v>
      </c>
      <c r="G100" s="3">
        <v>37</v>
      </c>
      <c r="H100">
        <v>1</v>
      </c>
      <c r="I100" s="3">
        <v>82.382177769432104</v>
      </c>
      <c r="J100" s="3">
        <v>75.686378072503899</v>
      </c>
      <c r="K100" s="3">
        <v>246.65623981632299</v>
      </c>
      <c r="L100" s="3">
        <v>80.851663844179996</v>
      </c>
      <c r="M100" s="3">
        <v>5.8801136410703396</v>
      </c>
      <c r="N100" s="3">
        <v>72.987683450214504</v>
      </c>
      <c r="O100" s="3">
        <v>7.0252793963913902</v>
      </c>
      <c r="P100" s="3">
        <v>59.1311417680121</v>
      </c>
      <c r="Q100" s="3">
        <v>62.926125954814601</v>
      </c>
      <c r="R100" s="3" t="str">
        <f>IF(Table1[[#This Row],[Nutrition_Quality_Score]]&lt;60, "Poor Nutrition",IF(AND(Table1[[#This Row],[Nutrition_Quality_Score]]&gt;=60,Table1[[#This Row],[Nutrition_Quality_Score]]&lt;=80),"Average Nutrition", "Good Nutrition"))</f>
        <v>Average Nutrition</v>
      </c>
      <c r="S100">
        <v>1</v>
      </c>
      <c r="T100" t="str">
        <f>IF(Table1[[#This Row],[Warmup_Routine_Adherence]]=1, "Adherent","Non-Adherent")</f>
        <v>Adherent</v>
      </c>
      <c r="U100">
        <v>1</v>
      </c>
      <c r="V100" t="str">
        <f>IF(Table1[[#This Row],[Injury_Next_Season]]=1, "Injury","No Injury")</f>
        <v>Injury</v>
      </c>
      <c r="W100" s="3">
        <v>21.461936624163599</v>
      </c>
    </row>
    <row r="101" spans="1:23" x14ac:dyDescent="0.25">
      <c r="A101" s="6">
        <v>24</v>
      </c>
      <c r="B101" s="8" t="str">
        <f>CONCATENATE(Table1[[#This Row],[Age]]," ", "years")</f>
        <v>24 years</v>
      </c>
      <c r="C101">
        <v>181</v>
      </c>
      <c r="D101">
        <v>61</v>
      </c>
      <c r="E101" t="s">
        <v>20</v>
      </c>
      <c r="F101" s="3">
        <v>9.0310190541849398</v>
      </c>
      <c r="G101" s="3">
        <v>20</v>
      </c>
      <c r="H101">
        <v>1</v>
      </c>
      <c r="I101" s="3">
        <v>78.155193516907104</v>
      </c>
      <c r="J101" s="3">
        <v>82.395188373014093</v>
      </c>
      <c r="K101" s="3">
        <v>215.958431029091</v>
      </c>
      <c r="L101" s="3">
        <v>84.647839908693101</v>
      </c>
      <c r="M101" s="3">
        <v>5.8597135583570097</v>
      </c>
      <c r="N101" s="3">
        <v>88.019392946700904</v>
      </c>
      <c r="O101" s="3">
        <v>7.9089243033143397</v>
      </c>
      <c r="P101" s="3">
        <v>42.613596052444201</v>
      </c>
      <c r="Q101" s="3">
        <v>83.816342151574602</v>
      </c>
      <c r="R101" s="3" t="str">
        <f>IF(Table1[[#This Row],[Nutrition_Quality_Score]]&lt;60, "Poor Nutrition",IF(AND(Table1[[#This Row],[Nutrition_Quality_Score]]&gt;=60,Table1[[#This Row],[Nutrition_Quality_Score]]&lt;=80),"Average Nutrition", "Good Nutrition"))</f>
        <v>Good Nutrition</v>
      </c>
      <c r="S101">
        <v>1</v>
      </c>
      <c r="T101" t="str">
        <f>IF(Table1[[#This Row],[Warmup_Routine_Adherence]]=1, "Adherent","Non-Adherent")</f>
        <v>Adherent</v>
      </c>
      <c r="U101">
        <v>0</v>
      </c>
      <c r="V101" t="str">
        <f>IF(Table1[[#This Row],[Injury_Next_Season]]=1, "Injury","No Injury")</f>
        <v>No Injury</v>
      </c>
      <c r="W101" s="3">
        <v>18.61970025335</v>
      </c>
    </row>
    <row r="102" spans="1:23" x14ac:dyDescent="0.25">
      <c r="A102" s="6">
        <v>20</v>
      </c>
      <c r="B102" s="8" t="str">
        <f>CONCATENATE(Table1[[#This Row],[Age]]," ", "years")</f>
        <v>20 years</v>
      </c>
      <c r="C102">
        <v>186</v>
      </c>
      <c r="D102">
        <v>69</v>
      </c>
      <c r="E102" t="s">
        <v>21</v>
      </c>
      <c r="F102" s="3">
        <v>7.2069866905884297</v>
      </c>
      <c r="G102" s="3">
        <v>16</v>
      </c>
      <c r="H102">
        <v>1</v>
      </c>
      <c r="I102" s="3">
        <v>66.040867603881907</v>
      </c>
      <c r="J102" s="3">
        <v>68.410831819488294</v>
      </c>
      <c r="K102" s="3">
        <v>237.923280834612</v>
      </c>
      <c r="L102" s="3">
        <v>68.250590724494401</v>
      </c>
      <c r="M102" s="3">
        <v>5.4359662197120002</v>
      </c>
      <c r="N102" s="3">
        <v>88.404530991780604</v>
      </c>
      <c r="O102" s="3">
        <v>7.5015441215422403</v>
      </c>
      <c r="P102" s="3">
        <v>58.172390805814999</v>
      </c>
      <c r="Q102" s="3">
        <v>68.439144898872101</v>
      </c>
      <c r="R102" s="3" t="str">
        <f>IF(Table1[[#This Row],[Nutrition_Quality_Score]]&lt;60, "Poor Nutrition",IF(AND(Table1[[#This Row],[Nutrition_Quality_Score]]&gt;=60,Table1[[#This Row],[Nutrition_Quality_Score]]&lt;=80),"Average Nutrition", "Good Nutrition"))</f>
        <v>Average Nutrition</v>
      </c>
      <c r="S102">
        <v>0</v>
      </c>
      <c r="T102" t="str">
        <f>IF(Table1[[#This Row],[Warmup_Routine_Adherence]]=1, "Adherent","Non-Adherent")</f>
        <v>Non-Adherent</v>
      </c>
      <c r="U102">
        <v>1</v>
      </c>
      <c r="V102" t="str">
        <f>IF(Table1[[#This Row],[Injury_Next_Season]]=1, "Injury","No Injury")</f>
        <v>Injury</v>
      </c>
      <c r="W102" s="3">
        <v>19.9445022545959</v>
      </c>
    </row>
    <row r="103" spans="1:23" x14ac:dyDescent="0.25">
      <c r="A103" s="6">
        <v>20</v>
      </c>
      <c r="B103" s="8" t="str">
        <f>CONCATENATE(Table1[[#This Row],[Age]]," ", "years")</f>
        <v>20 years</v>
      </c>
      <c r="C103">
        <v>168</v>
      </c>
      <c r="D103">
        <v>78</v>
      </c>
      <c r="E103" t="s">
        <v>21</v>
      </c>
      <c r="F103" s="3">
        <v>5.3800438214953301</v>
      </c>
      <c r="G103" s="3">
        <v>18</v>
      </c>
      <c r="H103">
        <v>1</v>
      </c>
      <c r="I103" s="3">
        <v>89.774969091293798</v>
      </c>
      <c r="J103" s="3">
        <v>81.003629129773202</v>
      </c>
      <c r="K103" s="3">
        <v>258.52711483416698</v>
      </c>
      <c r="L103" s="3">
        <v>90.127099459857604</v>
      </c>
      <c r="M103" s="3">
        <v>6.2221797474154803</v>
      </c>
      <c r="N103" s="3">
        <v>81.728206488897499</v>
      </c>
      <c r="O103" s="3">
        <v>8.7843957971857503</v>
      </c>
      <c r="P103" s="3">
        <v>59.258415177578897</v>
      </c>
      <c r="Q103" s="3">
        <v>68.745370360889396</v>
      </c>
      <c r="R103" s="3" t="str">
        <f>IF(Table1[[#This Row],[Nutrition_Quality_Score]]&lt;60, "Poor Nutrition",IF(AND(Table1[[#This Row],[Nutrition_Quality_Score]]&gt;=60,Table1[[#This Row],[Nutrition_Quality_Score]]&lt;=80),"Average Nutrition", "Good Nutrition"))</f>
        <v>Average Nutrition</v>
      </c>
      <c r="S103">
        <v>1</v>
      </c>
      <c r="T103" t="str">
        <f>IF(Table1[[#This Row],[Warmup_Routine_Adherence]]=1, "Adherent","Non-Adherent")</f>
        <v>Adherent</v>
      </c>
      <c r="U103">
        <v>0</v>
      </c>
      <c r="V103" t="str">
        <f>IF(Table1[[#This Row],[Injury_Next_Season]]=1, "Injury","No Injury")</f>
        <v>No Injury</v>
      </c>
      <c r="W103" s="3">
        <v>27.636054421768701</v>
      </c>
    </row>
    <row r="104" spans="1:23" x14ac:dyDescent="0.25">
      <c r="A104" s="6">
        <v>19</v>
      </c>
      <c r="B104" s="8" t="str">
        <f>CONCATENATE(Table1[[#This Row],[Age]]," ", "years")</f>
        <v>19 years</v>
      </c>
      <c r="C104">
        <v>180</v>
      </c>
      <c r="D104">
        <v>71</v>
      </c>
      <c r="E104" t="s">
        <v>21</v>
      </c>
      <c r="F104" s="3">
        <v>8.3235232874814304</v>
      </c>
      <c r="G104" s="3">
        <v>14</v>
      </c>
      <c r="H104">
        <v>2</v>
      </c>
      <c r="I104" s="3">
        <v>72.278097730311501</v>
      </c>
      <c r="J104" s="3">
        <v>79.322881135508197</v>
      </c>
      <c r="K104" s="3">
        <v>285.99248398849397</v>
      </c>
      <c r="L104" s="3">
        <v>83.512525882987106</v>
      </c>
      <c r="M104" s="3">
        <v>5.9823143032508996</v>
      </c>
      <c r="N104" s="3">
        <v>75.255396137991397</v>
      </c>
      <c r="O104" s="3">
        <v>7.8914465941309997</v>
      </c>
      <c r="P104" s="3">
        <v>61.958041762864603</v>
      </c>
      <c r="Q104" s="3">
        <v>88.394548365063699</v>
      </c>
      <c r="R104" s="3" t="str">
        <f>IF(Table1[[#This Row],[Nutrition_Quality_Score]]&lt;60, "Poor Nutrition",IF(AND(Table1[[#This Row],[Nutrition_Quality_Score]]&gt;=60,Table1[[#This Row],[Nutrition_Quality_Score]]&lt;=80),"Average Nutrition", "Good Nutrition"))</f>
        <v>Good Nutrition</v>
      </c>
      <c r="S104">
        <v>1</v>
      </c>
      <c r="T104" t="str">
        <f>IF(Table1[[#This Row],[Warmup_Routine_Adherence]]=1, "Adherent","Non-Adherent")</f>
        <v>Adherent</v>
      </c>
      <c r="U104">
        <v>1</v>
      </c>
      <c r="V104" t="str">
        <f>IF(Table1[[#This Row],[Injury_Next_Season]]=1, "Injury","No Injury")</f>
        <v>Injury</v>
      </c>
      <c r="W104" s="3">
        <v>21.913580246913501</v>
      </c>
    </row>
    <row r="105" spans="1:23" x14ac:dyDescent="0.25">
      <c r="A105" s="6">
        <v>19</v>
      </c>
      <c r="B105" s="8" t="str">
        <f>CONCATENATE(Table1[[#This Row],[Age]]," ", "years")</f>
        <v>19 years</v>
      </c>
      <c r="C105">
        <v>177</v>
      </c>
      <c r="D105">
        <v>74</v>
      </c>
      <c r="E105" t="s">
        <v>21</v>
      </c>
      <c r="F105" s="3">
        <v>11.456730830187601</v>
      </c>
      <c r="G105" s="3">
        <v>29</v>
      </c>
      <c r="H105">
        <v>3</v>
      </c>
      <c r="I105" s="3">
        <v>81.206489030435407</v>
      </c>
      <c r="J105" s="3">
        <v>86.637461905030904</v>
      </c>
      <c r="K105" s="3">
        <v>220.04942281390001</v>
      </c>
      <c r="L105" s="3">
        <v>76.949361982773496</v>
      </c>
      <c r="M105" s="3">
        <v>5.9013746302240104</v>
      </c>
      <c r="N105" s="3">
        <v>78.206587941637494</v>
      </c>
      <c r="O105" s="3">
        <v>6.92559580600006</v>
      </c>
      <c r="P105" s="3">
        <v>59.8062849229254</v>
      </c>
      <c r="Q105" s="3">
        <v>72.254219287505407</v>
      </c>
      <c r="R105" s="3" t="str">
        <f>IF(Table1[[#This Row],[Nutrition_Quality_Score]]&lt;60, "Poor Nutrition",IF(AND(Table1[[#This Row],[Nutrition_Quality_Score]]&gt;=60,Table1[[#This Row],[Nutrition_Quality_Score]]&lt;=80),"Average Nutrition", "Good Nutrition"))</f>
        <v>Average Nutrition</v>
      </c>
      <c r="S105">
        <v>1</v>
      </c>
      <c r="T105" t="str">
        <f>IF(Table1[[#This Row],[Warmup_Routine_Adherence]]=1, "Adherent","Non-Adherent")</f>
        <v>Adherent</v>
      </c>
      <c r="U105">
        <v>1</v>
      </c>
      <c r="V105" t="str">
        <f>IF(Table1[[#This Row],[Injury_Next_Season]]=1, "Injury","No Injury")</f>
        <v>Injury</v>
      </c>
      <c r="W105" s="3">
        <v>23.620287912157998</v>
      </c>
    </row>
    <row r="106" spans="1:23" x14ac:dyDescent="0.25">
      <c r="A106" s="6">
        <v>24</v>
      </c>
      <c r="B106" s="8" t="str">
        <f>CONCATENATE(Table1[[#This Row],[Age]]," ", "years")</f>
        <v>24 years</v>
      </c>
      <c r="C106">
        <v>185</v>
      </c>
      <c r="D106">
        <v>77</v>
      </c>
      <c r="E106" t="s">
        <v>20</v>
      </c>
      <c r="F106" s="3">
        <v>13.8603755419698</v>
      </c>
      <c r="G106" s="3">
        <v>29</v>
      </c>
      <c r="H106">
        <v>1</v>
      </c>
      <c r="I106" s="3">
        <v>65.964361616489299</v>
      </c>
      <c r="J106" s="3">
        <v>72.609741949000295</v>
      </c>
      <c r="K106" s="3">
        <v>278.73846256265102</v>
      </c>
      <c r="L106" s="3">
        <v>81.519102925973897</v>
      </c>
      <c r="M106" s="3">
        <v>6.3012638211927099</v>
      </c>
      <c r="N106" s="3">
        <v>68.117787427824695</v>
      </c>
      <c r="O106" s="3">
        <v>5.63880408650496</v>
      </c>
      <c r="P106" s="3">
        <v>53.759629482427201</v>
      </c>
      <c r="Q106" s="3">
        <v>70.537394972196907</v>
      </c>
      <c r="R106" s="3" t="str">
        <f>IF(Table1[[#This Row],[Nutrition_Quality_Score]]&lt;60, "Poor Nutrition",IF(AND(Table1[[#This Row],[Nutrition_Quality_Score]]&gt;=60,Table1[[#This Row],[Nutrition_Quality_Score]]&lt;=80),"Average Nutrition", "Good Nutrition"))</f>
        <v>Average Nutrition</v>
      </c>
      <c r="S106">
        <v>0</v>
      </c>
      <c r="T106" t="str">
        <f>IF(Table1[[#This Row],[Warmup_Routine_Adherence]]=1, "Adherent","Non-Adherent")</f>
        <v>Non-Adherent</v>
      </c>
      <c r="U106">
        <v>1</v>
      </c>
      <c r="V106" t="str">
        <f>IF(Table1[[#This Row],[Injury_Next_Season]]=1, "Injury","No Injury")</f>
        <v>Injury</v>
      </c>
      <c r="W106" s="3">
        <v>22.498173849525099</v>
      </c>
    </row>
    <row r="107" spans="1:23" x14ac:dyDescent="0.25">
      <c r="A107" s="6">
        <v>19</v>
      </c>
      <c r="B107" s="8" t="str">
        <f>CONCATENATE(Table1[[#This Row],[Age]]," ", "years")</f>
        <v>19 years</v>
      </c>
      <c r="C107">
        <v>173</v>
      </c>
      <c r="D107">
        <v>89</v>
      </c>
      <c r="E107" t="s">
        <v>19</v>
      </c>
      <c r="F107" s="3">
        <v>13.507599230821899</v>
      </c>
      <c r="G107" s="3">
        <v>13</v>
      </c>
      <c r="H107">
        <v>5</v>
      </c>
      <c r="I107" s="3">
        <v>74.673507752210696</v>
      </c>
      <c r="J107" s="3">
        <v>70.507280554004495</v>
      </c>
      <c r="K107" s="3">
        <v>240.29959449094</v>
      </c>
      <c r="L107" s="3">
        <v>82.734634916176205</v>
      </c>
      <c r="M107" s="3">
        <v>5.6884075709844897</v>
      </c>
      <c r="N107" s="3">
        <v>67.120756071040603</v>
      </c>
      <c r="O107" s="3">
        <v>7.64623348080368</v>
      </c>
      <c r="P107" s="3">
        <v>68.274593605940694</v>
      </c>
      <c r="Q107" s="3">
        <v>71.215960816632105</v>
      </c>
      <c r="R107" s="3" t="str">
        <f>IF(Table1[[#This Row],[Nutrition_Quality_Score]]&lt;60, "Poor Nutrition",IF(AND(Table1[[#This Row],[Nutrition_Quality_Score]]&gt;=60,Table1[[#This Row],[Nutrition_Quality_Score]]&lt;=80),"Average Nutrition", "Good Nutrition"))</f>
        <v>Average Nutrition</v>
      </c>
      <c r="S107">
        <v>1</v>
      </c>
      <c r="T107" t="str">
        <f>IF(Table1[[#This Row],[Warmup_Routine_Adherence]]=1, "Adherent","Non-Adherent")</f>
        <v>Adherent</v>
      </c>
      <c r="U107">
        <v>1</v>
      </c>
      <c r="V107" t="str">
        <f>IF(Table1[[#This Row],[Injury_Next_Season]]=1, "Injury","No Injury")</f>
        <v>Injury</v>
      </c>
      <c r="W107" s="3">
        <v>29.7370443382672</v>
      </c>
    </row>
    <row r="108" spans="1:23" x14ac:dyDescent="0.25">
      <c r="A108" s="6">
        <v>22</v>
      </c>
      <c r="B108" s="8" t="str">
        <f>CONCATENATE(Table1[[#This Row],[Age]]," ", "years")</f>
        <v>22 years</v>
      </c>
      <c r="C108">
        <v>190</v>
      </c>
      <c r="D108">
        <v>71</v>
      </c>
      <c r="E108" t="s">
        <v>22</v>
      </c>
      <c r="F108" s="3">
        <v>8.9415744952803102</v>
      </c>
      <c r="G108" s="3">
        <v>7</v>
      </c>
      <c r="H108">
        <v>0</v>
      </c>
      <c r="I108" s="3">
        <v>70.346727485902207</v>
      </c>
      <c r="J108" s="3">
        <v>72.9826718853068</v>
      </c>
      <c r="K108" s="3">
        <v>244.507564323758</v>
      </c>
      <c r="L108" s="3">
        <v>82.805654470816705</v>
      </c>
      <c r="M108" s="3">
        <v>6.3932159712468399</v>
      </c>
      <c r="N108" s="3">
        <v>72.973762698008699</v>
      </c>
      <c r="O108" s="3">
        <v>7.14603769866918</v>
      </c>
      <c r="P108" s="3">
        <v>45.266562195624402</v>
      </c>
      <c r="Q108" s="3">
        <v>67.157233077366499</v>
      </c>
      <c r="R108" s="3" t="str">
        <f>IF(Table1[[#This Row],[Nutrition_Quality_Score]]&lt;60, "Poor Nutrition",IF(AND(Table1[[#This Row],[Nutrition_Quality_Score]]&gt;=60,Table1[[#This Row],[Nutrition_Quality_Score]]&lt;=80),"Average Nutrition", "Good Nutrition"))</f>
        <v>Average Nutrition</v>
      </c>
      <c r="S108">
        <v>0</v>
      </c>
      <c r="T108" t="str">
        <f>IF(Table1[[#This Row],[Warmup_Routine_Adherence]]=1, "Adherent","Non-Adherent")</f>
        <v>Non-Adherent</v>
      </c>
      <c r="U108">
        <v>1</v>
      </c>
      <c r="V108" t="str">
        <f>IF(Table1[[#This Row],[Injury_Next_Season]]=1, "Injury","No Injury")</f>
        <v>Injury</v>
      </c>
      <c r="W108" s="3">
        <v>19.6675900277008</v>
      </c>
    </row>
    <row r="109" spans="1:23" x14ac:dyDescent="0.25">
      <c r="A109" s="6">
        <v>24</v>
      </c>
      <c r="B109" s="8" t="str">
        <f>CONCATENATE(Table1[[#This Row],[Age]]," ", "years")</f>
        <v>24 years</v>
      </c>
      <c r="C109">
        <v>170</v>
      </c>
      <c r="D109">
        <v>72</v>
      </c>
      <c r="E109" t="s">
        <v>19</v>
      </c>
      <c r="F109" s="3">
        <v>8.1309339255779403</v>
      </c>
      <c r="G109" s="3">
        <v>24</v>
      </c>
      <c r="H109">
        <v>2</v>
      </c>
      <c r="I109" s="3">
        <v>70.741007940372299</v>
      </c>
      <c r="J109" s="3">
        <v>80.580527995933195</v>
      </c>
      <c r="K109" s="3">
        <v>215.678145922071</v>
      </c>
      <c r="L109" s="3">
        <v>91.736999082020404</v>
      </c>
      <c r="M109" s="3">
        <v>5.7556738192318297</v>
      </c>
      <c r="N109" s="3">
        <v>93.741016011165996</v>
      </c>
      <c r="O109" s="3">
        <v>8.1137339185622892</v>
      </c>
      <c r="P109" s="3">
        <v>53.832804636097002</v>
      </c>
      <c r="Q109" s="3">
        <v>86.736843192674897</v>
      </c>
      <c r="R109" s="3" t="str">
        <f>IF(Table1[[#This Row],[Nutrition_Quality_Score]]&lt;60, "Poor Nutrition",IF(AND(Table1[[#This Row],[Nutrition_Quality_Score]]&gt;=60,Table1[[#This Row],[Nutrition_Quality_Score]]&lt;=80),"Average Nutrition", "Good Nutrition"))</f>
        <v>Good Nutrition</v>
      </c>
      <c r="S109">
        <v>0</v>
      </c>
      <c r="T109" t="str">
        <f>IF(Table1[[#This Row],[Warmup_Routine_Adherence]]=1, "Adherent","Non-Adherent")</f>
        <v>Non-Adherent</v>
      </c>
      <c r="U109">
        <v>0</v>
      </c>
      <c r="V109" t="str">
        <f>IF(Table1[[#This Row],[Injury_Next_Season]]=1, "Injury","No Injury")</f>
        <v>No Injury</v>
      </c>
      <c r="W109" s="3">
        <v>24.913494809688501</v>
      </c>
    </row>
    <row r="110" spans="1:23" x14ac:dyDescent="0.25">
      <c r="A110" s="6">
        <v>22</v>
      </c>
      <c r="B110" s="8" t="str">
        <f>CONCATENATE(Table1[[#This Row],[Age]]," ", "years")</f>
        <v>22 years</v>
      </c>
      <c r="C110">
        <v>189</v>
      </c>
      <c r="D110">
        <v>73</v>
      </c>
      <c r="E110" t="s">
        <v>22</v>
      </c>
      <c r="F110" s="3">
        <v>12.031849447671901</v>
      </c>
      <c r="G110" s="3">
        <v>29</v>
      </c>
      <c r="H110">
        <v>2</v>
      </c>
      <c r="I110" s="3">
        <v>79.236102161008901</v>
      </c>
      <c r="J110" s="3">
        <v>72.181764076561393</v>
      </c>
      <c r="K110" s="3">
        <v>268.30416051557802</v>
      </c>
      <c r="L110" s="3">
        <v>75.685304564775805</v>
      </c>
      <c r="M110" s="3">
        <v>5.2253730415809203</v>
      </c>
      <c r="N110" s="3">
        <v>73.9555775767694</v>
      </c>
      <c r="O110" s="3">
        <v>6.1179128974983499</v>
      </c>
      <c r="P110" s="3">
        <v>65.125529866982703</v>
      </c>
      <c r="Q110" s="3">
        <v>55.974668837618502</v>
      </c>
      <c r="R110" s="3" t="str">
        <f>IF(Table1[[#This Row],[Nutrition_Quality_Score]]&lt;60, "Poor Nutrition",IF(AND(Table1[[#This Row],[Nutrition_Quality_Score]]&gt;=60,Table1[[#This Row],[Nutrition_Quality_Score]]&lt;=80),"Average Nutrition", "Good Nutrition"))</f>
        <v>Poor Nutrition</v>
      </c>
      <c r="S110">
        <v>0</v>
      </c>
      <c r="T110" t="str">
        <f>IF(Table1[[#This Row],[Warmup_Routine_Adherence]]=1, "Adherent","Non-Adherent")</f>
        <v>Non-Adherent</v>
      </c>
      <c r="U110">
        <v>1</v>
      </c>
      <c r="V110" t="str">
        <f>IF(Table1[[#This Row],[Injury_Next_Season]]=1, "Injury","No Injury")</f>
        <v>Injury</v>
      </c>
      <c r="W110" s="3">
        <v>20.4361580022955</v>
      </c>
    </row>
    <row r="111" spans="1:23" x14ac:dyDescent="0.25">
      <c r="A111" s="6">
        <v>23</v>
      </c>
      <c r="B111" s="8" t="str">
        <f>CONCATENATE(Table1[[#This Row],[Age]]," ", "years")</f>
        <v>23 years</v>
      </c>
      <c r="C111">
        <v>180</v>
      </c>
      <c r="D111">
        <v>71</v>
      </c>
      <c r="E111" t="s">
        <v>19</v>
      </c>
      <c r="F111" s="3">
        <v>11.217161050377801</v>
      </c>
      <c r="G111" s="3">
        <v>30</v>
      </c>
      <c r="H111">
        <v>4</v>
      </c>
      <c r="I111" s="3">
        <v>68.488307385865397</v>
      </c>
      <c r="J111" s="3">
        <v>62.670575277209799</v>
      </c>
      <c r="K111" s="3">
        <v>248.65700200081201</v>
      </c>
      <c r="L111" s="3">
        <v>73.555276726360702</v>
      </c>
      <c r="M111" s="3">
        <v>6.1262057677367201</v>
      </c>
      <c r="N111" s="3">
        <v>78.621342175295197</v>
      </c>
      <c r="O111" s="3">
        <v>7.0116980330118803</v>
      </c>
      <c r="P111" s="3">
        <v>48.477490499498202</v>
      </c>
      <c r="Q111" s="3">
        <v>76.351116677353005</v>
      </c>
      <c r="R111" s="3" t="str">
        <f>IF(Table1[[#This Row],[Nutrition_Quality_Score]]&lt;60, "Poor Nutrition",IF(AND(Table1[[#This Row],[Nutrition_Quality_Score]]&gt;=60,Table1[[#This Row],[Nutrition_Quality_Score]]&lt;=80),"Average Nutrition", "Good Nutrition"))</f>
        <v>Average Nutrition</v>
      </c>
      <c r="S111">
        <v>0</v>
      </c>
      <c r="T111" t="str">
        <f>IF(Table1[[#This Row],[Warmup_Routine_Adherence]]=1, "Adherent","Non-Adherent")</f>
        <v>Non-Adherent</v>
      </c>
      <c r="U111">
        <v>1</v>
      </c>
      <c r="V111" t="str">
        <f>IF(Table1[[#This Row],[Injury_Next_Season]]=1, "Injury","No Injury")</f>
        <v>Injury</v>
      </c>
      <c r="W111" s="3">
        <v>21.913580246913501</v>
      </c>
    </row>
    <row r="112" spans="1:23" x14ac:dyDescent="0.25">
      <c r="A112" s="6">
        <v>24</v>
      </c>
      <c r="B112" s="8" t="str">
        <f>CONCATENATE(Table1[[#This Row],[Age]]," ", "years")</f>
        <v>24 years</v>
      </c>
      <c r="C112">
        <v>171</v>
      </c>
      <c r="D112">
        <v>83</v>
      </c>
      <c r="E112" t="s">
        <v>20</v>
      </c>
      <c r="F112" s="3">
        <v>9.5558091462440693</v>
      </c>
      <c r="G112" s="3">
        <v>34</v>
      </c>
      <c r="H112">
        <v>1</v>
      </c>
      <c r="I112" s="3">
        <v>78.6813419711834</v>
      </c>
      <c r="J112" s="3">
        <v>80.319996813880607</v>
      </c>
      <c r="K112" s="3">
        <v>256.07338499273197</v>
      </c>
      <c r="L112" s="3">
        <v>91.028069599134199</v>
      </c>
      <c r="M112" s="3">
        <v>5.8742604869823598</v>
      </c>
      <c r="N112" s="3">
        <v>72.630066688062698</v>
      </c>
      <c r="O112" s="3">
        <v>9.86055338550198</v>
      </c>
      <c r="P112" s="3">
        <v>62.178712889635698</v>
      </c>
      <c r="Q112" s="3">
        <v>83.015072827972801</v>
      </c>
      <c r="R112" s="3" t="str">
        <f>IF(Table1[[#This Row],[Nutrition_Quality_Score]]&lt;60, "Poor Nutrition",IF(AND(Table1[[#This Row],[Nutrition_Quality_Score]]&gt;=60,Table1[[#This Row],[Nutrition_Quality_Score]]&lt;=80),"Average Nutrition", "Good Nutrition"))</f>
        <v>Good Nutrition</v>
      </c>
      <c r="S112">
        <v>1</v>
      </c>
      <c r="T112" t="str">
        <f>IF(Table1[[#This Row],[Warmup_Routine_Adherence]]=1, "Adherent","Non-Adherent")</f>
        <v>Adherent</v>
      </c>
      <c r="U112">
        <v>0</v>
      </c>
      <c r="V112" t="str">
        <f>IF(Table1[[#This Row],[Injury_Next_Season]]=1, "Injury","No Injury")</f>
        <v>No Injury</v>
      </c>
      <c r="W112" s="3">
        <v>28.384802161348698</v>
      </c>
    </row>
    <row r="113" spans="1:23" x14ac:dyDescent="0.25">
      <c r="A113" s="6">
        <v>22</v>
      </c>
      <c r="B113" s="8" t="str">
        <f>CONCATENATE(Table1[[#This Row],[Age]]," ", "years")</f>
        <v>22 years</v>
      </c>
      <c r="C113">
        <v>185</v>
      </c>
      <c r="D113">
        <v>90</v>
      </c>
      <c r="E113" t="s">
        <v>22</v>
      </c>
      <c r="F113" s="3">
        <v>9.3365849467929305</v>
      </c>
      <c r="G113" s="3">
        <v>25</v>
      </c>
      <c r="H113">
        <v>0</v>
      </c>
      <c r="I113" s="3">
        <v>72.984532102619497</v>
      </c>
      <c r="J113" s="3">
        <v>86.886976955720002</v>
      </c>
      <c r="K113" s="3">
        <v>237.95637231540201</v>
      </c>
      <c r="L113" s="3">
        <v>98.077467143474806</v>
      </c>
      <c r="M113" s="3">
        <v>5.5578303272018301</v>
      </c>
      <c r="N113" s="3">
        <v>70.164387011326497</v>
      </c>
      <c r="O113" s="3">
        <v>8.4344003584615095</v>
      </c>
      <c r="P113" s="3">
        <v>62.983875323511498</v>
      </c>
      <c r="Q113" s="3">
        <v>71.512703946182597</v>
      </c>
      <c r="R113" s="3" t="str">
        <f>IF(Table1[[#This Row],[Nutrition_Quality_Score]]&lt;60, "Poor Nutrition",IF(AND(Table1[[#This Row],[Nutrition_Quality_Score]]&gt;=60,Table1[[#This Row],[Nutrition_Quality_Score]]&lt;=80),"Average Nutrition", "Good Nutrition"))</f>
        <v>Average Nutrition</v>
      </c>
      <c r="S113">
        <v>0</v>
      </c>
      <c r="T113" t="str">
        <f>IF(Table1[[#This Row],[Warmup_Routine_Adherence]]=1, "Adherent","Non-Adherent")</f>
        <v>Non-Adherent</v>
      </c>
      <c r="U113">
        <v>0</v>
      </c>
      <c r="V113" t="str">
        <f>IF(Table1[[#This Row],[Injury_Next_Season]]=1, "Injury","No Injury")</f>
        <v>No Injury</v>
      </c>
      <c r="W113" s="3">
        <v>26.296566837107299</v>
      </c>
    </row>
    <row r="114" spans="1:23" x14ac:dyDescent="0.25">
      <c r="A114" s="6">
        <v>19</v>
      </c>
      <c r="B114" s="8" t="str">
        <f>CONCATENATE(Table1[[#This Row],[Age]]," ", "years")</f>
        <v>19 years</v>
      </c>
      <c r="C114">
        <v>179</v>
      </c>
      <c r="D114">
        <v>82</v>
      </c>
      <c r="E114" t="s">
        <v>19</v>
      </c>
      <c r="F114" s="3">
        <v>9.2178952847031699</v>
      </c>
      <c r="G114" s="3">
        <v>5</v>
      </c>
      <c r="H114">
        <v>2</v>
      </c>
      <c r="I114" s="3">
        <v>71.785606146629505</v>
      </c>
      <c r="J114" s="3">
        <v>85.013537639618903</v>
      </c>
      <c r="K114" s="3">
        <v>282.37401903660401</v>
      </c>
      <c r="L114" s="3">
        <v>78.504443278785999</v>
      </c>
      <c r="M114" s="3">
        <v>5.4160685309324501</v>
      </c>
      <c r="N114" s="3">
        <v>84.189368785165101</v>
      </c>
      <c r="O114" s="3">
        <v>7.5192475026527701</v>
      </c>
      <c r="P114" s="3">
        <v>63.684739648703903</v>
      </c>
      <c r="Q114" s="3">
        <v>72.396711457107699</v>
      </c>
      <c r="R114" s="3" t="str">
        <f>IF(Table1[[#This Row],[Nutrition_Quality_Score]]&lt;60, "Poor Nutrition",IF(AND(Table1[[#This Row],[Nutrition_Quality_Score]]&gt;=60,Table1[[#This Row],[Nutrition_Quality_Score]]&lt;=80),"Average Nutrition", "Good Nutrition"))</f>
        <v>Average Nutrition</v>
      </c>
      <c r="S114">
        <v>0</v>
      </c>
      <c r="T114" t="str">
        <f>IF(Table1[[#This Row],[Warmup_Routine_Adherence]]=1, "Adherent","Non-Adherent")</f>
        <v>Non-Adherent</v>
      </c>
      <c r="U114">
        <v>1</v>
      </c>
      <c r="V114" t="str">
        <f>IF(Table1[[#This Row],[Injury_Next_Season]]=1, "Injury","No Injury")</f>
        <v>Injury</v>
      </c>
      <c r="W114" s="3">
        <v>25.592209980961801</v>
      </c>
    </row>
    <row r="115" spans="1:23" x14ac:dyDescent="0.25">
      <c r="A115" s="6">
        <v>21</v>
      </c>
      <c r="B115" s="8" t="str">
        <f>CONCATENATE(Table1[[#This Row],[Age]]," ", "years")</f>
        <v>21 years</v>
      </c>
      <c r="C115">
        <v>185</v>
      </c>
      <c r="D115">
        <v>69</v>
      </c>
      <c r="E115" t="s">
        <v>20</v>
      </c>
      <c r="F115" s="3">
        <v>9.5110455518208994</v>
      </c>
      <c r="G115" s="3">
        <v>27</v>
      </c>
      <c r="H115">
        <v>2</v>
      </c>
      <c r="I115" s="3">
        <v>72.462567847189206</v>
      </c>
      <c r="J115" s="3">
        <v>84.295956603974602</v>
      </c>
      <c r="K115" s="3">
        <v>229.93058967767701</v>
      </c>
      <c r="L115" s="3">
        <v>82.386389172873606</v>
      </c>
      <c r="M115" s="3">
        <v>6.0096503803292496</v>
      </c>
      <c r="N115" s="3">
        <v>81.7988567191545</v>
      </c>
      <c r="O115" s="3">
        <v>6.4981359473709102</v>
      </c>
      <c r="P115" s="3">
        <v>54.663571134666299</v>
      </c>
      <c r="Q115" s="3">
        <v>66.159819305281005</v>
      </c>
      <c r="R115" s="3" t="str">
        <f>IF(Table1[[#This Row],[Nutrition_Quality_Score]]&lt;60, "Poor Nutrition",IF(AND(Table1[[#This Row],[Nutrition_Quality_Score]]&gt;=60,Table1[[#This Row],[Nutrition_Quality_Score]]&lt;=80),"Average Nutrition", "Good Nutrition"))</f>
        <v>Average Nutrition</v>
      </c>
      <c r="S115">
        <v>1</v>
      </c>
      <c r="T115" t="str">
        <f>IF(Table1[[#This Row],[Warmup_Routine_Adherence]]=1, "Adherent","Non-Adherent")</f>
        <v>Adherent</v>
      </c>
      <c r="U115">
        <v>1</v>
      </c>
      <c r="V115" t="str">
        <f>IF(Table1[[#This Row],[Injury_Next_Season]]=1, "Injury","No Injury")</f>
        <v>Injury</v>
      </c>
      <c r="W115" s="3">
        <v>20.160701241782299</v>
      </c>
    </row>
    <row r="116" spans="1:23" x14ac:dyDescent="0.25">
      <c r="A116" s="6">
        <v>22</v>
      </c>
      <c r="B116" s="8" t="str">
        <f>CONCATENATE(Table1[[#This Row],[Age]]," ", "years")</f>
        <v>22 years</v>
      </c>
      <c r="C116">
        <v>193</v>
      </c>
      <c r="D116">
        <v>80</v>
      </c>
      <c r="E116" t="s">
        <v>22</v>
      </c>
      <c r="F116" s="3">
        <v>11.6017051689736</v>
      </c>
      <c r="G116" s="3">
        <v>24</v>
      </c>
      <c r="H116">
        <v>0</v>
      </c>
      <c r="I116" s="3">
        <v>71.304268348758598</v>
      </c>
      <c r="J116" s="3">
        <v>72.448388849852805</v>
      </c>
      <c r="K116" s="3">
        <v>228.21874088362199</v>
      </c>
      <c r="L116" s="3">
        <v>77.980544833217394</v>
      </c>
      <c r="M116" s="3">
        <v>6.6164244323849903</v>
      </c>
      <c r="N116" s="3">
        <v>70.561875586887993</v>
      </c>
      <c r="O116" s="3">
        <v>7.5748209640091</v>
      </c>
      <c r="P116" s="3">
        <v>51.720041332960598</v>
      </c>
      <c r="Q116" s="3">
        <v>79.126618814113101</v>
      </c>
      <c r="R116" s="3" t="str">
        <f>IF(Table1[[#This Row],[Nutrition_Quality_Score]]&lt;60, "Poor Nutrition",IF(AND(Table1[[#This Row],[Nutrition_Quality_Score]]&gt;=60,Table1[[#This Row],[Nutrition_Quality_Score]]&lt;=80),"Average Nutrition", "Good Nutrition"))</f>
        <v>Average Nutrition</v>
      </c>
      <c r="S116">
        <v>1</v>
      </c>
      <c r="T116" t="str">
        <f>IF(Table1[[#This Row],[Warmup_Routine_Adherence]]=1, "Adherent","Non-Adherent")</f>
        <v>Adherent</v>
      </c>
      <c r="U116">
        <v>0</v>
      </c>
      <c r="V116" t="str">
        <f>IF(Table1[[#This Row],[Injury_Next_Season]]=1, "Injury","No Injury")</f>
        <v>No Injury</v>
      </c>
      <c r="W116" s="3">
        <v>21.477086633198201</v>
      </c>
    </row>
    <row r="117" spans="1:23" x14ac:dyDescent="0.25">
      <c r="A117" s="6">
        <v>20</v>
      </c>
      <c r="B117" s="8" t="str">
        <f>CONCATENATE(Table1[[#This Row],[Age]]," ", "years")</f>
        <v>20 years</v>
      </c>
      <c r="C117">
        <v>166</v>
      </c>
      <c r="D117">
        <v>75</v>
      </c>
      <c r="E117" t="s">
        <v>20</v>
      </c>
      <c r="F117" s="3">
        <v>13.936965737698801</v>
      </c>
      <c r="G117" s="3">
        <v>16</v>
      </c>
      <c r="H117">
        <v>4</v>
      </c>
      <c r="I117" s="3">
        <v>68.86680341025</v>
      </c>
      <c r="J117" s="3">
        <v>66.927677209637494</v>
      </c>
      <c r="K117" s="3">
        <v>266.44183025729899</v>
      </c>
      <c r="L117" s="3">
        <v>71.6044652182064</v>
      </c>
      <c r="M117" s="3">
        <v>5.4943467995132096</v>
      </c>
      <c r="N117" s="3">
        <v>56.7506893023427</v>
      </c>
      <c r="O117" s="3">
        <v>7.7225149384723801</v>
      </c>
      <c r="P117" s="3">
        <v>49.704051798930102</v>
      </c>
      <c r="Q117" s="3">
        <v>85.702681558381798</v>
      </c>
      <c r="R117" s="3" t="str">
        <f>IF(Table1[[#This Row],[Nutrition_Quality_Score]]&lt;60, "Poor Nutrition",IF(AND(Table1[[#This Row],[Nutrition_Quality_Score]]&gt;=60,Table1[[#This Row],[Nutrition_Quality_Score]]&lt;=80),"Average Nutrition", "Good Nutrition"))</f>
        <v>Good Nutrition</v>
      </c>
      <c r="S117">
        <v>1</v>
      </c>
      <c r="T117" t="str">
        <f>IF(Table1[[#This Row],[Warmup_Routine_Adherence]]=1, "Adherent","Non-Adherent")</f>
        <v>Adherent</v>
      </c>
      <c r="U117">
        <v>1</v>
      </c>
      <c r="V117" t="str">
        <f>IF(Table1[[#This Row],[Injury_Next_Season]]=1, "Injury","No Injury")</f>
        <v>Injury</v>
      </c>
      <c r="W117" s="3">
        <v>27.217302946726601</v>
      </c>
    </row>
    <row r="118" spans="1:23" x14ac:dyDescent="0.25">
      <c r="A118" s="6">
        <v>23</v>
      </c>
      <c r="B118" s="8" t="str">
        <f>CONCATENATE(Table1[[#This Row],[Age]]," ", "years")</f>
        <v>23 years</v>
      </c>
      <c r="C118">
        <v>172</v>
      </c>
      <c r="D118">
        <v>86</v>
      </c>
      <c r="E118" t="s">
        <v>19</v>
      </c>
      <c r="F118" s="3">
        <v>9.9575660150910004</v>
      </c>
      <c r="G118" s="3">
        <v>18</v>
      </c>
      <c r="H118">
        <v>2</v>
      </c>
      <c r="I118" s="3">
        <v>71.809436269968202</v>
      </c>
      <c r="J118" s="3">
        <v>76.086230478778305</v>
      </c>
      <c r="K118" s="3">
        <v>225.29639355785099</v>
      </c>
      <c r="L118" s="3">
        <v>86.871854461811694</v>
      </c>
      <c r="M118" s="3">
        <v>6.0857439280894097</v>
      </c>
      <c r="N118" s="3">
        <v>89.028224347042396</v>
      </c>
      <c r="O118" s="3">
        <v>7.0527457332861898</v>
      </c>
      <c r="P118" s="3">
        <v>54.421674533070302</v>
      </c>
      <c r="Q118" s="3">
        <v>89.896986174841601</v>
      </c>
      <c r="R118" s="3" t="str">
        <f>IF(Table1[[#This Row],[Nutrition_Quality_Score]]&lt;60, "Poor Nutrition",IF(AND(Table1[[#This Row],[Nutrition_Quality_Score]]&gt;=60,Table1[[#This Row],[Nutrition_Quality_Score]]&lt;=80),"Average Nutrition", "Good Nutrition"))</f>
        <v>Good Nutrition</v>
      </c>
      <c r="S118">
        <v>1</v>
      </c>
      <c r="T118" t="str">
        <f>IF(Table1[[#This Row],[Warmup_Routine_Adherence]]=1, "Adherent","Non-Adherent")</f>
        <v>Adherent</v>
      </c>
      <c r="U118">
        <v>0</v>
      </c>
      <c r="V118" t="str">
        <f>IF(Table1[[#This Row],[Injury_Next_Season]]=1, "Injury","No Injury")</f>
        <v>No Injury</v>
      </c>
      <c r="W118" s="3">
        <v>29.0697674418604</v>
      </c>
    </row>
    <row r="119" spans="1:23" x14ac:dyDescent="0.25">
      <c r="A119" s="6">
        <v>18</v>
      </c>
      <c r="B119" s="8" t="str">
        <f>CONCATENATE(Table1[[#This Row],[Age]]," ", "years")</f>
        <v>18 years</v>
      </c>
      <c r="C119">
        <v>175</v>
      </c>
      <c r="D119">
        <v>71</v>
      </c>
      <c r="E119" t="s">
        <v>21</v>
      </c>
      <c r="F119" s="3">
        <v>13.264920379065799</v>
      </c>
      <c r="G119" s="3">
        <v>8</v>
      </c>
      <c r="H119">
        <v>0</v>
      </c>
      <c r="I119" s="3">
        <v>71.519776716694807</v>
      </c>
      <c r="J119" s="3">
        <v>81.422699912309994</v>
      </c>
      <c r="K119" s="3">
        <v>210.99599364663499</v>
      </c>
      <c r="L119" s="3">
        <v>83.292962798067805</v>
      </c>
      <c r="M119" s="3">
        <v>6.0600262236174096</v>
      </c>
      <c r="N119" s="3">
        <v>70.6635135673734</v>
      </c>
      <c r="O119" s="3">
        <v>7.5826700990976503</v>
      </c>
      <c r="P119" s="3">
        <v>35.306374315609801</v>
      </c>
      <c r="Q119" s="3">
        <v>74.447167499788804</v>
      </c>
      <c r="R119" s="3" t="str">
        <f>IF(Table1[[#This Row],[Nutrition_Quality_Score]]&lt;60, "Poor Nutrition",IF(AND(Table1[[#This Row],[Nutrition_Quality_Score]]&gt;=60,Table1[[#This Row],[Nutrition_Quality_Score]]&lt;=80),"Average Nutrition", "Good Nutrition"))</f>
        <v>Average Nutrition</v>
      </c>
      <c r="S119">
        <v>0</v>
      </c>
      <c r="T119" t="str">
        <f>IF(Table1[[#This Row],[Warmup_Routine_Adherence]]=1, "Adherent","Non-Adherent")</f>
        <v>Non-Adherent</v>
      </c>
      <c r="U119">
        <v>0</v>
      </c>
      <c r="V119" t="str">
        <f>IF(Table1[[#This Row],[Injury_Next_Season]]=1, "Injury","No Injury")</f>
        <v>No Injury</v>
      </c>
      <c r="W119" s="3">
        <v>23.183673469387699</v>
      </c>
    </row>
    <row r="120" spans="1:23" x14ac:dyDescent="0.25">
      <c r="A120" s="6">
        <v>23</v>
      </c>
      <c r="B120" s="8" t="str">
        <f>CONCATENATE(Table1[[#This Row],[Age]]," ", "years")</f>
        <v>23 years</v>
      </c>
      <c r="C120">
        <v>172</v>
      </c>
      <c r="D120">
        <v>58</v>
      </c>
      <c r="E120" t="s">
        <v>19</v>
      </c>
      <c r="F120" s="3">
        <v>10.8568684501763</v>
      </c>
      <c r="G120" s="3">
        <v>20</v>
      </c>
      <c r="H120">
        <v>3</v>
      </c>
      <c r="I120" s="3">
        <v>71.730819012032796</v>
      </c>
      <c r="J120" s="3">
        <v>74.315785371271204</v>
      </c>
      <c r="K120" s="3">
        <v>275.07586980039099</v>
      </c>
      <c r="L120" s="3">
        <v>90.116915858585102</v>
      </c>
      <c r="M120" s="3">
        <v>5.7205461709898398</v>
      </c>
      <c r="N120" s="3">
        <v>73.818539815028004</v>
      </c>
      <c r="O120" s="3">
        <v>7.1703414723164203</v>
      </c>
      <c r="P120" s="3">
        <v>46.588846202026701</v>
      </c>
      <c r="Q120" s="3">
        <v>63.4411922073837</v>
      </c>
      <c r="R120" s="3" t="str">
        <f>IF(Table1[[#This Row],[Nutrition_Quality_Score]]&lt;60, "Poor Nutrition",IF(AND(Table1[[#This Row],[Nutrition_Quality_Score]]&gt;=60,Table1[[#This Row],[Nutrition_Quality_Score]]&lt;=80),"Average Nutrition", "Good Nutrition"))</f>
        <v>Average Nutrition</v>
      </c>
      <c r="S120">
        <v>0</v>
      </c>
      <c r="T120" t="str">
        <f>IF(Table1[[#This Row],[Warmup_Routine_Adherence]]=1, "Adherent","Non-Adherent")</f>
        <v>Non-Adherent</v>
      </c>
      <c r="U120">
        <v>1</v>
      </c>
      <c r="V120" t="str">
        <f>IF(Table1[[#This Row],[Injury_Next_Season]]=1, "Injury","No Injury")</f>
        <v>Injury</v>
      </c>
      <c r="W120" s="3">
        <v>19.605191995673302</v>
      </c>
    </row>
    <row r="121" spans="1:23" x14ac:dyDescent="0.25">
      <c r="A121" s="6">
        <v>23</v>
      </c>
      <c r="B121" s="8" t="str">
        <f>CONCATENATE(Table1[[#This Row],[Age]]," ", "years")</f>
        <v>23 years</v>
      </c>
      <c r="C121">
        <v>173</v>
      </c>
      <c r="D121">
        <v>65</v>
      </c>
      <c r="E121" t="s">
        <v>19</v>
      </c>
      <c r="F121" s="3">
        <v>10.116363489388</v>
      </c>
      <c r="G121" s="3">
        <v>29</v>
      </c>
      <c r="H121">
        <v>2</v>
      </c>
      <c r="I121" s="3">
        <v>72.456953857825496</v>
      </c>
      <c r="J121" s="3">
        <v>80.237023052302504</v>
      </c>
      <c r="K121" s="3">
        <v>261.14962967859799</v>
      </c>
      <c r="L121" s="3">
        <v>65.632667508534794</v>
      </c>
      <c r="M121" s="3">
        <v>5.8202575125205298</v>
      </c>
      <c r="N121" s="3">
        <v>70.484608908026701</v>
      </c>
      <c r="O121" s="3">
        <v>7.1126395952033903</v>
      </c>
      <c r="P121" s="3">
        <v>49.153144590261803</v>
      </c>
      <c r="Q121" s="3">
        <v>81.241833397280999</v>
      </c>
      <c r="R121" s="3" t="str">
        <f>IF(Table1[[#This Row],[Nutrition_Quality_Score]]&lt;60, "Poor Nutrition",IF(AND(Table1[[#This Row],[Nutrition_Quality_Score]]&gt;=60,Table1[[#This Row],[Nutrition_Quality_Score]]&lt;=80),"Average Nutrition", "Good Nutrition"))</f>
        <v>Good Nutrition</v>
      </c>
      <c r="S121">
        <v>0</v>
      </c>
      <c r="T121" t="str">
        <f>IF(Table1[[#This Row],[Warmup_Routine_Adherence]]=1, "Adherent","Non-Adherent")</f>
        <v>Non-Adherent</v>
      </c>
      <c r="U121">
        <v>1</v>
      </c>
      <c r="V121" t="str">
        <f>IF(Table1[[#This Row],[Injury_Next_Season]]=1, "Injury","No Injury")</f>
        <v>Injury</v>
      </c>
      <c r="W121" s="3">
        <v>21.718066089745701</v>
      </c>
    </row>
    <row r="122" spans="1:23" x14ac:dyDescent="0.25">
      <c r="A122" s="6">
        <v>20</v>
      </c>
      <c r="B122" s="8" t="str">
        <f>CONCATENATE(Table1[[#This Row],[Age]]," ", "years")</f>
        <v>20 years</v>
      </c>
      <c r="C122">
        <v>182</v>
      </c>
      <c r="D122">
        <v>61</v>
      </c>
      <c r="E122" t="s">
        <v>20</v>
      </c>
      <c r="F122" s="3">
        <v>10.026092724572001</v>
      </c>
      <c r="G122" s="3">
        <v>18</v>
      </c>
      <c r="H122">
        <v>2</v>
      </c>
      <c r="I122" s="3">
        <v>72.874589734306696</v>
      </c>
      <c r="J122" s="3">
        <v>70.809719503095295</v>
      </c>
      <c r="K122" s="3">
        <v>244.727236460906</v>
      </c>
      <c r="L122" s="3">
        <v>81.720823553735599</v>
      </c>
      <c r="M122" s="3">
        <v>6.0261987350167496</v>
      </c>
      <c r="N122" s="3">
        <v>71.469653923832794</v>
      </c>
      <c r="O122" s="3">
        <v>6.9100086073309104</v>
      </c>
      <c r="P122" s="3">
        <v>69.866312953154093</v>
      </c>
      <c r="Q122" s="3">
        <v>65.083370822899695</v>
      </c>
      <c r="R122" s="3" t="str">
        <f>IF(Table1[[#This Row],[Nutrition_Quality_Score]]&lt;60, "Poor Nutrition",IF(AND(Table1[[#This Row],[Nutrition_Quality_Score]]&gt;=60,Table1[[#This Row],[Nutrition_Quality_Score]]&lt;=80),"Average Nutrition", "Good Nutrition"))</f>
        <v>Average Nutrition</v>
      </c>
      <c r="S122">
        <v>1</v>
      </c>
      <c r="T122" t="str">
        <f>IF(Table1[[#This Row],[Warmup_Routine_Adherence]]=1, "Adherent","Non-Adherent")</f>
        <v>Adherent</v>
      </c>
      <c r="U122">
        <v>1</v>
      </c>
      <c r="V122" t="str">
        <f>IF(Table1[[#This Row],[Injury_Next_Season]]=1, "Injury","No Injury")</f>
        <v>Injury</v>
      </c>
      <c r="W122" s="3">
        <v>18.415650283782099</v>
      </c>
    </row>
    <row r="123" spans="1:23" x14ac:dyDescent="0.25">
      <c r="A123" s="6">
        <v>22</v>
      </c>
      <c r="B123" s="8" t="str">
        <f>CONCATENATE(Table1[[#This Row],[Age]]," ", "years")</f>
        <v>22 years</v>
      </c>
      <c r="C123">
        <v>178</v>
      </c>
      <c r="D123">
        <v>54</v>
      </c>
      <c r="E123" t="s">
        <v>22</v>
      </c>
      <c r="F123" s="3">
        <v>11.1095492591901</v>
      </c>
      <c r="G123" s="3">
        <v>38</v>
      </c>
      <c r="H123">
        <v>3</v>
      </c>
      <c r="I123" s="3">
        <v>79.949851841954001</v>
      </c>
      <c r="J123" s="3">
        <v>80.806867054862096</v>
      </c>
      <c r="K123" s="3">
        <v>249.31290570589999</v>
      </c>
      <c r="L123" s="3">
        <v>72.140933197287794</v>
      </c>
      <c r="M123" s="3">
        <v>6.1850544554758997</v>
      </c>
      <c r="N123" s="3">
        <v>52.870494897757602</v>
      </c>
      <c r="O123" s="3">
        <v>6.9475641773967496</v>
      </c>
      <c r="P123" s="3">
        <v>71.367937194288302</v>
      </c>
      <c r="Q123" s="3">
        <v>75.306108222700601</v>
      </c>
      <c r="R123" s="3" t="str">
        <f>IF(Table1[[#This Row],[Nutrition_Quality_Score]]&lt;60, "Poor Nutrition",IF(AND(Table1[[#This Row],[Nutrition_Quality_Score]]&gt;=60,Table1[[#This Row],[Nutrition_Quality_Score]]&lt;=80),"Average Nutrition", "Good Nutrition"))</f>
        <v>Average Nutrition</v>
      </c>
      <c r="S123">
        <v>1</v>
      </c>
      <c r="T123" t="str">
        <f>IF(Table1[[#This Row],[Warmup_Routine_Adherence]]=1, "Adherent","Non-Adherent")</f>
        <v>Adherent</v>
      </c>
      <c r="U123">
        <v>1</v>
      </c>
      <c r="V123" t="str">
        <f>IF(Table1[[#This Row],[Injury_Next_Season]]=1, "Injury","No Injury")</f>
        <v>Injury</v>
      </c>
      <c r="W123" s="3">
        <v>17.043302613306398</v>
      </c>
    </row>
    <row r="124" spans="1:23" x14ac:dyDescent="0.25">
      <c r="A124" s="6">
        <v>22</v>
      </c>
      <c r="B124" s="8" t="str">
        <f>CONCATENATE(Table1[[#This Row],[Age]]," ", "years")</f>
        <v>22 years</v>
      </c>
      <c r="C124">
        <v>177</v>
      </c>
      <c r="D124">
        <v>81</v>
      </c>
      <c r="E124" t="s">
        <v>19</v>
      </c>
      <c r="F124" s="3">
        <v>8.9390961718858009</v>
      </c>
      <c r="G124" s="3">
        <v>5</v>
      </c>
      <c r="H124">
        <v>1</v>
      </c>
      <c r="I124" s="3">
        <v>60.450700845767997</v>
      </c>
      <c r="J124" s="3">
        <v>83.434956194709997</v>
      </c>
      <c r="K124" s="3">
        <v>260.760086248405</v>
      </c>
      <c r="L124" s="3">
        <v>75.056176281844401</v>
      </c>
      <c r="M124" s="3">
        <v>5.4730098686431603</v>
      </c>
      <c r="N124" s="3">
        <v>68.819642751411706</v>
      </c>
      <c r="O124" s="3">
        <v>6.4622727527106996</v>
      </c>
      <c r="P124" s="3">
        <v>59.6072933565451</v>
      </c>
      <c r="Q124" s="3">
        <v>58.752771005826801</v>
      </c>
      <c r="R124" s="3" t="str">
        <f>IF(Table1[[#This Row],[Nutrition_Quality_Score]]&lt;60, "Poor Nutrition",IF(AND(Table1[[#This Row],[Nutrition_Quality_Score]]&gt;=60,Table1[[#This Row],[Nutrition_Quality_Score]]&lt;=80),"Average Nutrition", "Good Nutrition"))</f>
        <v>Poor Nutrition</v>
      </c>
      <c r="S124">
        <v>0</v>
      </c>
      <c r="T124" t="str">
        <f>IF(Table1[[#This Row],[Warmup_Routine_Adherence]]=1, "Adherent","Non-Adherent")</f>
        <v>Non-Adherent</v>
      </c>
      <c r="U124">
        <v>1</v>
      </c>
      <c r="V124" t="str">
        <f>IF(Table1[[#This Row],[Injury_Next_Season]]=1, "Injury","No Injury")</f>
        <v>Injury</v>
      </c>
      <c r="W124" s="3">
        <v>25.854639471416199</v>
      </c>
    </row>
    <row r="125" spans="1:23" x14ac:dyDescent="0.25">
      <c r="A125" s="6">
        <v>20</v>
      </c>
      <c r="B125" s="8" t="str">
        <f>CONCATENATE(Table1[[#This Row],[Age]]," ", "years")</f>
        <v>20 years</v>
      </c>
      <c r="C125">
        <v>168</v>
      </c>
      <c r="D125">
        <v>80</v>
      </c>
      <c r="E125" t="s">
        <v>20</v>
      </c>
      <c r="F125" s="3">
        <v>10.044478309817199</v>
      </c>
      <c r="G125" s="3">
        <v>38</v>
      </c>
      <c r="H125">
        <v>3</v>
      </c>
      <c r="I125" s="3">
        <v>85.630793242366295</v>
      </c>
      <c r="J125" s="3">
        <v>83.238771578663602</v>
      </c>
      <c r="K125" s="3">
        <v>261.65421067062999</v>
      </c>
      <c r="L125" s="3">
        <v>83.200079671931107</v>
      </c>
      <c r="M125" s="3">
        <v>6.0337002172011998</v>
      </c>
      <c r="N125" s="3">
        <v>83.667154936643996</v>
      </c>
      <c r="O125" s="3">
        <v>8.5170945650154799</v>
      </c>
      <c r="P125" s="3">
        <v>59.686387666957302</v>
      </c>
      <c r="Q125" s="3">
        <v>81.177795281407597</v>
      </c>
      <c r="R125" s="3" t="str">
        <f>IF(Table1[[#This Row],[Nutrition_Quality_Score]]&lt;60, "Poor Nutrition",IF(AND(Table1[[#This Row],[Nutrition_Quality_Score]]&gt;=60,Table1[[#This Row],[Nutrition_Quality_Score]]&lt;=80),"Average Nutrition", "Good Nutrition"))</f>
        <v>Good Nutrition</v>
      </c>
      <c r="S125">
        <v>0</v>
      </c>
      <c r="T125" t="str">
        <f>IF(Table1[[#This Row],[Warmup_Routine_Adherence]]=1, "Adherent","Non-Adherent")</f>
        <v>Non-Adherent</v>
      </c>
      <c r="U125">
        <v>0</v>
      </c>
      <c r="V125" t="str">
        <f>IF(Table1[[#This Row],[Injury_Next_Season]]=1, "Injury","No Injury")</f>
        <v>No Injury</v>
      </c>
      <c r="W125" s="3">
        <v>28.344671201813998</v>
      </c>
    </row>
    <row r="126" spans="1:23" x14ac:dyDescent="0.25">
      <c r="A126" s="6">
        <v>19</v>
      </c>
      <c r="B126" s="8" t="str">
        <f>CONCATENATE(Table1[[#This Row],[Age]]," ", "years")</f>
        <v>19 years</v>
      </c>
      <c r="C126">
        <v>187</v>
      </c>
      <c r="D126">
        <v>87</v>
      </c>
      <c r="E126" t="s">
        <v>20</v>
      </c>
      <c r="F126" s="3">
        <v>9.7428971893507494</v>
      </c>
      <c r="G126" s="3">
        <v>35</v>
      </c>
      <c r="H126">
        <v>1</v>
      </c>
      <c r="I126" s="3">
        <v>68.777577239939404</v>
      </c>
      <c r="J126" s="3">
        <v>84.246961925315105</v>
      </c>
      <c r="K126" s="3">
        <v>265.702545917934</v>
      </c>
      <c r="L126" s="3">
        <v>73.5896692403537</v>
      </c>
      <c r="M126" s="3">
        <v>5.76737268865066</v>
      </c>
      <c r="N126" s="3">
        <v>52.9776470143266</v>
      </c>
      <c r="O126" s="3">
        <v>7.25733731018037</v>
      </c>
      <c r="P126" s="3">
        <v>56.516562513674799</v>
      </c>
      <c r="Q126" s="3">
        <v>60.147416575606698</v>
      </c>
      <c r="R126" s="3" t="str">
        <f>IF(Table1[[#This Row],[Nutrition_Quality_Score]]&lt;60, "Poor Nutrition",IF(AND(Table1[[#This Row],[Nutrition_Quality_Score]]&gt;=60,Table1[[#This Row],[Nutrition_Quality_Score]]&lt;=80),"Average Nutrition", "Good Nutrition"))</f>
        <v>Average Nutrition</v>
      </c>
      <c r="S126">
        <v>1</v>
      </c>
      <c r="T126" t="str">
        <f>IF(Table1[[#This Row],[Warmup_Routine_Adherence]]=1, "Adherent","Non-Adherent")</f>
        <v>Adherent</v>
      </c>
      <c r="U126">
        <v>1</v>
      </c>
      <c r="V126" t="str">
        <f>IF(Table1[[#This Row],[Injury_Next_Season]]=1, "Injury","No Injury")</f>
        <v>Injury</v>
      </c>
      <c r="W126" s="3">
        <v>24.879178701135199</v>
      </c>
    </row>
    <row r="127" spans="1:23" x14ac:dyDescent="0.25">
      <c r="A127" s="6">
        <v>24</v>
      </c>
      <c r="B127" s="8" t="str">
        <f>CONCATENATE(Table1[[#This Row],[Age]]," ", "years")</f>
        <v>24 years</v>
      </c>
      <c r="C127">
        <v>168</v>
      </c>
      <c r="D127">
        <v>92</v>
      </c>
      <c r="E127" t="s">
        <v>19</v>
      </c>
      <c r="F127" s="3">
        <v>7.5302831480935097</v>
      </c>
      <c r="G127" s="3">
        <v>27</v>
      </c>
      <c r="H127">
        <v>3</v>
      </c>
      <c r="I127" s="3">
        <v>59.963323693056601</v>
      </c>
      <c r="J127" s="3">
        <v>72.341892760740294</v>
      </c>
      <c r="K127" s="3">
        <v>249.04624020872799</v>
      </c>
      <c r="L127" s="3">
        <v>73.915690081268295</v>
      </c>
      <c r="M127" s="3">
        <v>6.3161946743063</v>
      </c>
      <c r="N127" s="3">
        <v>54.810136168361801</v>
      </c>
      <c r="O127" s="3">
        <v>6.2845316583455899</v>
      </c>
      <c r="P127" s="3">
        <v>54.191811486796198</v>
      </c>
      <c r="Q127" s="3">
        <v>69.929282595626205</v>
      </c>
      <c r="R127" s="3" t="str">
        <f>IF(Table1[[#This Row],[Nutrition_Quality_Score]]&lt;60, "Poor Nutrition",IF(AND(Table1[[#This Row],[Nutrition_Quality_Score]]&gt;=60,Table1[[#This Row],[Nutrition_Quality_Score]]&lt;=80),"Average Nutrition", "Good Nutrition"))</f>
        <v>Average Nutrition</v>
      </c>
      <c r="S127">
        <v>0</v>
      </c>
      <c r="T127" t="str">
        <f>IF(Table1[[#This Row],[Warmup_Routine_Adherence]]=1, "Adherent","Non-Adherent")</f>
        <v>Non-Adherent</v>
      </c>
      <c r="U127">
        <v>1</v>
      </c>
      <c r="V127" t="str">
        <f>IF(Table1[[#This Row],[Injury_Next_Season]]=1, "Injury","No Injury")</f>
        <v>Injury</v>
      </c>
      <c r="W127" s="3">
        <v>32.596371882086103</v>
      </c>
    </row>
    <row r="128" spans="1:23" x14ac:dyDescent="0.25">
      <c r="A128" s="6">
        <v>23</v>
      </c>
      <c r="B128" s="8" t="str">
        <f>CONCATENATE(Table1[[#This Row],[Age]]," ", "years")</f>
        <v>23 years</v>
      </c>
      <c r="C128">
        <v>177</v>
      </c>
      <c r="D128">
        <v>86</v>
      </c>
      <c r="E128" t="s">
        <v>20</v>
      </c>
      <c r="F128" s="3">
        <v>13.444504611754301</v>
      </c>
      <c r="G128" s="3">
        <v>6</v>
      </c>
      <c r="H128">
        <v>0</v>
      </c>
      <c r="I128" s="3">
        <v>84.390870179710802</v>
      </c>
      <c r="J128" s="3">
        <v>81.120605160825704</v>
      </c>
      <c r="K128" s="3">
        <v>281.02697100507902</v>
      </c>
      <c r="L128" s="3">
        <v>81.615478534654997</v>
      </c>
      <c r="M128" s="3">
        <v>5.6236345576850999</v>
      </c>
      <c r="N128" s="3">
        <v>74.138329714055899</v>
      </c>
      <c r="O128" s="3">
        <v>7.1601836932769096</v>
      </c>
      <c r="P128" s="3">
        <v>42.329049542711203</v>
      </c>
      <c r="Q128" s="3">
        <v>93.684101085535303</v>
      </c>
      <c r="R128" s="3" t="str">
        <f>IF(Table1[[#This Row],[Nutrition_Quality_Score]]&lt;60, "Poor Nutrition",IF(AND(Table1[[#This Row],[Nutrition_Quality_Score]]&gt;=60,Table1[[#This Row],[Nutrition_Quality_Score]]&lt;=80),"Average Nutrition", "Good Nutrition"))</f>
        <v>Good Nutrition</v>
      </c>
      <c r="S128">
        <v>0</v>
      </c>
      <c r="T128" t="str">
        <f>IF(Table1[[#This Row],[Warmup_Routine_Adherence]]=1, "Adherent","Non-Adherent")</f>
        <v>Non-Adherent</v>
      </c>
      <c r="U128">
        <v>0</v>
      </c>
      <c r="V128" t="str">
        <f>IF(Table1[[#This Row],[Injury_Next_Season]]=1, "Injury","No Injury")</f>
        <v>No Injury</v>
      </c>
      <c r="W128" s="3">
        <v>27.450604870886298</v>
      </c>
    </row>
    <row r="129" spans="1:23" x14ac:dyDescent="0.25">
      <c r="A129" s="6">
        <v>18</v>
      </c>
      <c r="B129" s="8" t="str">
        <f>CONCATENATE(Table1[[#This Row],[Age]]," ", "years")</f>
        <v>18 years</v>
      </c>
      <c r="C129">
        <v>185</v>
      </c>
      <c r="D129">
        <v>57</v>
      </c>
      <c r="E129" t="s">
        <v>22</v>
      </c>
      <c r="F129" s="3">
        <v>12.392222735887</v>
      </c>
      <c r="G129" s="3">
        <v>7</v>
      </c>
      <c r="H129">
        <v>4</v>
      </c>
      <c r="I129" s="3">
        <v>74.217603852863903</v>
      </c>
      <c r="J129" s="3">
        <v>69.472292525568406</v>
      </c>
      <c r="K129" s="3">
        <v>226.79482381187199</v>
      </c>
      <c r="L129" s="3">
        <v>77.062959907409393</v>
      </c>
      <c r="M129" s="3">
        <v>5.4462821330261599</v>
      </c>
      <c r="N129" s="3">
        <v>62.204726606343797</v>
      </c>
      <c r="O129" s="3">
        <v>5.6585367282858297</v>
      </c>
      <c r="P129" s="3">
        <v>69.897725775172901</v>
      </c>
      <c r="Q129" s="3">
        <v>63.565772188578599</v>
      </c>
      <c r="R129" s="3" t="str">
        <f>IF(Table1[[#This Row],[Nutrition_Quality_Score]]&lt;60, "Poor Nutrition",IF(AND(Table1[[#This Row],[Nutrition_Quality_Score]]&gt;=60,Table1[[#This Row],[Nutrition_Quality_Score]]&lt;=80),"Average Nutrition", "Good Nutrition"))</f>
        <v>Average Nutrition</v>
      </c>
      <c r="S129">
        <v>1</v>
      </c>
      <c r="T129" t="str">
        <f>IF(Table1[[#This Row],[Warmup_Routine_Adherence]]=1, "Adherent","Non-Adherent")</f>
        <v>Adherent</v>
      </c>
      <c r="U129">
        <v>1</v>
      </c>
      <c r="V129" t="str">
        <f>IF(Table1[[#This Row],[Injury_Next_Season]]=1, "Injury","No Injury")</f>
        <v>Injury</v>
      </c>
      <c r="W129" s="3">
        <v>16.654492330168001</v>
      </c>
    </row>
    <row r="130" spans="1:23" x14ac:dyDescent="0.25">
      <c r="A130" s="6">
        <v>21</v>
      </c>
      <c r="B130" s="8" t="str">
        <f>CONCATENATE(Table1[[#This Row],[Age]]," ", "years")</f>
        <v>21 years</v>
      </c>
      <c r="C130">
        <v>162</v>
      </c>
      <c r="D130">
        <v>77</v>
      </c>
      <c r="E130" t="s">
        <v>21</v>
      </c>
      <c r="F130" s="3">
        <v>10.544612402848699</v>
      </c>
      <c r="G130" s="3">
        <v>35</v>
      </c>
      <c r="H130">
        <v>1</v>
      </c>
      <c r="I130" s="3">
        <v>80.055093678878904</v>
      </c>
      <c r="J130" s="3">
        <v>74.968583290191106</v>
      </c>
      <c r="K130" s="3">
        <v>293.15974416920699</v>
      </c>
      <c r="L130" s="3">
        <v>82.481844550279504</v>
      </c>
      <c r="M130" s="3">
        <v>6.2208285569615898</v>
      </c>
      <c r="N130" s="3">
        <v>77.305565353428804</v>
      </c>
      <c r="O130" s="3">
        <v>7.3980869191506802</v>
      </c>
      <c r="P130" s="3">
        <v>71.761132695370705</v>
      </c>
      <c r="Q130" s="3">
        <v>62.1219420501291</v>
      </c>
      <c r="R130" s="3" t="str">
        <f>IF(Table1[[#This Row],[Nutrition_Quality_Score]]&lt;60, "Poor Nutrition",IF(AND(Table1[[#This Row],[Nutrition_Quality_Score]]&gt;=60,Table1[[#This Row],[Nutrition_Quality_Score]]&lt;=80),"Average Nutrition", "Good Nutrition"))</f>
        <v>Average Nutrition</v>
      </c>
      <c r="S130">
        <v>1</v>
      </c>
      <c r="T130" t="str">
        <f>IF(Table1[[#This Row],[Warmup_Routine_Adherence]]=1, "Adherent","Non-Adherent")</f>
        <v>Adherent</v>
      </c>
      <c r="U130">
        <v>1</v>
      </c>
      <c r="V130" t="str">
        <f>IF(Table1[[#This Row],[Injury_Next_Season]]=1, "Injury","No Injury")</f>
        <v>Injury</v>
      </c>
      <c r="W130" s="3">
        <v>29.340039628105401</v>
      </c>
    </row>
    <row r="131" spans="1:23" x14ac:dyDescent="0.25">
      <c r="A131" s="6">
        <v>19</v>
      </c>
      <c r="B131" s="8" t="str">
        <f>CONCATENATE(Table1[[#This Row],[Age]]," ", "years")</f>
        <v>19 years</v>
      </c>
      <c r="C131">
        <v>177</v>
      </c>
      <c r="D131">
        <v>58</v>
      </c>
      <c r="E131" t="s">
        <v>22</v>
      </c>
      <c r="F131" s="3">
        <v>10.5081649973369</v>
      </c>
      <c r="G131" s="3">
        <v>14</v>
      </c>
      <c r="H131">
        <v>2</v>
      </c>
      <c r="I131" s="3">
        <v>84.809863291324504</v>
      </c>
      <c r="J131" s="3">
        <v>80.002488426869604</v>
      </c>
      <c r="K131" s="3">
        <v>241.21730218636699</v>
      </c>
      <c r="L131" s="3">
        <v>80.994608357829094</v>
      </c>
      <c r="M131" s="3">
        <v>6.0595509448267197</v>
      </c>
      <c r="N131" s="3">
        <v>79.125752568903494</v>
      </c>
      <c r="O131" s="3">
        <v>8.7797913285081108</v>
      </c>
      <c r="P131" s="3">
        <v>57.568552020485903</v>
      </c>
      <c r="Q131" s="3">
        <v>68.904392485638795</v>
      </c>
      <c r="R131" s="3" t="str">
        <f>IF(Table1[[#This Row],[Nutrition_Quality_Score]]&lt;60, "Poor Nutrition",IF(AND(Table1[[#This Row],[Nutrition_Quality_Score]]&gt;=60,Table1[[#This Row],[Nutrition_Quality_Score]]&lt;=80),"Average Nutrition", "Good Nutrition"))</f>
        <v>Average Nutrition</v>
      </c>
      <c r="S131">
        <v>1</v>
      </c>
      <c r="T131" t="str">
        <f>IF(Table1[[#This Row],[Warmup_Routine_Adherence]]=1, "Adherent","Non-Adherent")</f>
        <v>Adherent</v>
      </c>
      <c r="U131">
        <v>0</v>
      </c>
      <c r="V131" t="str">
        <f>IF(Table1[[#This Row],[Injury_Next_Season]]=1, "Injury","No Injury")</f>
        <v>No Injury</v>
      </c>
      <c r="W131" s="3">
        <v>18.513198633853602</v>
      </c>
    </row>
    <row r="132" spans="1:23" x14ac:dyDescent="0.25">
      <c r="A132" s="6">
        <v>24</v>
      </c>
      <c r="B132" s="8" t="str">
        <f>CONCATENATE(Table1[[#This Row],[Age]]," ", "years")</f>
        <v>24 years</v>
      </c>
      <c r="C132">
        <v>169</v>
      </c>
      <c r="D132">
        <v>82</v>
      </c>
      <c r="E132" t="s">
        <v>21</v>
      </c>
      <c r="F132" s="3">
        <v>7.4556639288910702</v>
      </c>
      <c r="G132" s="3">
        <v>35</v>
      </c>
      <c r="H132">
        <v>0</v>
      </c>
      <c r="I132" s="3">
        <v>67.535053118087205</v>
      </c>
      <c r="J132" s="3">
        <v>90.152200141767807</v>
      </c>
      <c r="K132" s="3">
        <v>235.01600128503301</v>
      </c>
      <c r="L132" s="3">
        <v>86.256427867161605</v>
      </c>
      <c r="M132" s="3">
        <v>6.8257114812784101</v>
      </c>
      <c r="N132" s="3">
        <v>83.573919065446404</v>
      </c>
      <c r="O132" s="3">
        <v>7.11749138202212</v>
      </c>
      <c r="P132" s="3">
        <v>47.4509905630959</v>
      </c>
      <c r="Q132" s="3">
        <v>78.306212074161394</v>
      </c>
      <c r="R132" s="3" t="str">
        <f>IF(Table1[[#This Row],[Nutrition_Quality_Score]]&lt;60, "Poor Nutrition",IF(AND(Table1[[#This Row],[Nutrition_Quality_Score]]&gt;=60,Table1[[#This Row],[Nutrition_Quality_Score]]&lt;=80),"Average Nutrition", "Good Nutrition"))</f>
        <v>Average Nutrition</v>
      </c>
      <c r="S132">
        <v>1</v>
      </c>
      <c r="T132" t="str">
        <f>IF(Table1[[#This Row],[Warmup_Routine_Adherence]]=1, "Adherent","Non-Adherent")</f>
        <v>Adherent</v>
      </c>
      <c r="U132">
        <v>0</v>
      </c>
      <c r="V132" t="str">
        <f>IF(Table1[[#This Row],[Injury_Next_Season]]=1, "Injury","No Injury")</f>
        <v>No Injury</v>
      </c>
      <c r="W132" s="3">
        <v>28.710479324953599</v>
      </c>
    </row>
    <row r="133" spans="1:23" x14ac:dyDescent="0.25">
      <c r="A133" s="6">
        <v>21</v>
      </c>
      <c r="B133" s="8" t="str">
        <f>CONCATENATE(Table1[[#This Row],[Age]]," ", "years")</f>
        <v>21 years</v>
      </c>
      <c r="C133">
        <v>177</v>
      </c>
      <c r="D133">
        <v>89</v>
      </c>
      <c r="E133" t="s">
        <v>22</v>
      </c>
      <c r="F133" s="3">
        <v>12.8862846309984</v>
      </c>
      <c r="G133" s="3">
        <v>24</v>
      </c>
      <c r="H133">
        <v>1</v>
      </c>
      <c r="I133" s="3">
        <v>74.939358811262196</v>
      </c>
      <c r="J133" s="3">
        <v>85.83527103518</v>
      </c>
      <c r="K133" s="3">
        <v>229.68082040717599</v>
      </c>
      <c r="L133" s="3">
        <v>69.980440440206706</v>
      </c>
      <c r="M133" s="3">
        <v>6.0636081018670502</v>
      </c>
      <c r="N133" s="3">
        <v>67.777973445469399</v>
      </c>
      <c r="O133" s="3">
        <v>5.9855035288018001</v>
      </c>
      <c r="P133" s="3">
        <v>70.587937274044194</v>
      </c>
      <c r="Q133" s="3">
        <v>78.128261255440805</v>
      </c>
      <c r="R133" s="3" t="str">
        <f>IF(Table1[[#This Row],[Nutrition_Quality_Score]]&lt;60, "Poor Nutrition",IF(AND(Table1[[#This Row],[Nutrition_Quality_Score]]&gt;=60,Table1[[#This Row],[Nutrition_Quality_Score]]&lt;=80),"Average Nutrition", "Good Nutrition"))</f>
        <v>Average Nutrition</v>
      </c>
      <c r="S133">
        <v>1</v>
      </c>
      <c r="T133" t="str">
        <f>IF(Table1[[#This Row],[Warmup_Routine_Adherence]]=1, "Adherent","Non-Adherent")</f>
        <v>Adherent</v>
      </c>
      <c r="U133">
        <v>1</v>
      </c>
      <c r="V133" t="str">
        <f>IF(Table1[[#This Row],[Injury_Next_Season]]=1, "Injury","No Injury")</f>
        <v>Injury</v>
      </c>
      <c r="W133" s="3">
        <v>28.408184110568399</v>
      </c>
    </row>
    <row r="134" spans="1:23" x14ac:dyDescent="0.25">
      <c r="A134" s="6">
        <v>18</v>
      </c>
      <c r="B134" s="8" t="str">
        <f>CONCATENATE(Table1[[#This Row],[Age]]," ", "years")</f>
        <v>18 years</v>
      </c>
      <c r="C134">
        <v>185</v>
      </c>
      <c r="D134">
        <v>76</v>
      </c>
      <c r="E134" t="s">
        <v>19</v>
      </c>
      <c r="F134" s="3">
        <v>7.7178702447722598</v>
      </c>
      <c r="G134" s="3">
        <v>5</v>
      </c>
      <c r="H134">
        <v>0</v>
      </c>
      <c r="I134" s="3">
        <v>78.418796452633501</v>
      </c>
      <c r="J134" s="3">
        <v>68.260389095787801</v>
      </c>
      <c r="K134" s="3">
        <v>272.34589764415801</v>
      </c>
      <c r="L134" s="3">
        <v>83.503215955974198</v>
      </c>
      <c r="M134" s="3">
        <v>5.9466648123051904</v>
      </c>
      <c r="N134" s="3">
        <v>72.019515078011494</v>
      </c>
      <c r="O134" s="3">
        <v>5.9454521298972498</v>
      </c>
      <c r="P134" s="3">
        <v>75.246240773973</v>
      </c>
      <c r="Q134" s="3">
        <v>75.307855303306297</v>
      </c>
      <c r="R134" s="3" t="str">
        <f>IF(Table1[[#This Row],[Nutrition_Quality_Score]]&lt;60, "Poor Nutrition",IF(AND(Table1[[#This Row],[Nutrition_Quality_Score]]&gt;=60,Table1[[#This Row],[Nutrition_Quality_Score]]&lt;=80),"Average Nutrition", "Good Nutrition"))</f>
        <v>Average Nutrition</v>
      </c>
      <c r="S134">
        <v>1</v>
      </c>
      <c r="T134" t="str">
        <f>IF(Table1[[#This Row],[Warmup_Routine_Adherence]]=1, "Adherent","Non-Adherent")</f>
        <v>Adherent</v>
      </c>
      <c r="U134">
        <v>1</v>
      </c>
      <c r="V134" t="str">
        <f>IF(Table1[[#This Row],[Injury_Next_Season]]=1, "Injury","No Injury")</f>
        <v>Injury</v>
      </c>
      <c r="W134" s="3">
        <v>22.205989773557299</v>
      </c>
    </row>
    <row r="135" spans="1:23" x14ac:dyDescent="0.25">
      <c r="A135" s="6">
        <v>24</v>
      </c>
      <c r="B135" s="8" t="str">
        <f>CONCATENATE(Table1[[#This Row],[Age]]," ", "years")</f>
        <v>24 years</v>
      </c>
      <c r="C135">
        <v>183</v>
      </c>
      <c r="D135">
        <v>68</v>
      </c>
      <c r="E135" t="s">
        <v>20</v>
      </c>
      <c r="F135" s="3">
        <v>14.5694225034092</v>
      </c>
      <c r="G135" s="3">
        <v>24</v>
      </c>
      <c r="H135">
        <v>1</v>
      </c>
      <c r="I135" s="3">
        <v>76.629090326394902</v>
      </c>
      <c r="J135" s="3">
        <v>89.554947291100405</v>
      </c>
      <c r="K135" s="3">
        <v>214.20935849044699</v>
      </c>
      <c r="L135" s="3">
        <v>86.607252568264101</v>
      </c>
      <c r="M135" s="3">
        <v>6.1230542398365104</v>
      </c>
      <c r="N135" s="3">
        <v>81.848640184205806</v>
      </c>
      <c r="O135" s="3">
        <v>7.2710707903086904</v>
      </c>
      <c r="P135" s="3">
        <v>35.919950682516301</v>
      </c>
      <c r="Q135" s="3">
        <v>86.060101543661403</v>
      </c>
      <c r="R135" s="3" t="str">
        <f>IF(Table1[[#This Row],[Nutrition_Quality_Score]]&lt;60, "Poor Nutrition",IF(AND(Table1[[#This Row],[Nutrition_Quality_Score]]&gt;=60,Table1[[#This Row],[Nutrition_Quality_Score]]&lt;=80),"Average Nutrition", "Good Nutrition"))</f>
        <v>Good Nutrition</v>
      </c>
      <c r="S135">
        <v>1</v>
      </c>
      <c r="T135" t="str">
        <f>IF(Table1[[#This Row],[Warmup_Routine_Adherence]]=1, "Adherent","Non-Adherent")</f>
        <v>Adherent</v>
      </c>
      <c r="U135">
        <v>0</v>
      </c>
      <c r="V135" t="str">
        <f>IF(Table1[[#This Row],[Injury_Next_Season]]=1, "Injury","No Injury")</f>
        <v>No Injury</v>
      </c>
      <c r="W135" s="3">
        <v>20.305174833527399</v>
      </c>
    </row>
    <row r="136" spans="1:23" x14ac:dyDescent="0.25">
      <c r="A136" s="6">
        <v>18</v>
      </c>
      <c r="B136" s="8" t="str">
        <f>CONCATENATE(Table1[[#This Row],[Age]]," ", "years")</f>
        <v>18 years</v>
      </c>
      <c r="C136">
        <v>181</v>
      </c>
      <c r="D136">
        <v>73</v>
      </c>
      <c r="E136" t="s">
        <v>21</v>
      </c>
      <c r="F136" s="3">
        <v>11.140756812471899</v>
      </c>
      <c r="G136" s="3">
        <v>38</v>
      </c>
      <c r="H136">
        <v>0</v>
      </c>
      <c r="I136" s="3">
        <v>72.542229340025003</v>
      </c>
      <c r="J136" s="3">
        <v>73.811480481249006</v>
      </c>
      <c r="K136" s="3">
        <v>269.517294669764</v>
      </c>
      <c r="L136" s="3">
        <v>87.996878840904202</v>
      </c>
      <c r="M136" s="3">
        <v>5.5848492859439398</v>
      </c>
      <c r="N136" s="3">
        <v>61.518302587709201</v>
      </c>
      <c r="O136" s="3">
        <v>6.7942377800529901</v>
      </c>
      <c r="P136" s="3">
        <v>49.142937345830603</v>
      </c>
      <c r="Q136" s="3">
        <v>64.443349551381402</v>
      </c>
      <c r="R136" s="3" t="str">
        <f>IF(Table1[[#This Row],[Nutrition_Quality_Score]]&lt;60, "Poor Nutrition",IF(AND(Table1[[#This Row],[Nutrition_Quality_Score]]&gt;=60,Table1[[#This Row],[Nutrition_Quality_Score]]&lt;=80),"Average Nutrition", "Good Nutrition"))</f>
        <v>Average Nutrition</v>
      </c>
      <c r="S136">
        <v>1</v>
      </c>
      <c r="T136" t="str">
        <f>IF(Table1[[#This Row],[Warmup_Routine_Adherence]]=1, "Adherent","Non-Adherent")</f>
        <v>Adherent</v>
      </c>
      <c r="U136">
        <v>1</v>
      </c>
      <c r="V136" t="str">
        <f>IF(Table1[[#This Row],[Injury_Next_Season]]=1, "Injury","No Injury")</f>
        <v>Injury</v>
      </c>
      <c r="W136" s="3">
        <v>22.282592106468002</v>
      </c>
    </row>
    <row r="137" spans="1:23" x14ac:dyDescent="0.25">
      <c r="A137" s="6">
        <v>21</v>
      </c>
      <c r="B137" s="8" t="str">
        <f>CONCATENATE(Table1[[#This Row],[Age]]," ", "years")</f>
        <v>21 years</v>
      </c>
      <c r="C137">
        <v>179</v>
      </c>
      <c r="D137">
        <v>77</v>
      </c>
      <c r="E137" t="s">
        <v>21</v>
      </c>
      <c r="F137" s="3">
        <v>9.3688427376175891</v>
      </c>
      <c r="G137" s="3">
        <v>10</v>
      </c>
      <c r="H137">
        <v>3</v>
      </c>
      <c r="I137" s="3">
        <v>82.938365864942099</v>
      </c>
      <c r="J137" s="3">
        <v>77.789480512098805</v>
      </c>
      <c r="K137" s="3">
        <v>222.715286345105</v>
      </c>
      <c r="L137" s="3">
        <v>89.362214845787804</v>
      </c>
      <c r="M137" s="3">
        <v>6.2065271377847697</v>
      </c>
      <c r="N137" s="3">
        <v>82.640380083294005</v>
      </c>
      <c r="O137" s="3">
        <v>8.7298655292769798</v>
      </c>
      <c r="P137" s="3">
        <v>51.2092773900536</v>
      </c>
      <c r="Q137" s="3">
        <v>74.000919146923906</v>
      </c>
      <c r="R137" s="3" t="str">
        <f>IF(Table1[[#This Row],[Nutrition_Quality_Score]]&lt;60, "Poor Nutrition",IF(AND(Table1[[#This Row],[Nutrition_Quality_Score]]&gt;=60,Table1[[#This Row],[Nutrition_Quality_Score]]&lt;=80),"Average Nutrition", "Good Nutrition"))</f>
        <v>Average Nutrition</v>
      </c>
      <c r="S137">
        <v>1</v>
      </c>
      <c r="T137" t="str">
        <f>IF(Table1[[#This Row],[Warmup_Routine_Adherence]]=1, "Adherent","Non-Adherent")</f>
        <v>Adherent</v>
      </c>
      <c r="U137">
        <v>0</v>
      </c>
      <c r="V137" t="str">
        <f>IF(Table1[[#This Row],[Injury_Next_Season]]=1, "Injury","No Injury")</f>
        <v>No Injury</v>
      </c>
      <c r="W137" s="3">
        <v>24.031709372366599</v>
      </c>
    </row>
    <row r="138" spans="1:23" x14ac:dyDescent="0.25">
      <c r="A138" s="6">
        <v>21</v>
      </c>
      <c r="B138" s="8" t="str">
        <f>CONCATENATE(Table1[[#This Row],[Age]]," ", "years")</f>
        <v>21 years</v>
      </c>
      <c r="C138">
        <v>163</v>
      </c>
      <c r="D138">
        <v>77</v>
      </c>
      <c r="E138" t="s">
        <v>20</v>
      </c>
      <c r="F138" s="3">
        <v>11.361864424044301</v>
      </c>
      <c r="G138" s="3">
        <v>5</v>
      </c>
      <c r="H138">
        <v>1</v>
      </c>
      <c r="I138" s="3">
        <v>70.5916826500127</v>
      </c>
      <c r="J138" s="3">
        <v>77.024858286017604</v>
      </c>
      <c r="K138" s="3">
        <v>235.285194645492</v>
      </c>
      <c r="L138" s="3">
        <v>89.822173238681302</v>
      </c>
      <c r="M138" s="3">
        <v>6.2194992965058802</v>
      </c>
      <c r="N138" s="3">
        <v>76.581209490278695</v>
      </c>
      <c r="O138" s="3">
        <v>7.9326512200251296</v>
      </c>
      <c r="P138" s="3">
        <v>36.561678462294303</v>
      </c>
      <c r="Q138" s="3">
        <v>79.492333545361703</v>
      </c>
      <c r="R138" s="3" t="str">
        <f>IF(Table1[[#This Row],[Nutrition_Quality_Score]]&lt;60, "Poor Nutrition",IF(AND(Table1[[#This Row],[Nutrition_Quality_Score]]&gt;=60,Table1[[#This Row],[Nutrition_Quality_Score]]&lt;=80),"Average Nutrition", "Good Nutrition"))</f>
        <v>Average Nutrition</v>
      </c>
      <c r="S138">
        <v>1</v>
      </c>
      <c r="T138" t="str">
        <f>IF(Table1[[#This Row],[Warmup_Routine_Adherence]]=1, "Adherent","Non-Adherent")</f>
        <v>Adherent</v>
      </c>
      <c r="U138">
        <v>0</v>
      </c>
      <c r="V138" t="str">
        <f>IF(Table1[[#This Row],[Injury_Next_Season]]=1, "Injury","No Injury")</f>
        <v>No Injury</v>
      </c>
      <c r="W138" s="3">
        <v>28.981143437840998</v>
      </c>
    </row>
    <row r="139" spans="1:23" x14ac:dyDescent="0.25">
      <c r="A139" s="6">
        <v>21</v>
      </c>
      <c r="B139" s="8" t="str">
        <f>CONCATENATE(Table1[[#This Row],[Age]]," ", "years")</f>
        <v>21 years</v>
      </c>
      <c r="C139">
        <v>176</v>
      </c>
      <c r="D139">
        <v>73</v>
      </c>
      <c r="E139" t="s">
        <v>20</v>
      </c>
      <c r="F139" s="3">
        <v>13.0762389251621</v>
      </c>
      <c r="G139" s="3">
        <v>7</v>
      </c>
      <c r="H139">
        <v>3</v>
      </c>
      <c r="I139" s="3">
        <v>65.813204145864603</v>
      </c>
      <c r="J139" s="3">
        <v>72.4650168302298</v>
      </c>
      <c r="K139" s="3">
        <v>270.44493128816498</v>
      </c>
      <c r="L139" s="3">
        <v>82.628922054179796</v>
      </c>
      <c r="M139" s="3">
        <v>5.8002294195344897</v>
      </c>
      <c r="N139" s="3">
        <v>82.723622499479902</v>
      </c>
      <c r="O139" s="3">
        <v>7.6552006098348002</v>
      </c>
      <c r="P139" s="3">
        <v>66.920006667783596</v>
      </c>
      <c r="Q139" s="3">
        <v>69.127550436276394</v>
      </c>
      <c r="R139" s="3" t="str">
        <f>IF(Table1[[#This Row],[Nutrition_Quality_Score]]&lt;60, "Poor Nutrition",IF(AND(Table1[[#This Row],[Nutrition_Quality_Score]]&gt;=60,Table1[[#This Row],[Nutrition_Quality_Score]]&lt;=80),"Average Nutrition", "Good Nutrition"))</f>
        <v>Average Nutrition</v>
      </c>
      <c r="S139">
        <v>0</v>
      </c>
      <c r="T139" t="str">
        <f>IF(Table1[[#This Row],[Warmup_Routine_Adherence]]=1, "Adherent","Non-Adherent")</f>
        <v>Non-Adherent</v>
      </c>
      <c r="U139">
        <v>1</v>
      </c>
      <c r="V139" t="str">
        <f>IF(Table1[[#This Row],[Injury_Next_Season]]=1, "Injury","No Injury")</f>
        <v>Injury</v>
      </c>
      <c r="W139" s="3">
        <v>23.566632231404899</v>
      </c>
    </row>
    <row r="140" spans="1:23" x14ac:dyDescent="0.25">
      <c r="A140" s="6">
        <v>18</v>
      </c>
      <c r="B140" s="8" t="str">
        <f>CONCATENATE(Table1[[#This Row],[Age]]," ", "years")</f>
        <v>18 years</v>
      </c>
      <c r="C140">
        <v>185</v>
      </c>
      <c r="D140">
        <v>63</v>
      </c>
      <c r="E140" t="s">
        <v>22</v>
      </c>
      <c r="F140" s="3">
        <v>10.990545359737</v>
      </c>
      <c r="G140" s="3">
        <v>13</v>
      </c>
      <c r="H140">
        <v>0</v>
      </c>
      <c r="I140" s="3">
        <v>77.241985171007101</v>
      </c>
      <c r="J140" s="3">
        <v>77.277683860060705</v>
      </c>
      <c r="K140" s="3">
        <v>208.233199074308</v>
      </c>
      <c r="L140" s="3">
        <v>88.824961769660007</v>
      </c>
      <c r="M140" s="3">
        <v>5.6436035853852404</v>
      </c>
      <c r="N140" s="3">
        <v>91.912188403500394</v>
      </c>
      <c r="O140" s="3">
        <v>7.2323352231359603</v>
      </c>
      <c r="P140" s="3">
        <v>61.2501706238995</v>
      </c>
      <c r="Q140" s="3">
        <v>78.063685460937094</v>
      </c>
      <c r="R140" s="3" t="str">
        <f>IF(Table1[[#This Row],[Nutrition_Quality_Score]]&lt;60, "Poor Nutrition",IF(AND(Table1[[#This Row],[Nutrition_Quality_Score]]&gt;=60,Table1[[#This Row],[Nutrition_Quality_Score]]&lt;=80),"Average Nutrition", "Good Nutrition"))</f>
        <v>Average Nutrition</v>
      </c>
      <c r="S140">
        <v>1</v>
      </c>
      <c r="T140" t="str">
        <f>IF(Table1[[#This Row],[Warmup_Routine_Adherence]]=1, "Adherent","Non-Adherent")</f>
        <v>Adherent</v>
      </c>
      <c r="U140">
        <v>0</v>
      </c>
      <c r="V140" t="str">
        <f>IF(Table1[[#This Row],[Injury_Next_Season]]=1, "Injury","No Injury")</f>
        <v>No Injury</v>
      </c>
      <c r="W140" s="3">
        <v>18.407596785975102</v>
      </c>
    </row>
    <row r="141" spans="1:23" x14ac:dyDescent="0.25">
      <c r="A141" s="6">
        <v>22</v>
      </c>
      <c r="B141" s="8" t="str">
        <f>CONCATENATE(Table1[[#This Row],[Age]]," ", "years")</f>
        <v>22 years</v>
      </c>
      <c r="C141">
        <v>172</v>
      </c>
      <c r="D141">
        <v>85</v>
      </c>
      <c r="E141" t="s">
        <v>19</v>
      </c>
      <c r="F141" s="3">
        <v>15.476702510528099</v>
      </c>
      <c r="G141" s="3">
        <v>8</v>
      </c>
      <c r="H141">
        <v>0</v>
      </c>
      <c r="I141" s="3">
        <v>75.936807271160305</v>
      </c>
      <c r="J141" s="3">
        <v>91.800094055008202</v>
      </c>
      <c r="K141" s="3">
        <v>239.06845951853899</v>
      </c>
      <c r="L141" s="3">
        <v>86.844161096652698</v>
      </c>
      <c r="M141" s="3">
        <v>6.2079556946239602</v>
      </c>
      <c r="N141" s="3">
        <v>85.308272025307204</v>
      </c>
      <c r="O141" s="3">
        <v>8.1371183584610893</v>
      </c>
      <c r="P141" s="3">
        <v>55.167772939802703</v>
      </c>
      <c r="Q141" s="3">
        <v>76.722383962725004</v>
      </c>
      <c r="R141" s="3" t="str">
        <f>IF(Table1[[#This Row],[Nutrition_Quality_Score]]&lt;60, "Poor Nutrition",IF(AND(Table1[[#This Row],[Nutrition_Quality_Score]]&gt;=60,Table1[[#This Row],[Nutrition_Quality_Score]]&lt;=80),"Average Nutrition", "Good Nutrition"))</f>
        <v>Average Nutrition</v>
      </c>
      <c r="S141">
        <v>1</v>
      </c>
      <c r="T141" t="str">
        <f>IF(Table1[[#This Row],[Warmup_Routine_Adherence]]=1, "Adherent","Non-Adherent")</f>
        <v>Adherent</v>
      </c>
      <c r="U141">
        <v>0</v>
      </c>
      <c r="V141" t="str">
        <f>IF(Table1[[#This Row],[Injury_Next_Season]]=1, "Injury","No Injury")</f>
        <v>No Injury</v>
      </c>
      <c r="W141" s="3">
        <v>28.7317468902109</v>
      </c>
    </row>
    <row r="142" spans="1:23" x14ac:dyDescent="0.25">
      <c r="A142" s="6">
        <v>19</v>
      </c>
      <c r="B142" s="8" t="str">
        <f>CONCATENATE(Table1[[#This Row],[Age]]," ", "years")</f>
        <v>19 years</v>
      </c>
      <c r="C142">
        <v>182</v>
      </c>
      <c r="D142">
        <v>68</v>
      </c>
      <c r="E142" t="s">
        <v>22</v>
      </c>
      <c r="F142" s="3">
        <v>5</v>
      </c>
      <c r="G142" s="3">
        <v>37</v>
      </c>
      <c r="H142">
        <v>4</v>
      </c>
      <c r="I142" s="3">
        <v>62.148917168907097</v>
      </c>
      <c r="J142" s="3">
        <v>76.765453166329294</v>
      </c>
      <c r="K142" s="3">
        <v>264.470173490636</v>
      </c>
      <c r="L142" s="3">
        <v>77.659312130003201</v>
      </c>
      <c r="M142" s="3">
        <v>6.2809748716992901</v>
      </c>
      <c r="N142" s="3">
        <v>73.152597460625799</v>
      </c>
      <c r="O142" s="3">
        <v>6.4981094082559796</v>
      </c>
      <c r="P142" s="3">
        <v>63.537188491042002</v>
      </c>
      <c r="Q142" s="3">
        <v>84.279453597583895</v>
      </c>
      <c r="R142" s="3" t="str">
        <f>IF(Table1[[#This Row],[Nutrition_Quality_Score]]&lt;60, "Poor Nutrition",IF(AND(Table1[[#This Row],[Nutrition_Quality_Score]]&gt;=60,Table1[[#This Row],[Nutrition_Quality_Score]]&lt;=80),"Average Nutrition", "Good Nutrition"))</f>
        <v>Good Nutrition</v>
      </c>
      <c r="S142">
        <v>0</v>
      </c>
      <c r="T142" t="str">
        <f>IF(Table1[[#This Row],[Warmup_Routine_Adherence]]=1, "Adherent","Non-Adherent")</f>
        <v>Non-Adherent</v>
      </c>
      <c r="U142">
        <v>1</v>
      </c>
      <c r="V142" t="str">
        <f>IF(Table1[[#This Row],[Injury_Next_Season]]=1, "Injury","No Injury")</f>
        <v>Injury</v>
      </c>
      <c r="W142" s="3">
        <v>20.528921627822701</v>
      </c>
    </row>
    <row r="143" spans="1:23" x14ac:dyDescent="0.25">
      <c r="A143" s="6">
        <v>18</v>
      </c>
      <c r="B143" s="8" t="str">
        <f>CONCATENATE(Table1[[#This Row],[Age]]," ", "years")</f>
        <v>18 years</v>
      </c>
      <c r="C143">
        <v>168</v>
      </c>
      <c r="D143">
        <v>76</v>
      </c>
      <c r="E143" t="s">
        <v>22</v>
      </c>
      <c r="F143" s="3">
        <v>8.7352995130582602</v>
      </c>
      <c r="G143" s="3">
        <v>9</v>
      </c>
      <c r="H143">
        <v>3</v>
      </c>
      <c r="I143" s="3">
        <v>78.722010005720193</v>
      </c>
      <c r="J143" s="3">
        <v>79.318991195668303</v>
      </c>
      <c r="K143" s="3">
        <v>239.361462277453</v>
      </c>
      <c r="L143" s="3">
        <v>78.644525848879098</v>
      </c>
      <c r="M143" s="3">
        <v>6.1557114233633596</v>
      </c>
      <c r="N143" s="3">
        <v>77.376517338350595</v>
      </c>
      <c r="O143" s="3">
        <v>8.5801301661235705</v>
      </c>
      <c r="P143" s="3">
        <v>46.351729744238199</v>
      </c>
      <c r="Q143" s="3">
        <v>79.899589110066202</v>
      </c>
      <c r="R143" s="3" t="str">
        <f>IF(Table1[[#This Row],[Nutrition_Quality_Score]]&lt;60, "Poor Nutrition",IF(AND(Table1[[#This Row],[Nutrition_Quality_Score]]&gt;=60,Table1[[#This Row],[Nutrition_Quality_Score]]&lt;=80),"Average Nutrition", "Good Nutrition"))</f>
        <v>Average Nutrition</v>
      </c>
      <c r="S143">
        <v>0</v>
      </c>
      <c r="T143" t="str">
        <f>IF(Table1[[#This Row],[Warmup_Routine_Adherence]]=1, "Adherent","Non-Adherent")</f>
        <v>Non-Adherent</v>
      </c>
      <c r="U143">
        <v>0</v>
      </c>
      <c r="V143" t="str">
        <f>IF(Table1[[#This Row],[Injury_Next_Season]]=1, "Injury","No Injury")</f>
        <v>No Injury</v>
      </c>
      <c r="W143" s="3">
        <v>26.927437641723301</v>
      </c>
    </row>
    <row r="144" spans="1:23" x14ac:dyDescent="0.25">
      <c r="A144" s="6">
        <v>22</v>
      </c>
      <c r="B144" s="8" t="str">
        <f>CONCATENATE(Table1[[#This Row],[Age]]," ", "years")</f>
        <v>22 years</v>
      </c>
      <c r="C144">
        <v>176</v>
      </c>
      <c r="D144">
        <v>88</v>
      </c>
      <c r="E144" t="s">
        <v>21</v>
      </c>
      <c r="F144" s="3">
        <v>7.2157135266730803</v>
      </c>
      <c r="G144" s="3">
        <v>16</v>
      </c>
      <c r="H144">
        <v>1</v>
      </c>
      <c r="I144" s="3">
        <v>73.231607872190395</v>
      </c>
      <c r="J144" s="3">
        <v>82.752428836834795</v>
      </c>
      <c r="K144" s="3">
        <v>236.48619114221901</v>
      </c>
      <c r="L144" s="3">
        <v>94.463866278185606</v>
      </c>
      <c r="M144" s="3">
        <v>6.89822786528355</v>
      </c>
      <c r="N144" s="3">
        <v>78.996234087127704</v>
      </c>
      <c r="O144" s="3">
        <v>7.4161248979276602</v>
      </c>
      <c r="P144" s="3">
        <v>62.187335795677399</v>
      </c>
      <c r="Q144" s="3">
        <v>76.841455931028904</v>
      </c>
      <c r="R144" s="3" t="str">
        <f>IF(Table1[[#This Row],[Nutrition_Quality_Score]]&lt;60, "Poor Nutrition",IF(AND(Table1[[#This Row],[Nutrition_Quality_Score]]&gt;=60,Table1[[#This Row],[Nutrition_Quality_Score]]&lt;=80),"Average Nutrition", "Good Nutrition"))</f>
        <v>Average Nutrition</v>
      </c>
      <c r="S144">
        <v>1</v>
      </c>
      <c r="T144" t="str">
        <f>IF(Table1[[#This Row],[Warmup_Routine_Adherence]]=1, "Adherent","Non-Adherent")</f>
        <v>Adherent</v>
      </c>
      <c r="U144">
        <v>0</v>
      </c>
      <c r="V144" t="str">
        <f>IF(Table1[[#This Row],[Injury_Next_Season]]=1, "Injury","No Injury")</f>
        <v>No Injury</v>
      </c>
      <c r="W144" s="3">
        <v>28.409090909090899</v>
      </c>
    </row>
    <row r="145" spans="1:23" x14ac:dyDescent="0.25">
      <c r="A145" s="6">
        <v>20</v>
      </c>
      <c r="B145" s="8" t="str">
        <f>CONCATENATE(Table1[[#This Row],[Age]]," ", "years")</f>
        <v>20 years</v>
      </c>
      <c r="C145">
        <v>175</v>
      </c>
      <c r="D145">
        <v>79</v>
      </c>
      <c r="E145" t="s">
        <v>20</v>
      </c>
      <c r="F145" s="3">
        <v>11.7727146470279</v>
      </c>
      <c r="G145" s="3">
        <v>12</v>
      </c>
      <c r="H145">
        <v>4</v>
      </c>
      <c r="I145" s="3">
        <v>69.794534645997203</v>
      </c>
      <c r="J145" s="3">
        <v>76.5045607676781</v>
      </c>
      <c r="K145" s="3">
        <v>306.33564687805199</v>
      </c>
      <c r="L145" s="3">
        <v>87.112976077162799</v>
      </c>
      <c r="M145" s="3">
        <v>5.5972311879185597</v>
      </c>
      <c r="N145" s="3">
        <v>78.612880690525699</v>
      </c>
      <c r="O145" s="3">
        <v>7.7540512209678303</v>
      </c>
      <c r="P145" s="3">
        <v>60.779727736854703</v>
      </c>
      <c r="Q145" s="3">
        <v>65.674556408870799</v>
      </c>
      <c r="R145" s="3" t="str">
        <f>IF(Table1[[#This Row],[Nutrition_Quality_Score]]&lt;60, "Poor Nutrition",IF(AND(Table1[[#This Row],[Nutrition_Quality_Score]]&gt;=60,Table1[[#This Row],[Nutrition_Quality_Score]]&lt;=80),"Average Nutrition", "Good Nutrition"))</f>
        <v>Average Nutrition</v>
      </c>
      <c r="S145">
        <v>1</v>
      </c>
      <c r="T145" t="str">
        <f>IF(Table1[[#This Row],[Warmup_Routine_Adherence]]=1, "Adherent","Non-Adherent")</f>
        <v>Adherent</v>
      </c>
      <c r="U145">
        <v>1</v>
      </c>
      <c r="V145" t="str">
        <f>IF(Table1[[#This Row],[Injury_Next_Season]]=1, "Injury","No Injury")</f>
        <v>Injury</v>
      </c>
      <c r="W145" s="3">
        <v>25.7959183673469</v>
      </c>
    </row>
    <row r="146" spans="1:23" x14ac:dyDescent="0.25">
      <c r="A146" s="6">
        <v>22</v>
      </c>
      <c r="B146" s="8" t="str">
        <f>CONCATENATE(Table1[[#This Row],[Age]]," ", "years")</f>
        <v>22 years</v>
      </c>
      <c r="C146">
        <v>188</v>
      </c>
      <c r="D146">
        <v>91</v>
      </c>
      <c r="E146" t="s">
        <v>21</v>
      </c>
      <c r="F146" s="3">
        <v>10.846415005173499</v>
      </c>
      <c r="G146" s="3">
        <v>5</v>
      </c>
      <c r="H146">
        <v>2</v>
      </c>
      <c r="I146" s="3">
        <v>73.336510795032098</v>
      </c>
      <c r="J146" s="3">
        <v>75.982409129557595</v>
      </c>
      <c r="K146" s="3">
        <v>293.47455562228998</v>
      </c>
      <c r="L146" s="3">
        <v>82.173815906713898</v>
      </c>
      <c r="M146" s="3">
        <v>6.0394709276882201</v>
      </c>
      <c r="N146" s="3">
        <v>64.613514422572905</v>
      </c>
      <c r="O146" s="3">
        <v>7.9581712598103502</v>
      </c>
      <c r="P146" s="3">
        <v>45.1594797414445</v>
      </c>
      <c r="Q146" s="3">
        <v>76.337447824299801</v>
      </c>
      <c r="R146" s="3" t="str">
        <f>IF(Table1[[#This Row],[Nutrition_Quality_Score]]&lt;60, "Poor Nutrition",IF(AND(Table1[[#This Row],[Nutrition_Quality_Score]]&gt;=60,Table1[[#This Row],[Nutrition_Quality_Score]]&lt;=80),"Average Nutrition", "Good Nutrition"))</f>
        <v>Average Nutrition</v>
      </c>
      <c r="S146">
        <v>1</v>
      </c>
      <c r="T146" t="str">
        <f>IF(Table1[[#This Row],[Warmup_Routine_Adherence]]=1, "Adherent","Non-Adherent")</f>
        <v>Adherent</v>
      </c>
      <c r="U146">
        <v>1</v>
      </c>
      <c r="V146" t="str">
        <f>IF(Table1[[#This Row],[Injury_Next_Season]]=1, "Injury","No Injury")</f>
        <v>Injury</v>
      </c>
      <c r="W146" s="3">
        <v>25.746944318696201</v>
      </c>
    </row>
    <row r="147" spans="1:23" x14ac:dyDescent="0.25">
      <c r="A147" s="6">
        <v>18</v>
      </c>
      <c r="B147" s="8" t="str">
        <f>CONCATENATE(Table1[[#This Row],[Age]]," ", "years")</f>
        <v>18 years</v>
      </c>
      <c r="C147">
        <v>183</v>
      </c>
      <c r="D147">
        <v>74</v>
      </c>
      <c r="E147" t="s">
        <v>22</v>
      </c>
      <c r="F147" s="3">
        <v>14.035236304518801</v>
      </c>
      <c r="G147" s="3">
        <v>39</v>
      </c>
      <c r="H147">
        <v>0</v>
      </c>
      <c r="I147" s="3">
        <v>85.221406048681999</v>
      </c>
      <c r="J147" s="3">
        <v>94.697071214525494</v>
      </c>
      <c r="K147" s="3">
        <v>267.876664893976</v>
      </c>
      <c r="L147" s="3">
        <v>87.548915377680302</v>
      </c>
      <c r="M147" s="3">
        <v>6.3799227486708396</v>
      </c>
      <c r="N147" s="3">
        <v>65.888382264212396</v>
      </c>
      <c r="O147" s="3">
        <v>7.7946701860417802</v>
      </c>
      <c r="P147" s="3">
        <v>45.537362969658403</v>
      </c>
      <c r="Q147" s="3">
        <v>78.4111933992058</v>
      </c>
      <c r="R147" s="3" t="str">
        <f>IF(Table1[[#This Row],[Nutrition_Quality_Score]]&lt;60, "Poor Nutrition",IF(AND(Table1[[#This Row],[Nutrition_Quality_Score]]&gt;=60,Table1[[#This Row],[Nutrition_Quality_Score]]&lt;=80),"Average Nutrition", "Good Nutrition"))</f>
        <v>Average Nutrition</v>
      </c>
      <c r="S147">
        <v>1</v>
      </c>
      <c r="T147" t="str">
        <f>IF(Table1[[#This Row],[Warmup_Routine_Adherence]]=1, "Adherent","Non-Adherent")</f>
        <v>Adherent</v>
      </c>
      <c r="U147">
        <v>0</v>
      </c>
      <c r="V147" t="str">
        <f>IF(Table1[[#This Row],[Injury_Next_Season]]=1, "Injury","No Injury")</f>
        <v>No Injury</v>
      </c>
      <c r="W147" s="3">
        <v>22.096807907073899</v>
      </c>
    </row>
    <row r="148" spans="1:23" x14ac:dyDescent="0.25">
      <c r="A148" s="6">
        <v>21</v>
      </c>
      <c r="B148" s="8" t="str">
        <f>CONCATENATE(Table1[[#This Row],[Age]]," ", "years")</f>
        <v>21 years</v>
      </c>
      <c r="C148">
        <v>177</v>
      </c>
      <c r="D148">
        <v>72</v>
      </c>
      <c r="E148" t="s">
        <v>20</v>
      </c>
      <c r="F148" s="3">
        <v>11.6057363412976</v>
      </c>
      <c r="G148" s="3">
        <v>10</v>
      </c>
      <c r="H148">
        <v>4</v>
      </c>
      <c r="I148" s="3">
        <v>76.853388082097595</v>
      </c>
      <c r="J148" s="3">
        <v>76.1012308693346</v>
      </c>
      <c r="K148" s="3">
        <v>223.282507060146</v>
      </c>
      <c r="L148" s="3">
        <v>92.398304392057696</v>
      </c>
      <c r="M148" s="3">
        <v>6.2730005700314901</v>
      </c>
      <c r="N148" s="3">
        <v>79.703630225810997</v>
      </c>
      <c r="O148" s="3">
        <v>8.0382010634430703</v>
      </c>
      <c r="P148" s="3">
        <v>62.5406610211678</v>
      </c>
      <c r="Q148" s="3">
        <v>65.534929305439803</v>
      </c>
      <c r="R148" s="3" t="str">
        <f>IF(Table1[[#This Row],[Nutrition_Quality_Score]]&lt;60, "Poor Nutrition",IF(AND(Table1[[#This Row],[Nutrition_Quality_Score]]&gt;=60,Table1[[#This Row],[Nutrition_Quality_Score]]&lt;=80),"Average Nutrition", "Good Nutrition"))</f>
        <v>Average Nutrition</v>
      </c>
      <c r="S148">
        <v>1</v>
      </c>
      <c r="T148" t="str">
        <f>IF(Table1[[#This Row],[Warmup_Routine_Adherence]]=1, "Adherent","Non-Adherent")</f>
        <v>Adherent</v>
      </c>
      <c r="U148">
        <v>1</v>
      </c>
      <c r="V148" t="str">
        <f>IF(Table1[[#This Row],[Injury_Next_Season]]=1, "Injury","No Injury")</f>
        <v>Injury</v>
      </c>
      <c r="W148" s="3">
        <v>22.98190175237</v>
      </c>
    </row>
    <row r="149" spans="1:23" x14ac:dyDescent="0.25">
      <c r="A149" s="6">
        <v>24</v>
      </c>
      <c r="B149" s="8" t="str">
        <f>CONCATENATE(Table1[[#This Row],[Age]]," ", "years")</f>
        <v>24 years</v>
      </c>
      <c r="C149">
        <v>165</v>
      </c>
      <c r="D149">
        <v>71</v>
      </c>
      <c r="E149" t="s">
        <v>21</v>
      </c>
      <c r="F149" s="3">
        <v>11.054556772527199</v>
      </c>
      <c r="G149" s="3">
        <v>35</v>
      </c>
      <c r="H149">
        <v>2</v>
      </c>
      <c r="I149" s="3">
        <v>74.728121352660196</v>
      </c>
      <c r="J149" s="3">
        <v>71.052530829182302</v>
      </c>
      <c r="K149" s="3">
        <v>248.045245670074</v>
      </c>
      <c r="L149" s="3">
        <v>79.541314190683096</v>
      </c>
      <c r="M149" s="3">
        <v>5.8277035307024301</v>
      </c>
      <c r="N149" s="3">
        <v>71.352582304998407</v>
      </c>
      <c r="O149" s="3">
        <v>6.45391308603336</v>
      </c>
      <c r="P149" s="3">
        <v>68.229562497610999</v>
      </c>
      <c r="Q149" s="3">
        <v>70.914443841548803</v>
      </c>
      <c r="R149" s="3" t="str">
        <f>IF(Table1[[#This Row],[Nutrition_Quality_Score]]&lt;60, "Poor Nutrition",IF(AND(Table1[[#This Row],[Nutrition_Quality_Score]]&gt;=60,Table1[[#This Row],[Nutrition_Quality_Score]]&lt;=80),"Average Nutrition", "Good Nutrition"))</f>
        <v>Average Nutrition</v>
      </c>
      <c r="S149">
        <v>0</v>
      </c>
      <c r="T149" t="str">
        <f>IF(Table1[[#This Row],[Warmup_Routine_Adherence]]=1, "Adherent","Non-Adherent")</f>
        <v>Non-Adherent</v>
      </c>
      <c r="U149">
        <v>1</v>
      </c>
      <c r="V149" t="str">
        <f>IF(Table1[[#This Row],[Injury_Next_Season]]=1, "Injury","No Injury")</f>
        <v>Injury</v>
      </c>
      <c r="W149" s="3">
        <v>26.078971533516899</v>
      </c>
    </row>
    <row r="150" spans="1:23" x14ac:dyDescent="0.25">
      <c r="A150" s="6">
        <v>22</v>
      </c>
      <c r="B150" s="8" t="str">
        <f>CONCATENATE(Table1[[#This Row],[Age]]," ", "years")</f>
        <v>22 years</v>
      </c>
      <c r="C150">
        <v>166</v>
      </c>
      <c r="D150">
        <v>73</v>
      </c>
      <c r="E150" t="s">
        <v>21</v>
      </c>
      <c r="F150" s="3">
        <v>17.6638147459397</v>
      </c>
      <c r="G150" s="3">
        <v>20</v>
      </c>
      <c r="H150">
        <v>0</v>
      </c>
      <c r="I150" s="3">
        <v>80.122787216443697</v>
      </c>
      <c r="J150" s="3">
        <v>87.606213716400106</v>
      </c>
      <c r="K150" s="3">
        <v>253.48667888553001</v>
      </c>
      <c r="L150" s="3">
        <v>85.073016974067798</v>
      </c>
      <c r="M150" s="3">
        <v>5.8959431044558404</v>
      </c>
      <c r="N150" s="3">
        <v>73.743611814031198</v>
      </c>
      <c r="O150" s="3">
        <v>8.6985422554523097</v>
      </c>
      <c r="P150" s="3">
        <v>40.514424449465103</v>
      </c>
      <c r="Q150" s="3">
        <v>81.25590907966</v>
      </c>
      <c r="R150" s="3" t="str">
        <f>IF(Table1[[#This Row],[Nutrition_Quality_Score]]&lt;60, "Poor Nutrition",IF(AND(Table1[[#This Row],[Nutrition_Quality_Score]]&gt;=60,Table1[[#This Row],[Nutrition_Quality_Score]]&lt;=80),"Average Nutrition", "Good Nutrition"))</f>
        <v>Good Nutrition</v>
      </c>
      <c r="S150">
        <v>1</v>
      </c>
      <c r="T150" t="str">
        <f>IF(Table1[[#This Row],[Warmup_Routine_Adherence]]=1, "Adherent","Non-Adherent")</f>
        <v>Adherent</v>
      </c>
      <c r="U150">
        <v>0</v>
      </c>
      <c r="V150" t="str">
        <f>IF(Table1[[#This Row],[Injury_Next_Season]]=1, "Injury","No Injury")</f>
        <v>No Injury</v>
      </c>
      <c r="W150" s="3">
        <v>26.491508201480599</v>
      </c>
    </row>
    <row r="151" spans="1:23" x14ac:dyDescent="0.25">
      <c r="A151" s="6">
        <v>23</v>
      </c>
      <c r="B151" s="8" t="str">
        <f>CONCATENATE(Table1[[#This Row],[Age]]," ", "years")</f>
        <v>23 years</v>
      </c>
      <c r="C151">
        <v>165</v>
      </c>
      <c r="D151">
        <v>71</v>
      </c>
      <c r="E151" t="s">
        <v>22</v>
      </c>
      <c r="F151" s="3">
        <v>8.8264278476838101</v>
      </c>
      <c r="G151" s="3">
        <v>30</v>
      </c>
      <c r="H151">
        <v>1</v>
      </c>
      <c r="I151" s="3">
        <v>85.317265148256894</v>
      </c>
      <c r="J151" s="3">
        <v>79.548214650244006</v>
      </c>
      <c r="K151" s="3">
        <v>251.204689705475</v>
      </c>
      <c r="L151" s="3">
        <v>78.660509798421501</v>
      </c>
      <c r="M151" s="3">
        <v>6.1176972526507898</v>
      </c>
      <c r="N151" s="3">
        <v>78.0089748048552</v>
      </c>
      <c r="O151" s="3">
        <v>7.6996503144504302</v>
      </c>
      <c r="P151" s="3">
        <v>63.206227485396496</v>
      </c>
      <c r="Q151" s="3">
        <v>77.870911291475494</v>
      </c>
      <c r="R151" s="3" t="str">
        <f>IF(Table1[[#This Row],[Nutrition_Quality_Score]]&lt;60, "Poor Nutrition",IF(AND(Table1[[#This Row],[Nutrition_Quality_Score]]&gt;=60,Table1[[#This Row],[Nutrition_Quality_Score]]&lt;=80),"Average Nutrition", "Good Nutrition"))</f>
        <v>Average Nutrition</v>
      </c>
      <c r="S151">
        <v>1</v>
      </c>
      <c r="T151" t="str">
        <f>IF(Table1[[#This Row],[Warmup_Routine_Adherence]]=1, "Adherent","Non-Adherent")</f>
        <v>Adherent</v>
      </c>
      <c r="U151">
        <v>0</v>
      </c>
      <c r="V151" t="str">
        <f>IF(Table1[[#This Row],[Injury_Next_Season]]=1, "Injury","No Injury")</f>
        <v>No Injury</v>
      </c>
      <c r="W151" s="3">
        <v>26.078971533516899</v>
      </c>
    </row>
    <row r="152" spans="1:23" x14ac:dyDescent="0.25">
      <c r="A152" s="6">
        <v>22</v>
      </c>
      <c r="B152" s="8" t="str">
        <f>CONCATENATE(Table1[[#This Row],[Age]]," ", "years")</f>
        <v>22 years</v>
      </c>
      <c r="C152">
        <v>176</v>
      </c>
      <c r="D152">
        <v>75</v>
      </c>
      <c r="E152" t="s">
        <v>19</v>
      </c>
      <c r="F152" s="3">
        <v>11.9422724328453</v>
      </c>
      <c r="G152" s="3">
        <v>29</v>
      </c>
      <c r="H152">
        <v>1</v>
      </c>
      <c r="I152" s="3">
        <v>81.473520451970799</v>
      </c>
      <c r="J152" s="3">
        <v>75.917669270617694</v>
      </c>
      <c r="K152" s="3">
        <v>232.197259430109</v>
      </c>
      <c r="L152" s="3">
        <v>88.053676182407301</v>
      </c>
      <c r="M152" s="3">
        <v>5.88559597332178</v>
      </c>
      <c r="N152" s="3">
        <v>66.494439135611302</v>
      </c>
      <c r="O152" s="3">
        <v>6.2939257215540598</v>
      </c>
      <c r="P152" s="3">
        <v>40.5709907160334</v>
      </c>
      <c r="Q152" s="3">
        <v>75.051667780748502</v>
      </c>
      <c r="R152" s="3" t="str">
        <f>IF(Table1[[#This Row],[Nutrition_Quality_Score]]&lt;60, "Poor Nutrition",IF(AND(Table1[[#This Row],[Nutrition_Quality_Score]]&gt;=60,Table1[[#This Row],[Nutrition_Quality_Score]]&lt;=80),"Average Nutrition", "Good Nutrition"))</f>
        <v>Average Nutrition</v>
      </c>
      <c r="S152">
        <v>0</v>
      </c>
      <c r="T152" t="str">
        <f>IF(Table1[[#This Row],[Warmup_Routine_Adherence]]=1, "Adherent","Non-Adherent")</f>
        <v>Non-Adherent</v>
      </c>
      <c r="U152">
        <v>0</v>
      </c>
      <c r="V152" t="str">
        <f>IF(Table1[[#This Row],[Injury_Next_Season]]=1, "Injury","No Injury")</f>
        <v>No Injury</v>
      </c>
      <c r="W152" s="3">
        <v>24.2122933884297</v>
      </c>
    </row>
    <row r="153" spans="1:23" x14ac:dyDescent="0.25">
      <c r="A153" s="6">
        <v>24</v>
      </c>
      <c r="B153" s="8" t="str">
        <f>CONCATENATE(Table1[[#This Row],[Age]]," ", "years")</f>
        <v>24 years</v>
      </c>
      <c r="C153">
        <v>175</v>
      </c>
      <c r="D153">
        <v>75</v>
      </c>
      <c r="E153" t="s">
        <v>19</v>
      </c>
      <c r="F153" s="3">
        <v>10.2801826250068</v>
      </c>
      <c r="G153" s="3">
        <v>13</v>
      </c>
      <c r="H153">
        <v>1</v>
      </c>
      <c r="I153" s="3">
        <v>67.463925546689396</v>
      </c>
      <c r="J153" s="3">
        <v>82.8263578364122</v>
      </c>
      <c r="K153" s="3">
        <v>248.60535813919401</v>
      </c>
      <c r="L153" s="3">
        <v>60.059483731508202</v>
      </c>
      <c r="M153" s="3">
        <v>5.5973119144439103</v>
      </c>
      <c r="N153" s="3">
        <v>80.740710057682193</v>
      </c>
      <c r="O153" s="3">
        <v>7.8199826701692299</v>
      </c>
      <c r="P153" s="3">
        <v>53.683248209231799</v>
      </c>
      <c r="Q153" s="3">
        <v>80.159494153913599</v>
      </c>
      <c r="R153" s="3" t="str">
        <f>IF(Table1[[#This Row],[Nutrition_Quality_Score]]&lt;60, "Poor Nutrition",IF(AND(Table1[[#This Row],[Nutrition_Quality_Score]]&gt;=60,Table1[[#This Row],[Nutrition_Quality_Score]]&lt;=80),"Average Nutrition", "Good Nutrition"))</f>
        <v>Good Nutrition</v>
      </c>
      <c r="S153">
        <v>1</v>
      </c>
      <c r="T153" t="str">
        <f>IF(Table1[[#This Row],[Warmup_Routine_Adherence]]=1, "Adherent","Non-Adherent")</f>
        <v>Adherent</v>
      </c>
      <c r="U153">
        <v>1</v>
      </c>
      <c r="V153" t="str">
        <f>IF(Table1[[#This Row],[Injury_Next_Season]]=1, "Injury","No Injury")</f>
        <v>Injury</v>
      </c>
      <c r="W153" s="3">
        <v>24.4897959183673</v>
      </c>
    </row>
    <row r="154" spans="1:23" x14ac:dyDescent="0.25">
      <c r="A154" s="6">
        <v>21</v>
      </c>
      <c r="B154" s="8" t="str">
        <f>CONCATENATE(Table1[[#This Row],[Age]]," ", "years")</f>
        <v>21 years</v>
      </c>
      <c r="C154">
        <v>178</v>
      </c>
      <c r="D154">
        <v>73</v>
      </c>
      <c r="E154" t="s">
        <v>21</v>
      </c>
      <c r="F154" s="3">
        <v>7.98501970303791</v>
      </c>
      <c r="G154" s="3">
        <v>32</v>
      </c>
      <c r="H154">
        <v>1</v>
      </c>
      <c r="I154" s="3">
        <v>71.368808842304404</v>
      </c>
      <c r="J154" s="3">
        <v>87.8584519990427</v>
      </c>
      <c r="K154" s="3">
        <v>212.627692978374</v>
      </c>
      <c r="L154" s="3">
        <v>86.989246704288206</v>
      </c>
      <c r="M154" s="3">
        <v>6.47723998219685</v>
      </c>
      <c r="N154" s="3">
        <v>89.908649705422107</v>
      </c>
      <c r="O154" s="3">
        <v>7.2911357091647302</v>
      </c>
      <c r="P154" s="3">
        <v>60.095424075104198</v>
      </c>
      <c r="Q154" s="3">
        <v>78.623757558623595</v>
      </c>
      <c r="R154" s="3" t="str">
        <f>IF(Table1[[#This Row],[Nutrition_Quality_Score]]&lt;60, "Poor Nutrition",IF(AND(Table1[[#This Row],[Nutrition_Quality_Score]]&gt;=60,Table1[[#This Row],[Nutrition_Quality_Score]]&lt;=80),"Average Nutrition", "Good Nutrition"))</f>
        <v>Average Nutrition</v>
      </c>
      <c r="S154">
        <v>1</v>
      </c>
      <c r="T154" t="str">
        <f>IF(Table1[[#This Row],[Warmup_Routine_Adherence]]=1, "Adherent","Non-Adherent")</f>
        <v>Adherent</v>
      </c>
      <c r="U154">
        <v>0</v>
      </c>
      <c r="V154" t="str">
        <f>IF(Table1[[#This Row],[Injury_Next_Season]]=1, "Injury","No Injury")</f>
        <v>No Injury</v>
      </c>
      <c r="W154" s="3">
        <v>23.040020199469701</v>
      </c>
    </row>
    <row r="155" spans="1:23" x14ac:dyDescent="0.25">
      <c r="A155" s="6">
        <v>21</v>
      </c>
      <c r="B155" s="8" t="str">
        <f>CONCATENATE(Table1[[#This Row],[Age]]," ", "years")</f>
        <v>21 years</v>
      </c>
      <c r="C155">
        <v>176</v>
      </c>
      <c r="D155">
        <v>70</v>
      </c>
      <c r="E155" t="s">
        <v>20</v>
      </c>
      <c r="F155" s="3">
        <v>13.2945934811759</v>
      </c>
      <c r="G155" s="3">
        <v>31</v>
      </c>
      <c r="H155">
        <v>0</v>
      </c>
      <c r="I155" s="3">
        <v>78.439726092589893</v>
      </c>
      <c r="J155" s="3">
        <v>77.358933705995398</v>
      </c>
      <c r="K155" s="3">
        <v>270.54440718637397</v>
      </c>
      <c r="L155" s="3">
        <v>85.572313114057494</v>
      </c>
      <c r="M155" s="3">
        <v>6.0662056091142498</v>
      </c>
      <c r="N155" s="3">
        <v>84.390282493113006</v>
      </c>
      <c r="O155" s="3">
        <v>6.9047242565483602</v>
      </c>
      <c r="P155" s="3">
        <v>43.429413154752801</v>
      </c>
      <c r="Q155" s="3">
        <v>84.754468290902395</v>
      </c>
      <c r="R155" s="3" t="str">
        <f>IF(Table1[[#This Row],[Nutrition_Quality_Score]]&lt;60, "Poor Nutrition",IF(AND(Table1[[#This Row],[Nutrition_Quality_Score]]&gt;=60,Table1[[#This Row],[Nutrition_Quality_Score]]&lt;=80),"Average Nutrition", "Good Nutrition"))</f>
        <v>Good Nutrition</v>
      </c>
      <c r="S155">
        <v>1</v>
      </c>
      <c r="T155" t="str">
        <f>IF(Table1[[#This Row],[Warmup_Routine_Adherence]]=1, "Adherent","Non-Adherent")</f>
        <v>Adherent</v>
      </c>
      <c r="U155">
        <v>0</v>
      </c>
      <c r="V155" t="str">
        <f>IF(Table1[[#This Row],[Injury_Next_Season]]=1, "Injury","No Injury")</f>
        <v>No Injury</v>
      </c>
      <c r="W155" s="3">
        <v>22.5981404958677</v>
      </c>
    </row>
    <row r="156" spans="1:23" x14ac:dyDescent="0.25">
      <c r="A156" s="6">
        <v>19</v>
      </c>
      <c r="B156" s="8" t="str">
        <f>CONCATENATE(Table1[[#This Row],[Age]]," ", "years")</f>
        <v>19 years</v>
      </c>
      <c r="C156">
        <v>184</v>
      </c>
      <c r="D156">
        <v>70</v>
      </c>
      <c r="E156" t="s">
        <v>19</v>
      </c>
      <c r="F156" s="3">
        <v>10.464256437347499</v>
      </c>
      <c r="G156" s="3">
        <v>38</v>
      </c>
      <c r="H156">
        <v>1</v>
      </c>
      <c r="I156" s="3">
        <v>73.525243047005105</v>
      </c>
      <c r="J156" s="3">
        <v>86.235203887593897</v>
      </c>
      <c r="K156" s="3">
        <v>225.98052403803601</v>
      </c>
      <c r="L156" s="3">
        <v>86.371396266545105</v>
      </c>
      <c r="M156" s="3">
        <v>5.9566832340532496</v>
      </c>
      <c r="N156" s="3">
        <v>88.134142327641996</v>
      </c>
      <c r="O156" s="3">
        <v>7.0544280205738099</v>
      </c>
      <c r="P156" s="3">
        <v>51.089697466873801</v>
      </c>
      <c r="Q156" s="3">
        <v>86.246723194039205</v>
      </c>
      <c r="R156" s="3" t="str">
        <f>IF(Table1[[#This Row],[Nutrition_Quality_Score]]&lt;60, "Poor Nutrition",IF(AND(Table1[[#This Row],[Nutrition_Quality_Score]]&gt;=60,Table1[[#This Row],[Nutrition_Quality_Score]]&lt;=80),"Average Nutrition", "Good Nutrition"))</f>
        <v>Good Nutrition</v>
      </c>
      <c r="S156">
        <v>1</v>
      </c>
      <c r="T156" t="str">
        <f>IF(Table1[[#This Row],[Warmup_Routine_Adherence]]=1, "Adherent","Non-Adherent")</f>
        <v>Adherent</v>
      </c>
      <c r="U156">
        <v>0</v>
      </c>
      <c r="V156" t="str">
        <f>IF(Table1[[#This Row],[Injury_Next_Season]]=1, "Injury","No Injury")</f>
        <v>No Injury</v>
      </c>
      <c r="W156" s="3">
        <v>20.675803402646501</v>
      </c>
    </row>
    <row r="157" spans="1:23" x14ac:dyDescent="0.25">
      <c r="A157" s="6">
        <v>24</v>
      </c>
      <c r="B157" s="8" t="str">
        <f>CONCATENATE(Table1[[#This Row],[Age]]," ", "years")</f>
        <v>24 years</v>
      </c>
      <c r="C157">
        <v>185</v>
      </c>
      <c r="D157">
        <v>68</v>
      </c>
      <c r="E157" t="s">
        <v>22</v>
      </c>
      <c r="F157" s="3">
        <v>14.667095282242901</v>
      </c>
      <c r="G157" s="3">
        <v>22</v>
      </c>
      <c r="H157">
        <v>2</v>
      </c>
      <c r="I157" s="3">
        <v>70.316501565924497</v>
      </c>
      <c r="J157" s="3">
        <v>80.881856260171702</v>
      </c>
      <c r="K157" s="3">
        <v>250.833760063347</v>
      </c>
      <c r="L157" s="3">
        <v>84.776582228474695</v>
      </c>
      <c r="M157" s="3">
        <v>6.0630938911830397</v>
      </c>
      <c r="N157" s="3">
        <v>63.373187449805101</v>
      </c>
      <c r="O157" s="3">
        <v>9.6423159635851405</v>
      </c>
      <c r="P157" s="3">
        <v>44.7350691423688</v>
      </c>
      <c r="Q157" s="3">
        <v>86.408405439596194</v>
      </c>
      <c r="R157" s="3" t="str">
        <f>IF(Table1[[#This Row],[Nutrition_Quality_Score]]&lt;60, "Poor Nutrition",IF(AND(Table1[[#This Row],[Nutrition_Quality_Score]]&gt;=60,Table1[[#This Row],[Nutrition_Quality_Score]]&lt;=80),"Average Nutrition", "Good Nutrition"))</f>
        <v>Good Nutrition</v>
      </c>
      <c r="S157">
        <v>1</v>
      </c>
      <c r="T157" t="str">
        <f>IF(Table1[[#This Row],[Warmup_Routine_Adherence]]=1, "Adherent","Non-Adherent")</f>
        <v>Adherent</v>
      </c>
      <c r="U157">
        <v>0</v>
      </c>
      <c r="V157" t="str">
        <f>IF(Table1[[#This Row],[Injury_Next_Season]]=1, "Injury","No Injury")</f>
        <v>No Injury</v>
      </c>
      <c r="W157" s="3">
        <v>19.868517165814399</v>
      </c>
    </row>
    <row r="158" spans="1:23" x14ac:dyDescent="0.25">
      <c r="A158" s="6">
        <v>21</v>
      </c>
      <c r="B158" s="8" t="str">
        <f>CONCATENATE(Table1[[#This Row],[Age]]," ", "years")</f>
        <v>21 years</v>
      </c>
      <c r="C158">
        <v>188</v>
      </c>
      <c r="D158">
        <v>79</v>
      </c>
      <c r="E158" t="s">
        <v>19</v>
      </c>
      <c r="F158" s="3">
        <v>11.2739971457903</v>
      </c>
      <c r="G158" s="3">
        <v>27</v>
      </c>
      <c r="H158">
        <v>0</v>
      </c>
      <c r="I158" s="3">
        <v>88.305286078163505</v>
      </c>
      <c r="J158" s="3">
        <v>74.261149491250706</v>
      </c>
      <c r="K158" s="3">
        <v>229.127449866467</v>
      </c>
      <c r="L158" s="3">
        <v>78.812749521654496</v>
      </c>
      <c r="M158" s="3">
        <v>5.86348579981395</v>
      </c>
      <c r="N158" s="3">
        <v>72.126986520463404</v>
      </c>
      <c r="O158" s="3">
        <v>8.9705793085101302</v>
      </c>
      <c r="P158" s="3">
        <v>35.351087421187998</v>
      </c>
      <c r="Q158" s="3">
        <v>84.673799609628304</v>
      </c>
      <c r="R158" s="3" t="str">
        <f>IF(Table1[[#This Row],[Nutrition_Quality_Score]]&lt;60, "Poor Nutrition",IF(AND(Table1[[#This Row],[Nutrition_Quality_Score]]&gt;=60,Table1[[#This Row],[Nutrition_Quality_Score]]&lt;=80),"Average Nutrition", "Good Nutrition"))</f>
        <v>Good Nutrition</v>
      </c>
      <c r="S158">
        <v>1</v>
      </c>
      <c r="T158" t="str">
        <f>IF(Table1[[#This Row],[Warmup_Routine_Adherence]]=1, "Adherent","Non-Adherent")</f>
        <v>Adherent</v>
      </c>
      <c r="U158">
        <v>0</v>
      </c>
      <c r="V158" t="str">
        <f>IF(Table1[[#This Row],[Injury_Next_Season]]=1, "Injury","No Injury")</f>
        <v>No Injury</v>
      </c>
      <c r="W158" s="3">
        <v>22.351742870076901</v>
      </c>
    </row>
    <row r="159" spans="1:23" x14ac:dyDescent="0.25">
      <c r="A159" s="6">
        <v>24</v>
      </c>
      <c r="B159" s="8" t="str">
        <f>CONCATENATE(Table1[[#This Row],[Age]]," ", "years")</f>
        <v>24 years</v>
      </c>
      <c r="C159">
        <v>187</v>
      </c>
      <c r="D159">
        <v>92</v>
      </c>
      <c r="E159" t="s">
        <v>22</v>
      </c>
      <c r="F159" s="3">
        <v>11.0767156318056</v>
      </c>
      <c r="G159" s="3">
        <v>17</v>
      </c>
      <c r="H159">
        <v>2</v>
      </c>
      <c r="I159" s="3">
        <v>77.697870295209498</v>
      </c>
      <c r="J159" s="3">
        <v>76.748118454064098</v>
      </c>
      <c r="K159" s="3">
        <v>238.090626653741</v>
      </c>
      <c r="L159" s="3">
        <v>81.081722013036099</v>
      </c>
      <c r="M159" s="3">
        <v>6.1407494745464604</v>
      </c>
      <c r="N159" s="3">
        <v>84.140843901312806</v>
      </c>
      <c r="O159" s="3">
        <v>7.2079040801337202</v>
      </c>
      <c r="P159" s="3">
        <v>31.253003398877102</v>
      </c>
      <c r="Q159" s="3">
        <v>85.115643218411194</v>
      </c>
      <c r="R159" s="3" t="str">
        <f>IF(Table1[[#This Row],[Nutrition_Quality_Score]]&lt;60, "Poor Nutrition",IF(AND(Table1[[#This Row],[Nutrition_Quality_Score]]&gt;=60,Table1[[#This Row],[Nutrition_Quality_Score]]&lt;=80),"Average Nutrition", "Good Nutrition"))</f>
        <v>Good Nutrition</v>
      </c>
      <c r="S159">
        <v>1</v>
      </c>
      <c r="T159" t="str">
        <f>IF(Table1[[#This Row],[Warmup_Routine_Adherence]]=1, "Adherent","Non-Adherent")</f>
        <v>Adherent</v>
      </c>
      <c r="U159">
        <v>0</v>
      </c>
      <c r="V159" t="str">
        <f>IF(Table1[[#This Row],[Injury_Next_Season]]=1, "Injury","No Injury")</f>
        <v>No Injury</v>
      </c>
      <c r="W159" s="3">
        <v>26.309016557522298</v>
      </c>
    </row>
    <row r="160" spans="1:23" x14ac:dyDescent="0.25">
      <c r="A160" s="6">
        <v>19</v>
      </c>
      <c r="B160" s="8" t="str">
        <f>CONCATENATE(Table1[[#This Row],[Age]]," ", "years")</f>
        <v>19 years</v>
      </c>
      <c r="C160">
        <v>179</v>
      </c>
      <c r="D160">
        <v>71</v>
      </c>
      <c r="E160" t="s">
        <v>19</v>
      </c>
      <c r="F160" s="3">
        <v>13.013913810910999</v>
      </c>
      <c r="G160" s="3">
        <v>24</v>
      </c>
      <c r="H160">
        <v>2</v>
      </c>
      <c r="I160" s="3">
        <v>73.815983975608205</v>
      </c>
      <c r="J160" s="3">
        <v>85.954558605549593</v>
      </c>
      <c r="K160" s="3">
        <v>272.73867721757398</v>
      </c>
      <c r="L160" s="3">
        <v>90.433786713181405</v>
      </c>
      <c r="M160" s="3">
        <v>6.6497928725406199</v>
      </c>
      <c r="N160" s="3">
        <v>82.172200354316203</v>
      </c>
      <c r="O160" s="3">
        <v>8.6843189502864693</v>
      </c>
      <c r="P160" s="3">
        <v>46.507528448276503</v>
      </c>
      <c r="Q160" s="3">
        <v>72.344096879980697</v>
      </c>
      <c r="R160" s="3" t="str">
        <f>IF(Table1[[#This Row],[Nutrition_Quality_Score]]&lt;60, "Poor Nutrition",IF(AND(Table1[[#This Row],[Nutrition_Quality_Score]]&gt;=60,Table1[[#This Row],[Nutrition_Quality_Score]]&lt;=80),"Average Nutrition", "Good Nutrition"))</f>
        <v>Average Nutrition</v>
      </c>
      <c r="S160">
        <v>1</v>
      </c>
      <c r="T160" t="str">
        <f>IF(Table1[[#This Row],[Warmup_Routine_Adherence]]=1, "Adherent","Non-Adherent")</f>
        <v>Adherent</v>
      </c>
      <c r="U160">
        <v>0</v>
      </c>
      <c r="V160" t="str">
        <f>IF(Table1[[#This Row],[Injury_Next_Season]]=1, "Injury","No Injury")</f>
        <v>No Injury</v>
      </c>
      <c r="W160" s="3">
        <v>22.159108642052299</v>
      </c>
    </row>
    <row r="161" spans="1:23" x14ac:dyDescent="0.25">
      <c r="A161" s="6">
        <v>21</v>
      </c>
      <c r="B161" s="8" t="str">
        <f>CONCATENATE(Table1[[#This Row],[Age]]," ", "years")</f>
        <v>21 years</v>
      </c>
      <c r="C161">
        <v>188</v>
      </c>
      <c r="D161">
        <v>88</v>
      </c>
      <c r="E161" t="s">
        <v>21</v>
      </c>
      <c r="F161" s="3">
        <v>9.9068809502774808</v>
      </c>
      <c r="G161" s="3">
        <v>33</v>
      </c>
      <c r="H161">
        <v>0</v>
      </c>
      <c r="I161" s="3">
        <v>66.850689195215296</v>
      </c>
      <c r="J161" s="3">
        <v>80.071349617895194</v>
      </c>
      <c r="K161" s="3">
        <v>222.62822779139799</v>
      </c>
      <c r="L161" s="3">
        <v>94.267674938642699</v>
      </c>
      <c r="M161" s="3">
        <v>6.1424840268079999</v>
      </c>
      <c r="N161" s="3">
        <v>93.835027279543098</v>
      </c>
      <c r="O161" s="3">
        <v>7.7920549906927299</v>
      </c>
      <c r="P161" s="3">
        <v>42.5473112368283</v>
      </c>
      <c r="Q161" s="3">
        <v>84.067699734005103</v>
      </c>
      <c r="R161" s="3" t="str">
        <f>IF(Table1[[#This Row],[Nutrition_Quality_Score]]&lt;60, "Poor Nutrition",IF(AND(Table1[[#This Row],[Nutrition_Quality_Score]]&gt;=60,Table1[[#This Row],[Nutrition_Quality_Score]]&lt;=80),"Average Nutrition", "Good Nutrition"))</f>
        <v>Good Nutrition</v>
      </c>
      <c r="S161">
        <v>0</v>
      </c>
      <c r="T161" t="str">
        <f>IF(Table1[[#This Row],[Warmup_Routine_Adherence]]=1, "Adherent","Non-Adherent")</f>
        <v>Non-Adherent</v>
      </c>
      <c r="U161">
        <v>0</v>
      </c>
      <c r="V161" t="str">
        <f>IF(Table1[[#This Row],[Injury_Next_Season]]=1, "Injury","No Injury")</f>
        <v>No Injury</v>
      </c>
      <c r="W161" s="3">
        <v>24.8981439565414</v>
      </c>
    </row>
    <row r="162" spans="1:23" x14ac:dyDescent="0.25">
      <c r="A162" s="6">
        <v>18</v>
      </c>
      <c r="B162" s="8" t="str">
        <f>CONCATENATE(Table1[[#This Row],[Age]]," ", "years")</f>
        <v>18 years</v>
      </c>
      <c r="C162">
        <v>171</v>
      </c>
      <c r="D162">
        <v>76</v>
      </c>
      <c r="E162" t="s">
        <v>20</v>
      </c>
      <c r="F162" s="3">
        <v>8.4093865704443207</v>
      </c>
      <c r="G162" s="3">
        <v>6</v>
      </c>
      <c r="H162">
        <v>0</v>
      </c>
      <c r="I162" s="3">
        <v>67.104063590342705</v>
      </c>
      <c r="J162" s="3">
        <v>81.692693810784107</v>
      </c>
      <c r="K162" s="3">
        <v>295.06035330837301</v>
      </c>
      <c r="L162" s="3">
        <v>91.660137705537693</v>
      </c>
      <c r="M162" s="3">
        <v>5.5689053635359302</v>
      </c>
      <c r="N162" s="3">
        <v>66.329408517794405</v>
      </c>
      <c r="O162" s="3">
        <v>7.7766690908838898</v>
      </c>
      <c r="P162" s="3">
        <v>54.655268926705403</v>
      </c>
      <c r="Q162" s="3">
        <v>67.619025602674199</v>
      </c>
      <c r="R162" s="3" t="str">
        <f>IF(Table1[[#This Row],[Nutrition_Quality_Score]]&lt;60, "Poor Nutrition",IF(AND(Table1[[#This Row],[Nutrition_Quality_Score]]&gt;=60,Table1[[#This Row],[Nutrition_Quality_Score]]&lt;=80),"Average Nutrition", "Good Nutrition"))</f>
        <v>Average Nutrition</v>
      </c>
      <c r="S162">
        <v>1</v>
      </c>
      <c r="T162" t="str">
        <f>IF(Table1[[#This Row],[Warmup_Routine_Adherence]]=1, "Adherent","Non-Adherent")</f>
        <v>Adherent</v>
      </c>
      <c r="U162">
        <v>1</v>
      </c>
      <c r="V162" t="str">
        <f>IF(Table1[[#This Row],[Injury_Next_Season]]=1, "Injury","No Injury")</f>
        <v>Injury</v>
      </c>
      <c r="W162" s="3">
        <v>25.9909031838856</v>
      </c>
    </row>
    <row r="163" spans="1:23" x14ac:dyDescent="0.25">
      <c r="A163" s="6">
        <v>21</v>
      </c>
      <c r="B163" s="8" t="str">
        <f>CONCATENATE(Table1[[#This Row],[Age]]," ", "years")</f>
        <v>21 years</v>
      </c>
      <c r="C163">
        <v>177</v>
      </c>
      <c r="D163">
        <v>81</v>
      </c>
      <c r="E163" t="s">
        <v>20</v>
      </c>
      <c r="F163" s="3">
        <v>10.7374382317063</v>
      </c>
      <c r="G163" s="3">
        <v>22</v>
      </c>
      <c r="H163">
        <v>0</v>
      </c>
      <c r="I163" s="3">
        <v>77.969926085679205</v>
      </c>
      <c r="J163" s="3">
        <v>78.752529164248799</v>
      </c>
      <c r="K163" s="3">
        <v>265.28720159310802</v>
      </c>
      <c r="L163" s="3">
        <v>94.413529591263398</v>
      </c>
      <c r="M163" s="3">
        <v>6.1277549353434297</v>
      </c>
      <c r="N163" s="3">
        <v>71.883125211285801</v>
      </c>
      <c r="O163" s="3">
        <v>8.377722304033</v>
      </c>
      <c r="P163" s="3">
        <v>49.392174761054903</v>
      </c>
      <c r="Q163" s="3">
        <v>73.008003701855799</v>
      </c>
      <c r="R163" s="3" t="str">
        <f>IF(Table1[[#This Row],[Nutrition_Quality_Score]]&lt;60, "Poor Nutrition",IF(AND(Table1[[#This Row],[Nutrition_Quality_Score]]&gt;=60,Table1[[#This Row],[Nutrition_Quality_Score]]&lt;=80),"Average Nutrition", "Good Nutrition"))</f>
        <v>Average Nutrition</v>
      </c>
      <c r="S163">
        <v>1</v>
      </c>
      <c r="T163" t="str">
        <f>IF(Table1[[#This Row],[Warmup_Routine_Adherence]]=1, "Adherent","Non-Adherent")</f>
        <v>Adherent</v>
      </c>
      <c r="U163">
        <v>0</v>
      </c>
      <c r="V163" t="str">
        <f>IF(Table1[[#This Row],[Injury_Next_Season]]=1, "Injury","No Injury")</f>
        <v>No Injury</v>
      </c>
      <c r="W163" s="3">
        <v>25.854639471416199</v>
      </c>
    </row>
    <row r="164" spans="1:23" x14ac:dyDescent="0.25">
      <c r="A164" s="6">
        <v>23</v>
      </c>
      <c r="B164" s="8" t="str">
        <f>CONCATENATE(Table1[[#This Row],[Age]]," ", "years")</f>
        <v>23 years</v>
      </c>
      <c r="C164">
        <v>178</v>
      </c>
      <c r="D164">
        <v>75</v>
      </c>
      <c r="E164" t="s">
        <v>22</v>
      </c>
      <c r="F164" s="3">
        <v>6.8956010581045</v>
      </c>
      <c r="G164" s="3">
        <v>38</v>
      </c>
      <c r="H164">
        <v>0</v>
      </c>
      <c r="I164" s="3">
        <v>67.623821644388698</v>
      </c>
      <c r="J164" s="3">
        <v>80.193875297937197</v>
      </c>
      <c r="K164" s="3">
        <v>282.83428708729298</v>
      </c>
      <c r="L164" s="3">
        <v>81.351156946760995</v>
      </c>
      <c r="M164" s="3">
        <v>6.0778420073724497</v>
      </c>
      <c r="N164" s="3">
        <v>68.421846301420899</v>
      </c>
      <c r="O164" s="3">
        <v>6.0910913895450296</v>
      </c>
      <c r="P164" s="3">
        <v>59.732968568511502</v>
      </c>
      <c r="Q164" s="3">
        <v>68.988734224234506</v>
      </c>
      <c r="R164" s="3" t="str">
        <f>IF(Table1[[#This Row],[Nutrition_Quality_Score]]&lt;60, "Poor Nutrition",IF(AND(Table1[[#This Row],[Nutrition_Quality_Score]]&gt;=60,Table1[[#This Row],[Nutrition_Quality_Score]]&lt;=80),"Average Nutrition", "Good Nutrition"))</f>
        <v>Average Nutrition</v>
      </c>
      <c r="S164">
        <v>0</v>
      </c>
      <c r="T164" t="str">
        <f>IF(Table1[[#This Row],[Warmup_Routine_Adherence]]=1, "Adherent","Non-Adherent")</f>
        <v>Non-Adherent</v>
      </c>
      <c r="U164">
        <v>1</v>
      </c>
      <c r="V164" t="str">
        <f>IF(Table1[[#This Row],[Injury_Next_Season]]=1, "Injury","No Injury")</f>
        <v>Injury</v>
      </c>
      <c r="W164" s="3">
        <v>23.671253629592201</v>
      </c>
    </row>
    <row r="165" spans="1:23" x14ac:dyDescent="0.25">
      <c r="A165" s="6">
        <v>20</v>
      </c>
      <c r="B165" s="8" t="str">
        <f>CONCATENATE(Table1[[#This Row],[Age]]," ", "years")</f>
        <v>20 years</v>
      </c>
      <c r="C165">
        <v>176</v>
      </c>
      <c r="D165">
        <v>66</v>
      </c>
      <c r="E165" t="s">
        <v>21</v>
      </c>
      <c r="F165" s="3">
        <v>10.9812308604474</v>
      </c>
      <c r="G165" s="3">
        <v>20</v>
      </c>
      <c r="H165">
        <v>3</v>
      </c>
      <c r="I165" s="3">
        <v>79.9990167401603</v>
      </c>
      <c r="J165" s="3">
        <v>67.360037811592207</v>
      </c>
      <c r="K165" s="3">
        <v>270.40460568431502</v>
      </c>
      <c r="L165" s="3">
        <v>72.882134247916198</v>
      </c>
      <c r="M165" s="3">
        <v>6.0793985071476904</v>
      </c>
      <c r="N165" s="3">
        <v>76.205892931656194</v>
      </c>
      <c r="O165" s="3">
        <v>8.1655768833152997</v>
      </c>
      <c r="P165" s="3">
        <v>64.610910576487399</v>
      </c>
      <c r="Q165" s="3">
        <v>76.672939469599896</v>
      </c>
      <c r="R165" s="3" t="str">
        <f>IF(Table1[[#This Row],[Nutrition_Quality_Score]]&lt;60, "Poor Nutrition",IF(AND(Table1[[#This Row],[Nutrition_Quality_Score]]&gt;=60,Table1[[#This Row],[Nutrition_Quality_Score]]&lt;=80),"Average Nutrition", "Good Nutrition"))</f>
        <v>Average Nutrition</v>
      </c>
      <c r="S165">
        <v>0</v>
      </c>
      <c r="T165" t="str">
        <f>IF(Table1[[#This Row],[Warmup_Routine_Adherence]]=1, "Adherent","Non-Adherent")</f>
        <v>Non-Adherent</v>
      </c>
      <c r="U165">
        <v>1</v>
      </c>
      <c r="V165" t="str">
        <f>IF(Table1[[#This Row],[Injury_Next_Season]]=1, "Injury","No Injury")</f>
        <v>Injury</v>
      </c>
      <c r="W165" s="3">
        <v>21.306818181818102</v>
      </c>
    </row>
    <row r="166" spans="1:23" x14ac:dyDescent="0.25">
      <c r="A166" s="6">
        <v>23</v>
      </c>
      <c r="B166" s="8" t="str">
        <f>CONCATENATE(Table1[[#This Row],[Age]]," ", "years")</f>
        <v>23 years</v>
      </c>
      <c r="C166">
        <v>181</v>
      </c>
      <c r="D166">
        <v>89</v>
      </c>
      <c r="E166" t="s">
        <v>19</v>
      </c>
      <c r="F166" s="3">
        <v>9.3694822318671793</v>
      </c>
      <c r="G166" s="3">
        <v>32</v>
      </c>
      <c r="H166">
        <v>2</v>
      </c>
      <c r="I166" s="3">
        <v>79.481427203412494</v>
      </c>
      <c r="J166" s="3">
        <v>70.706552304144907</v>
      </c>
      <c r="K166" s="3">
        <v>281.98745571577302</v>
      </c>
      <c r="L166" s="3">
        <v>75.764886244301906</v>
      </c>
      <c r="M166" s="3">
        <v>5.8466140927408103</v>
      </c>
      <c r="N166" s="3">
        <v>90.702376909853797</v>
      </c>
      <c r="O166" s="3">
        <v>7.4245330324361296</v>
      </c>
      <c r="P166" s="3">
        <v>64.690549121541594</v>
      </c>
      <c r="Q166" s="3">
        <v>69.268947553447902</v>
      </c>
      <c r="R166" s="3" t="str">
        <f>IF(Table1[[#This Row],[Nutrition_Quality_Score]]&lt;60, "Poor Nutrition",IF(AND(Table1[[#This Row],[Nutrition_Quality_Score]]&gt;=60,Table1[[#This Row],[Nutrition_Quality_Score]]&lt;=80),"Average Nutrition", "Good Nutrition"))</f>
        <v>Average Nutrition</v>
      </c>
      <c r="S166">
        <v>1</v>
      </c>
      <c r="T166" t="str">
        <f>IF(Table1[[#This Row],[Warmup_Routine_Adherence]]=1, "Adherent","Non-Adherent")</f>
        <v>Adherent</v>
      </c>
      <c r="U166">
        <v>1</v>
      </c>
      <c r="V166" t="str">
        <f>IF(Table1[[#This Row],[Injury_Next_Season]]=1, "Injury","No Injury")</f>
        <v>Injury</v>
      </c>
      <c r="W166" s="3">
        <v>27.166447910625401</v>
      </c>
    </row>
    <row r="167" spans="1:23" x14ac:dyDescent="0.25">
      <c r="A167" s="6">
        <v>24</v>
      </c>
      <c r="B167" s="8" t="str">
        <f>CONCATENATE(Table1[[#This Row],[Age]]," ", "years")</f>
        <v>24 years</v>
      </c>
      <c r="C167">
        <v>163</v>
      </c>
      <c r="D167">
        <v>81</v>
      </c>
      <c r="E167" t="s">
        <v>19</v>
      </c>
      <c r="F167" s="3">
        <v>11.884364845655099</v>
      </c>
      <c r="G167" s="3">
        <v>32</v>
      </c>
      <c r="H167">
        <v>3</v>
      </c>
      <c r="I167" s="3">
        <v>67.816395137076199</v>
      </c>
      <c r="J167" s="3">
        <v>63.648059142681603</v>
      </c>
      <c r="K167" s="3">
        <v>270.20591646008597</v>
      </c>
      <c r="L167" s="3">
        <v>81.092602229076803</v>
      </c>
      <c r="M167" s="3">
        <v>4.8624353633801203</v>
      </c>
      <c r="N167" s="3">
        <v>71.341753148127594</v>
      </c>
      <c r="O167" s="3">
        <v>8.0905763546966991</v>
      </c>
      <c r="P167" s="3">
        <v>45.3009469499208</v>
      </c>
      <c r="Q167" s="3">
        <v>60.145882241716301</v>
      </c>
      <c r="R167" s="3" t="str">
        <f>IF(Table1[[#This Row],[Nutrition_Quality_Score]]&lt;60, "Poor Nutrition",IF(AND(Table1[[#This Row],[Nutrition_Quality_Score]]&gt;=60,Table1[[#This Row],[Nutrition_Quality_Score]]&lt;=80),"Average Nutrition", "Good Nutrition"))</f>
        <v>Average Nutrition</v>
      </c>
      <c r="S167">
        <v>0</v>
      </c>
      <c r="T167" t="str">
        <f>IF(Table1[[#This Row],[Warmup_Routine_Adherence]]=1, "Adherent","Non-Adherent")</f>
        <v>Non-Adherent</v>
      </c>
      <c r="U167">
        <v>1</v>
      </c>
      <c r="V167" t="str">
        <f>IF(Table1[[#This Row],[Injury_Next_Season]]=1, "Injury","No Injury")</f>
        <v>Injury</v>
      </c>
      <c r="W167" s="3">
        <v>30.486657382663999</v>
      </c>
    </row>
    <row r="168" spans="1:23" x14ac:dyDescent="0.25">
      <c r="A168" s="6">
        <v>21</v>
      </c>
      <c r="B168" s="8" t="str">
        <f>CONCATENATE(Table1[[#This Row],[Age]]," ", "years")</f>
        <v>21 years</v>
      </c>
      <c r="C168">
        <v>172</v>
      </c>
      <c r="D168">
        <v>68</v>
      </c>
      <c r="E168" t="s">
        <v>19</v>
      </c>
      <c r="F168" s="3">
        <v>5</v>
      </c>
      <c r="G168" s="3">
        <v>14</v>
      </c>
      <c r="H168">
        <v>1</v>
      </c>
      <c r="I168" s="3">
        <v>65.915938523007895</v>
      </c>
      <c r="J168" s="3">
        <v>70.635408801925095</v>
      </c>
      <c r="K168" s="3">
        <v>265.43233642528003</v>
      </c>
      <c r="L168" s="3">
        <v>84.256165681319501</v>
      </c>
      <c r="M168" s="3">
        <v>5.8235312175731799</v>
      </c>
      <c r="N168" s="3">
        <v>77.185594494279698</v>
      </c>
      <c r="O168" s="3">
        <v>6.6778531816864604</v>
      </c>
      <c r="P168" s="3">
        <v>59.0439877062107</v>
      </c>
      <c r="Q168" s="3">
        <v>63.633297345436901</v>
      </c>
      <c r="R168" s="3" t="str">
        <f>IF(Table1[[#This Row],[Nutrition_Quality_Score]]&lt;60, "Poor Nutrition",IF(AND(Table1[[#This Row],[Nutrition_Quality_Score]]&gt;=60,Table1[[#This Row],[Nutrition_Quality_Score]]&lt;=80),"Average Nutrition", "Good Nutrition"))</f>
        <v>Average Nutrition</v>
      </c>
      <c r="S168">
        <v>0</v>
      </c>
      <c r="T168" t="str">
        <f>IF(Table1[[#This Row],[Warmup_Routine_Adherence]]=1, "Adherent","Non-Adherent")</f>
        <v>Non-Adherent</v>
      </c>
      <c r="U168">
        <v>1</v>
      </c>
      <c r="V168" t="str">
        <f>IF(Table1[[#This Row],[Injury_Next_Season]]=1, "Injury","No Injury")</f>
        <v>Injury</v>
      </c>
      <c r="W168" s="3">
        <v>22.985397512168699</v>
      </c>
    </row>
    <row r="169" spans="1:23" x14ac:dyDescent="0.25">
      <c r="A169" s="6">
        <v>23</v>
      </c>
      <c r="B169" s="8" t="str">
        <f>CONCATENATE(Table1[[#This Row],[Age]]," ", "years")</f>
        <v>23 years</v>
      </c>
      <c r="C169">
        <v>170</v>
      </c>
      <c r="D169">
        <v>64</v>
      </c>
      <c r="E169" t="s">
        <v>22</v>
      </c>
      <c r="F169" s="3">
        <v>14.174752685509899</v>
      </c>
      <c r="G169" s="3">
        <v>18</v>
      </c>
      <c r="H169">
        <v>2</v>
      </c>
      <c r="I169" s="3">
        <v>72.884449196309106</v>
      </c>
      <c r="J169" s="3">
        <v>80.7765599694239</v>
      </c>
      <c r="K169" s="3">
        <v>289.35245208752599</v>
      </c>
      <c r="L169" s="3">
        <v>80.352562659823406</v>
      </c>
      <c r="M169" s="3">
        <v>5.6685247977161701</v>
      </c>
      <c r="N169" s="3">
        <v>76.601483193863999</v>
      </c>
      <c r="O169" s="3">
        <v>6.5602931636195896</v>
      </c>
      <c r="P169" s="3">
        <v>45.233746289665298</v>
      </c>
      <c r="Q169" s="3">
        <v>79.735648029705899</v>
      </c>
      <c r="R169" s="3" t="str">
        <f>IF(Table1[[#This Row],[Nutrition_Quality_Score]]&lt;60, "Poor Nutrition",IF(AND(Table1[[#This Row],[Nutrition_Quality_Score]]&gt;=60,Table1[[#This Row],[Nutrition_Quality_Score]]&lt;=80),"Average Nutrition", "Good Nutrition"))</f>
        <v>Average Nutrition</v>
      </c>
      <c r="S169">
        <v>0</v>
      </c>
      <c r="T169" t="str">
        <f>IF(Table1[[#This Row],[Warmup_Routine_Adherence]]=1, "Adherent","Non-Adherent")</f>
        <v>Non-Adherent</v>
      </c>
      <c r="U169">
        <v>1</v>
      </c>
      <c r="V169" t="str">
        <f>IF(Table1[[#This Row],[Injury_Next_Season]]=1, "Injury","No Injury")</f>
        <v>Injury</v>
      </c>
      <c r="W169" s="3">
        <v>22.1453287197231</v>
      </c>
    </row>
    <row r="170" spans="1:23" x14ac:dyDescent="0.25">
      <c r="A170" s="6">
        <v>18</v>
      </c>
      <c r="B170" s="8" t="str">
        <f>CONCATENATE(Table1[[#This Row],[Age]]," ", "years")</f>
        <v>18 years</v>
      </c>
      <c r="C170">
        <v>175</v>
      </c>
      <c r="D170">
        <v>75</v>
      </c>
      <c r="E170" t="s">
        <v>19</v>
      </c>
      <c r="F170" s="3">
        <v>8.619287993475</v>
      </c>
      <c r="G170" s="3">
        <v>30</v>
      </c>
      <c r="H170">
        <v>2</v>
      </c>
      <c r="I170" s="3">
        <v>72.753939267149605</v>
      </c>
      <c r="J170" s="3">
        <v>83.951405806398398</v>
      </c>
      <c r="K170" s="3">
        <v>283.36537251797898</v>
      </c>
      <c r="L170" s="3">
        <v>86.099808565843304</v>
      </c>
      <c r="M170" s="3">
        <v>6.0795210761721998</v>
      </c>
      <c r="N170" s="3">
        <v>97.269791264838304</v>
      </c>
      <c r="O170" s="3">
        <v>6.4304063881624796</v>
      </c>
      <c r="P170" s="3">
        <v>59.472261865648598</v>
      </c>
      <c r="Q170" s="3">
        <v>57.362264256759197</v>
      </c>
      <c r="R170" s="3" t="str">
        <f>IF(Table1[[#This Row],[Nutrition_Quality_Score]]&lt;60, "Poor Nutrition",IF(AND(Table1[[#This Row],[Nutrition_Quality_Score]]&gt;=60,Table1[[#This Row],[Nutrition_Quality_Score]]&lt;=80),"Average Nutrition", "Good Nutrition"))</f>
        <v>Poor Nutrition</v>
      </c>
      <c r="S170">
        <v>0</v>
      </c>
      <c r="T170" t="str">
        <f>IF(Table1[[#This Row],[Warmup_Routine_Adherence]]=1, "Adherent","Non-Adherent")</f>
        <v>Non-Adherent</v>
      </c>
      <c r="U170">
        <v>1</v>
      </c>
      <c r="V170" t="str">
        <f>IF(Table1[[#This Row],[Injury_Next_Season]]=1, "Injury","No Injury")</f>
        <v>Injury</v>
      </c>
      <c r="W170" s="3">
        <v>24.4897959183673</v>
      </c>
    </row>
    <row r="171" spans="1:23" x14ac:dyDescent="0.25">
      <c r="A171" s="6">
        <v>19</v>
      </c>
      <c r="B171" s="8" t="str">
        <f>CONCATENATE(Table1[[#This Row],[Age]]," ", "years")</f>
        <v>19 years</v>
      </c>
      <c r="C171">
        <v>188</v>
      </c>
      <c r="D171">
        <v>95</v>
      </c>
      <c r="E171" t="s">
        <v>19</v>
      </c>
      <c r="F171" s="3">
        <v>11.5410870696756</v>
      </c>
      <c r="G171" s="3">
        <v>7</v>
      </c>
      <c r="H171">
        <v>0</v>
      </c>
      <c r="I171" s="3">
        <v>80.2830102506298</v>
      </c>
      <c r="J171" s="3">
        <v>84.404014068125093</v>
      </c>
      <c r="K171" s="3">
        <v>225.30898558936701</v>
      </c>
      <c r="L171" s="3">
        <v>84.238086771578295</v>
      </c>
      <c r="M171" s="3">
        <v>5.9714130329395898</v>
      </c>
      <c r="N171" s="3">
        <v>90.658044883358201</v>
      </c>
      <c r="O171" s="3">
        <v>7.6234347103543598</v>
      </c>
      <c r="P171" s="3">
        <v>55.3762491753359</v>
      </c>
      <c r="Q171" s="3">
        <v>92.257883149261801</v>
      </c>
      <c r="R171" s="3" t="str">
        <f>IF(Table1[[#This Row],[Nutrition_Quality_Score]]&lt;60, "Poor Nutrition",IF(AND(Table1[[#This Row],[Nutrition_Quality_Score]]&gt;=60,Table1[[#This Row],[Nutrition_Quality_Score]]&lt;=80),"Average Nutrition", "Good Nutrition"))</f>
        <v>Good Nutrition</v>
      </c>
      <c r="S171">
        <v>1</v>
      </c>
      <c r="T171" t="str">
        <f>IF(Table1[[#This Row],[Warmup_Routine_Adherence]]=1, "Adherent","Non-Adherent")</f>
        <v>Adherent</v>
      </c>
      <c r="U171">
        <v>0</v>
      </c>
      <c r="V171" t="str">
        <f>IF(Table1[[#This Row],[Injury_Next_Season]]=1, "Injury","No Injury")</f>
        <v>No Injury</v>
      </c>
      <c r="W171" s="3">
        <v>26.8786781349026</v>
      </c>
    </row>
    <row r="172" spans="1:23" x14ac:dyDescent="0.25">
      <c r="A172" s="6">
        <v>24</v>
      </c>
      <c r="B172" s="8" t="str">
        <f>CONCATENATE(Table1[[#This Row],[Age]]," ", "years")</f>
        <v>24 years</v>
      </c>
      <c r="C172">
        <v>187</v>
      </c>
      <c r="D172">
        <v>72</v>
      </c>
      <c r="E172" t="s">
        <v>20</v>
      </c>
      <c r="F172" s="3">
        <v>11.318649120923901</v>
      </c>
      <c r="G172" s="3">
        <v>30</v>
      </c>
      <c r="H172">
        <v>5</v>
      </c>
      <c r="I172" s="3">
        <v>71.121161932600799</v>
      </c>
      <c r="J172" s="3">
        <v>77.369860171891204</v>
      </c>
      <c r="K172" s="3">
        <v>242.55517405251101</v>
      </c>
      <c r="L172" s="3">
        <v>87.206963059114798</v>
      </c>
      <c r="M172" s="3">
        <v>5.6732281311138602</v>
      </c>
      <c r="N172" s="3">
        <v>68.788759451452407</v>
      </c>
      <c r="O172" s="3">
        <v>6.5394779609027998</v>
      </c>
      <c r="P172" s="3">
        <v>64.2747762950777</v>
      </c>
      <c r="Q172" s="3">
        <v>74.911792907356997</v>
      </c>
      <c r="R172" s="3" t="str">
        <f>IF(Table1[[#This Row],[Nutrition_Quality_Score]]&lt;60, "Poor Nutrition",IF(AND(Table1[[#This Row],[Nutrition_Quality_Score]]&gt;=60,Table1[[#This Row],[Nutrition_Quality_Score]]&lt;=80),"Average Nutrition", "Good Nutrition"))</f>
        <v>Average Nutrition</v>
      </c>
      <c r="S172">
        <v>1</v>
      </c>
      <c r="T172" t="str">
        <f>IF(Table1[[#This Row],[Warmup_Routine_Adherence]]=1, "Adherent","Non-Adherent")</f>
        <v>Adherent</v>
      </c>
      <c r="U172">
        <v>1</v>
      </c>
      <c r="V172" t="str">
        <f>IF(Table1[[#This Row],[Injury_Next_Season]]=1, "Injury","No Injury")</f>
        <v>Injury</v>
      </c>
      <c r="W172" s="3">
        <v>20.589665131974002</v>
      </c>
    </row>
    <row r="173" spans="1:23" x14ac:dyDescent="0.25">
      <c r="A173" s="6">
        <v>20</v>
      </c>
      <c r="B173" s="8" t="str">
        <f>CONCATENATE(Table1[[#This Row],[Age]]," ", "years")</f>
        <v>20 years</v>
      </c>
      <c r="C173">
        <v>169</v>
      </c>
      <c r="D173">
        <v>71</v>
      </c>
      <c r="E173" t="s">
        <v>19</v>
      </c>
      <c r="F173" s="3">
        <v>10.853029291355799</v>
      </c>
      <c r="G173" s="3">
        <v>8</v>
      </c>
      <c r="H173">
        <v>2</v>
      </c>
      <c r="I173" s="3">
        <v>82.674862835837303</v>
      </c>
      <c r="J173" s="3">
        <v>81.351429451076697</v>
      </c>
      <c r="K173" s="3">
        <v>260.94694373884698</v>
      </c>
      <c r="L173" s="3">
        <v>87.516277502945897</v>
      </c>
      <c r="M173" s="3">
        <v>5.6217091532510697</v>
      </c>
      <c r="N173" s="3">
        <v>98.660158513509899</v>
      </c>
      <c r="O173" s="3">
        <v>7.35589342229291</v>
      </c>
      <c r="P173" s="3">
        <v>58.357740121422502</v>
      </c>
      <c r="Q173" s="3">
        <v>92.822959936431403</v>
      </c>
      <c r="R173" s="3" t="str">
        <f>IF(Table1[[#This Row],[Nutrition_Quality_Score]]&lt;60, "Poor Nutrition",IF(AND(Table1[[#This Row],[Nutrition_Quality_Score]]&gt;=60,Table1[[#This Row],[Nutrition_Quality_Score]]&lt;=80),"Average Nutrition", "Good Nutrition"))</f>
        <v>Good Nutrition</v>
      </c>
      <c r="S173">
        <v>1</v>
      </c>
      <c r="T173" t="str">
        <f>IF(Table1[[#This Row],[Warmup_Routine_Adherence]]=1, "Adherent","Non-Adherent")</f>
        <v>Adherent</v>
      </c>
      <c r="U173">
        <v>0</v>
      </c>
      <c r="V173" t="str">
        <f>IF(Table1[[#This Row],[Injury_Next_Season]]=1, "Injury","No Injury")</f>
        <v>No Injury</v>
      </c>
      <c r="W173" s="3">
        <v>24.85907356185</v>
      </c>
    </row>
    <row r="174" spans="1:23" x14ac:dyDescent="0.25">
      <c r="A174" s="6">
        <v>20</v>
      </c>
      <c r="B174" s="8" t="str">
        <f>CONCATENATE(Table1[[#This Row],[Age]]," ", "years")</f>
        <v>20 years</v>
      </c>
      <c r="C174">
        <v>175</v>
      </c>
      <c r="D174">
        <v>77</v>
      </c>
      <c r="E174" t="s">
        <v>21</v>
      </c>
      <c r="F174" s="3">
        <v>13.0323300372246</v>
      </c>
      <c r="G174" s="3">
        <v>17</v>
      </c>
      <c r="H174">
        <v>4</v>
      </c>
      <c r="I174" s="3">
        <v>81.777716898004698</v>
      </c>
      <c r="J174" s="3">
        <v>83.396730421278505</v>
      </c>
      <c r="K174" s="3">
        <v>261.963600692353</v>
      </c>
      <c r="L174" s="3">
        <v>66.607388717734196</v>
      </c>
      <c r="M174" s="3">
        <v>5.9281223684148499</v>
      </c>
      <c r="N174" s="3">
        <v>79.749144500691202</v>
      </c>
      <c r="O174" s="3">
        <v>6.50968858839747</v>
      </c>
      <c r="P174" s="3">
        <v>71.771713820970206</v>
      </c>
      <c r="Q174" s="3">
        <v>71.710180829500302</v>
      </c>
      <c r="R174" s="3" t="str">
        <f>IF(Table1[[#This Row],[Nutrition_Quality_Score]]&lt;60, "Poor Nutrition",IF(AND(Table1[[#This Row],[Nutrition_Quality_Score]]&gt;=60,Table1[[#This Row],[Nutrition_Quality_Score]]&lt;=80),"Average Nutrition", "Good Nutrition"))</f>
        <v>Average Nutrition</v>
      </c>
      <c r="S174">
        <v>1</v>
      </c>
      <c r="T174" t="str">
        <f>IF(Table1[[#This Row],[Warmup_Routine_Adherence]]=1, "Adherent","Non-Adherent")</f>
        <v>Adherent</v>
      </c>
      <c r="U174">
        <v>1</v>
      </c>
      <c r="V174" t="str">
        <f>IF(Table1[[#This Row],[Injury_Next_Season]]=1, "Injury","No Injury")</f>
        <v>Injury</v>
      </c>
      <c r="W174" s="3">
        <v>25.1428571428571</v>
      </c>
    </row>
    <row r="175" spans="1:23" x14ac:dyDescent="0.25">
      <c r="A175" s="6">
        <v>21</v>
      </c>
      <c r="B175" s="8" t="str">
        <f>CONCATENATE(Table1[[#This Row],[Age]]," ", "years")</f>
        <v>21 years</v>
      </c>
      <c r="C175">
        <v>168</v>
      </c>
      <c r="D175">
        <v>62</v>
      </c>
      <c r="E175" t="s">
        <v>20</v>
      </c>
      <c r="F175" s="3">
        <v>7.7692799865842801</v>
      </c>
      <c r="G175" s="3">
        <v>8</v>
      </c>
      <c r="H175">
        <v>2</v>
      </c>
      <c r="I175" s="3">
        <v>75.878285385589194</v>
      </c>
      <c r="J175" s="3">
        <v>78.663227424174295</v>
      </c>
      <c r="K175" s="3">
        <v>256.69488755521502</v>
      </c>
      <c r="L175" s="3">
        <v>77.253348280647998</v>
      </c>
      <c r="M175" s="3">
        <v>5.7233322051450104</v>
      </c>
      <c r="N175" s="3">
        <v>87.559480182777506</v>
      </c>
      <c r="O175" s="3">
        <v>6.4440629510523602</v>
      </c>
      <c r="P175" s="3">
        <v>51.529565147539998</v>
      </c>
      <c r="Q175" s="3">
        <v>66.492539704291204</v>
      </c>
      <c r="R175" s="3" t="str">
        <f>IF(Table1[[#This Row],[Nutrition_Quality_Score]]&lt;60, "Poor Nutrition",IF(AND(Table1[[#This Row],[Nutrition_Quality_Score]]&gt;=60,Table1[[#This Row],[Nutrition_Quality_Score]]&lt;=80),"Average Nutrition", "Good Nutrition"))</f>
        <v>Average Nutrition</v>
      </c>
      <c r="S175">
        <v>1</v>
      </c>
      <c r="T175" t="str">
        <f>IF(Table1[[#This Row],[Warmup_Routine_Adherence]]=1, "Adherent","Non-Adherent")</f>
        <v>Adherent</v>
      </c>
      <c r="U175">
        <v>1</v>
      </c>
      <c r="V175" t="str">
        <f>IF(Table1[[#This Row],[Injury_Next_Season]]=1, "Injury","No Injury")</f>
        <v>Injury</v>
      </c>
      <c r="W175" s="3">
        <v>21.9671201814059</v>
      </c>
    </row>
    <row r="176" spans="1:23" x14ac:dyDescent="0.25">
      <c r="A176" s="6">
        <v>21</v>
      </c>
      <c r="B176" s="8" t="str">
        <f>CONCATENATE(Table1[[#This Row],[Age]]," ", "years")</f>
        <v>21 years</v>
      </c>
      <c r="C176">
        <v>168</v>
      </c>
      <c r="D176">
        <v>79</v>
      </c>
      <c r="E176" t="s">
        <v>22</v>
      </c>
      <c r="F176" s="3">
        <v>7.6519104274256904</v>
      </c>
      <c r="G176" s="3">
        <v>30</v>
      </c>
      <c r="H176">
        <v>0</v>
      </c>
      <c r="I176" s="3">
        <v>86.738163389415405</v>
      </c>
      <c r="J176" s="3">
        <v>73.095399377329002</v>
      </c>
      <c r="K176" s="3">
        <v>246.43941598126401</v>
      </c>
      <c r="L176" s="3">
        <v>87.305349780752394</v>
      </c>
      <c r="M176" s="3">
        <v>6.2524908374078896</v>
      </c>
      <c r="N176" s="3">
        <v>76.1393569317501</v>
      </c>
      <c r="O176" s="3">
        <v>7.6543432648306</v>
      </c>
      <c r="P176" s="3">
        <v>62.589681872358099</v>
      </c>
      <c r="Q176" s="3">
        <v>67.124300317085996</v>
      </c>
      <c r="R176" s="3" t="str">
        <f>IF(Table1[[#This Row],[Nutrition_Quality_Score]]&lt;60, "Poor Nutrition",IF(AND(Table1[[#This Row],[Nutrition_Quality_Score]]&gt;=60,Table1[[#This Row],[Nutrition_Quality_Score]]&lt;=80),"Average Nutrition", "Good Nutrition"))</f>
        <v>Average Nutrition</v>
      </c>
      <c r="S176">
        <v>0</v>
      </c>
      <c r="T176" t="str">
        <f>IF(Table1[[#This Row],[Warmup_Routine_Adherence]]=1, "Adherent","Non-Adherent")</f>
        <v>Non-Adherent</v>
      </c>
      <c r="U176">
        <v>1</v>
      </c>
      <c r="V176" t="str">
        <f>IF(Table1[[#This Row],[Injury_Next_Season]]=1, "Injury","No Injury")</f>
        <v>Injury</v>
      </c>
      <c r="W176" s="3">
        <v>27.9903628117913</v>
      </c>
    </row>
    <row r="177" spans="1:23" x14ac:dyDescent="0.25">
      <c r="A177" s="6">
        <v>22</v>
      </c>
      <c r="B177" s="8" t="str">
        <f>CONCATENATE(Table1[[#This Row],[Age]]," ", "years")</f>
        <v>22 years</v>
      </c>
      <c r="C177">
        <v>185</v>
      </c>
      <c r="D177">
        <v>70</v>
      </c>
      <c r="E177" t="s">
        <v>19</v>
      </c>
      <c r="F177" s="3">
        <v>7.4338187624040097</v>
      </c>
      <c r="G177" s="3">
        <v>38</v>
      </c>
      <c r="H177">
        <v>2</v>
      </c>
      <c r="I177" s="3">
        <v>77.504852267711101</v>
      </c>
      <c r="J177" s="3">
        <v>89.495345016246901</v>
      </c>
      <c r="K177" s="3">
        <v>247.20905226806201</v>
      </c>
      <c r="L177" s="3">
        <v>87.748859368266494</v>
      </c>
      <c r="M177" s="3">
        <v>5.7013146183029102</v>
      </c>
      <c r="N177" s="3">
        <v>86.492295763904906</v>
      </c>
      <c r="O177" s="3">
        <v>8.1276329592959407</v>
      </c>
      <c r="P177" s="3">
        <v>36.555919780428198</v>
      </c>
      <c r="Q177" s="3">
        <v>83.765095771244503</v>
      </c>
      <c r="R177" s="3" t="str">
        <f>IF(Table1[[#This Row],[Nutrition_Quality_Score]]&lt;60, "Poor Nutrition",IF(AND(Table1[[#This Row],[Nutrition_Quality_Score]]&gt;=60,Table1[[#This Row],[Nutrition_Quality_Score]]&lt;=80),"Average Nutrition", "Good Nutrition"))</f>
        <v>Good Nutrition</v>
      </c>
      <c r="S177">
        <v>1</v>
      </c>
      <c r="T177" t="str">
        <f>IF(Table1[[#This Row],[Warmup_Routine_Adherence]]=1, "Adherent","Non-Adherent")</f>
        <v>Adherent</v>
      </c>
      <c r="U177">
        <v>0</v>
      </c>
      <c r="V177" t="str">
        <f>IF(Table1[[#This Row],[Injury_Next_Season]]=1, "Injury","No Injury")</f>
        <v>No Injury</v>
      </c>
      <c r="W177" s="3">
        <v>20.452885317750098</v>
      </c>
    </row>
    <row r="178" spans="1:23" x14ac:dyDescent="0.25">
      <c r="A178" s="6">
        <v>21</v>
      </c>
      <c r="B178" s="8" t="str">
        <f>CONCATENATE(Table1[[#This Row],[Age]]," ", "years")</f>
        <v>21 years</v>
      </c>
      <c r="C178">
        <v>175</v>
      </c>
      <c r="D178">
        <v>88</v>
      </c>
      <c r="E178" t="s">
        <v>21</v>
      </c>
      <c r="F178" s="3">
        <v>9.9849996891628106</v>
      </c>
      <c r="G178" s="3">
        <v>21</v>
      </c>
      <c r="H178">
        <v>1</v>
      </c>
      <c r="I178" s="3">
        <v>72.903282201382098</v>
      </c>
      <c r="J178" s="3">
        <v>75.320454488199502</v>
      </c>
      <c r="K178" s="3">
        <v>255.22399073843101</v>
      </c>
      <c r="L178" s="3">
        <v>79.845158683486105</v>
      </c>
      <c r="M178" s="3">
        <v>5.1640203786908696</v>
      </c>
      <c r="N178" s="3">
        <v>68.890637724417999</v>
      </c>
      <c r="O178" s="3">
        <v>7.2501134808544698</v>
      </c>
      <c r="P178" s="3">
        <v>54.310488787881397</v>
      </c>
      <c r="Q178" s="3">
        <v>62.287429910731099</v>
      </c>
      <c r="R178" s="3" t="str">
        <f>IF(Table1[[#This Row],[Nutrition_Quality_Score]]&lt;60, "Poor Nutrition",IF(AND(Table1[[#This Row],[Nutrition_Quality_Score]]&gt;=60,Table1[[#This Row],[Nutrition_Quality_Score]]&lt;=80),"Average Nutrition", "Good Nutrition"))</f>
        <v>Average Nutrition</v>
      </c>
      <c r="S178">
        <v>1</v>
      </c>
      <c r="T178" t="str">
        <f>IF(Table1[[#This Row],[Warmup_Routine_Adherence]]=1, "Adherent","Non-Adherent")</f>
        <v>Adherent</v>
      </c>
      <c r="U178">
        <v>1</v>
      </c>
      <c r="V178" t="str">
        <f>IF(Table1[[#This Row],[Injury_Next_Season]]=1, "Injury","No Injury")</f>
        <v>Injury</v>
      </c>
      <c r="W178" s="3">
        <v>28.734693877550999</v>
      </c>
    </row>
    <row r="179" spans="1:23" x14ac:dyDescent="0.25">
      <c r="A179" s="6">
        <v>24</v>
      </c>
      <c r="B179" s="8" t="str">
        <f>CONCATENATE(Table1[[#This Row],[Age]]," ", "years")</f>
        <v>24 years</v>
      </c>
      <c r="C179">
        <v>185</v>
      </c>
      <c r="D179">
        <v>81</v>
      </c>
      <c r="E179" t="s">
        <v>20</v>
      </c>
      <c r="F179" s="3">
        <v>11.2193231329938</v>
      </c>
      <c r="G179" s="3">
        <v>13</v>
      </c>
      <c r="H179">
        <v>1</v>
      </c>
      <c r="I179" s="3">
        <v>67.340438980932504</v>
      </c>
      <c r="J179" s="3">
        <v>80.674693998512097</v>
      </c>
      <c r="K179" s="3">
        <v>244.73913603337701</v>
      </c>
      <c r="L179" s="3">
        <v>90.322484454889903</v>
      </c>
      <c r="M179" s="3">
        <v>6.2474148328731403</v>
      </c>
      <c r="N179" s="3">
        <v>78.930113138423707</v>
      </c>
      <c r="O179" s="3">
        <v>7.1686206135553201</v>
      </c>
      <c r="P179" s="3">
        <v>39.994668133969398</v>
      </c>
      <c r="Q179" s="3">
        <v>83.100103791469394</v>
      </c>
      <c r="R179" s="3" t="str">
        <f>IF(Table1[[#This Row],[Nutrition_Quality_Score]]&lt;60, "Poor Nutrition",IF(AND(Table1[[#This Row],[Nutrition_Quality_Score]]&gt;=60,Table1[[#This Row],[Nutrition_Quality_Score]]&lt;=80),"Average Nutrition", "Good Nutrition"))</f>
        <v>Good Nutrition</v>
      </c>
      <c r="S179">
        <v>1</v>
      </c>
      <c r="T179" t="str">
        <f>IF(Table1[[#This Row],[Warmup_Routine_Adherence]]=1, "Adherent","Non-Adherent")</f>
        <v>Adherent</v>
      </c>
      <c r="U179">
        <v>0</v>
      </c>
      <c r="V179" t="str">
        <f>IF(Table1[[#This Row],[Injury_Next_Season]]=1, "Injury","No Injury")</f>
        <v>No Injury</v>
      </c>
      <c r="W179" s="3">
        <v>23.6669101533966</v>
      </c>
    </row>
    <row r="180" spans="1:23" x14ac:dyDescent="0.25">
      <c r="A180" s="6">
        <v>23</v>
      </c>
      <c r="B180" s="8" t="str">
        <f>CONCATENATE(Table1[[#This Row],[Age]]," ", "years")</f>
        <v>23 years</v>
      </c>
      <c r="C180">
        <v>181</v>
      </c>
      <c r="D180">
        <v>65</v>
      </c>
      <c r="E180" t="s">
        <v>20</v>
      </c>
      <c r="F180" s="3">
        <v>6.7651157022477504</v>
      </c>
      <c r="G180" s="3">
        <v>36</v>
      </c>
      <c r="H180">
        <v>2</v>
      </c>
      <c r="I180" s="3">
        <v>83.736336878868798</v>
      </c>
      <c r="J180" s="3">
        <v>80.393889374267104</v>
      </c>
      <c r="K180" s="3">
        <v>234.65737411558499</v>
      </c>
      <c r="L180" s="3">
        <v>88.733625295210501</v>
      </c>
      <c r="M180" s="3">
        <v>6.3222947302222403</v>
      </c>
      <c r="N180" s="3">
        <v>90.248185111832896</v>
      </c>
      <c r="O180" s="3">
        <v>7.2932931289987604</v>
      </c>
      <c r="P180" s="3">
        <v>50.2916288911821</v>
      </c>
      <c r="Q180" s="3">
        <v>74.618911499499205</v>
      </c>
      <c r="R180" s="3" t="str">
        <f>IF(Table1[[#This Row],[Nutrition_Quality_Score]]&lt;60, "Poor Nutrition",IF(AND(Table1[[#This Row],[Nutrition_Quality_Score]]&gt;=60,Table1[[#This Row],[Nutrition_Quality_Score]]&lt;=80),"Average Nutrition", "Good Nutrition"))</f>
        <v>Average Nutrition</v>
      </c>
      <c r="S180">
        <v>1</v>
      </c>
      <c r="T180" t="str">
        <f>IF(Table1[[#This Row],[Warmup_Routine_Adherence]]=1, "Adherent","Non-Adherent")</f>
        <v>Adherent</v>
      </c>
      <c r="U180">
        <v>0</v>
      </c>
      <c r="V180" t="str">
        <f>IF(Table1[[#This Row],[Injury_Next_Season]]=1, "Injury","No Injury")</f>
        <v>No Injury</v>
      </c>
      <c r="W180" s="3">
        <v>19.840664204389299</v>
      </c>
    </row>
    <row r="181" spans="1:23" x14ac:dyDescent="0.25">
      <c r="A181" s="6">
        <v>24</v>
      </c>
      <c r="B181" s="8" t="str">
        <f>CONCATENATE(Table1[[#This Row],[Age]]," ", "years")</f>
        <v>24 years</v>
      </c>
      <c r="C181">
        <v>169</v>
      </c>
      <c r="D181">
        <v>81</v>
      </c>
      <c r="E181" t="s">
        <v>19</v>
      </c>
      <c r="F181" s="3">
        <v>12.5327466886105</v>
      </c>
      <c r="G181" s="3">
        <v>26</v>
      </c>
      <c r="H181">
        <v>0</v>
      </c>
      <c r="I181" s="3">
        <v>79.779675183195394</v>
      </c>
      <c r="J181" s="3">
        <v>75.500358467405505</v>
      </c>
      <c r="K181" s="3">
        <v>225.99619366966999</v>
      </c>
      <c r="L181" s="3">
        <v>78.994978255875296</v>
      </c>
      <c r="M181" s="3">
        <v>6.0216616954623801</v>
      </c>
      <c r="N181" s="3">
        <v>91.844107610192907</v>
      </c>
      <c r="O181" s="3">
        <v>7.4189646557046496</v>
      </c>
      <c r="P181" s="3">
        <v>43.4136594273713</v>
      </c>
      <c r="Q181" s="3">
        <v>82.106646810679507</v>
      </c>
      <c r="R181" s="3" t="str">
        <f>IF(Table1[[#This Row],[Nutrition_Quality_Score]]&lt;60, "Poor Nutrition",IF(AND(Table1[[#This Row],[Nutrition_Quality_Score]]&gt;=60,Table1[[#This Row],[Nutrition_Quality_Score]]&lt;=80),"Average Nutrition", "Good Nutrition"))</f>
        <v>Good Nutrition</v>
      </c>
      <c r="S181">
        <v>1</v>
      </c>
      <c r="T181" t="str">
        <f>IF(Table1[[#This Row],[Warmup_Routine_Adherence]]=1, "Adherent","Non-Adherent")</f>
        <v>Adherent</v>
      </c>
      <c r="U181">
        <v>0</v>
      </c>
      <c r="V181" t="str">
        <f>IF(Table1[[#This Row],[Injury_Next_Season]]=1, "Injury","No Injury")</f>
        <v>No Injury</v>
      </c>
      <c r="W181" s="3">
        <v>28.360351528307799</v>
      </c>
    </row>
    <row r="182" spans="1:23" x14ac:dyDescent="0.25">
      <c r="A182" s="6">
        <v>21</v>
      </c>
      <c r="B182" s="8" t="str">
        <f>CONCATENATE(Table1[[#This Row],[Age]]," ", "years")</f>
        <v>21 years</v>
      </c>
      <c r="C182">
        <v>181</v>
      </c>
      <c r="D182">
        <v>73</v>
      </c>
      <c r="E182" t="s">
        <v>19</v>
      </c>
      <c r="F182" s="3">
        <v>7.9966471413571396</v>
      </c>
      <c r="G182" s="3">
        <v>9</v>
      </c>
      <c r="H182">
        <v>1</v>
      </c>
      <c r="I182" s="3">
        <v>64.063166084805204</v>
      </c>
      <c r="J182" s="3">
        <v>83.9027845847707</v>
      </c>
      <c r="K182" s="3">
        <v>226.068742585465</v>
      </c>
      <c r="L182" s="3">
        <v>75.115918047624206</v>
      </c>
      <c r="M182" s="3">
        <v>6.07340425624965</v>
      </c>
      <c r="N182" s="3">
        <v>95.009483111845697</v>
      </c>
      <c r="O182" s="3">
        <v>7.2311748362265904</v>
      </c>
      <c r="P182" s="3">
        <v>45.598647401592501</v>
      </c>
      <c r="Q182" s="3">
        <v>74.398061520999505</v>
      </c>
      <c r="R182" s="3" t="str">
        <f>IF(Table1[[#This Row],[Nutrition_Quality_Score]]&lt;60, "Poor Nutrition",IF(AND(Table1[[#This Row],[Nutrition_Quality_Score]]&gt;=60,Table1[[#This Row],[Nutrition_Quality_Score]]&lt;=80),"Average Nutrition", "Good Nutrition"))</f>
        <v>Average Nutrition</v>
      </c>
      <c r="S182">
        <v>1</v>
      </c>
      <c r="T182" t="str">
        <f>IF(Table1[[#This Row],[Warmup_Routine_Adherence]]=1, "Adherent","Non-Adherent")</f>
        <v>Adherent</v>
      </c>
      <c r="U182">
        <v>0</v>
      </c>
      <c r="V182" t="str">
        <f>IF(Table1[[#This Row],[Injury_Next_Season]]=1, "Injury","No Injury")</f>
        <v>No Injury</v>
      </c>
      <c r="W182" s="3">
        <v>22.282592106468002</v>
      </c>
    </row>
    <row r="183" spans="1:23" x14ac:dyDescent="0.25">
      <c r="A183" s="6">
        <v>22</v>
      </c>
      <c r="B183" s="8" t="str">
        <f>CONCATENATE(Table1[[#This Row],[Age]]," ", "years")</f>
        <v>22 years</v>
      </c>
      <c r="C183">
        <v>177</v>
      </c>
      <c r="D183">
        <v>80</v>
      </c>
      <c r="E183" t="s">
        <v>19</v>
      </c>
      <c r="F183" s="3">
        <v>11.9387119162968</v>
      </c>
      <c r="G183" s="3">
        <v>16</v>
      </c>
      <c r="H183">
        <v>2</v>
      </c>
      <c r="I183" s="3">
        <v>79.833843931674394</v>
      </c>
      <c r="J183" s="3">
        <v>73.140707120400094</v>
      </c>
      <c r="K183" s="3">
        <v>225.260533000788</v>
      </c>
      <c r="L183" s="3">
        <v>85.844022010490903</v>
      </c>
      <c r="M183" s="3">
        <v>6.1362578608400202</v>
      </c>
      <c r="N183" s="3">
        <v>82.087583002099805</v>
      </c>
      <c r="O183" s="3">
        <v>8.0307868817214807</v>
      </c>
      <c r="P183" s="3">
        <v>58.722247312981501</v>
      </c>
      <c r="Q183" s="3">
        <v>65.111486713022799</v>
      </c>
      <c r="R183" s="3" t="str">
        <f>IF(Table1[[#This Row],[Nutrition_Quality_Score]]&lt;60, "Poor Nutrition",IF(AND(Table1[[#This Row],[Nutrition_Quality_Score]]&gt;=60,Table1[[#This Row],[Nutrition_Quality_Score]]&lt;=80),"Average Nutrition", "Good Nutrition"))</f>
        <v>Average Nutrition</v>
      </c>
      <c r="S183">
        <v>1</v>
      </c>
      <c r="T183" t="str">
        <f>IF(Table1[[#This Row],[Warmup_Routine_Adherence]]=1, "Adherent","Non-Adherent")</f>
        <v>Adherent</v>
      </c>
      <c r="U183">
        <v>0</v>
      </c>
      <c r="V183" t="str">
        <f>IF(Table1[[#This Row],[Injury_Next_Season]]=1, "Injury","No Injury")</f>
        <v>No Injury</v>
      </c>
      <c r="W183" s="3">
        <v>25.5354463915222</v>
      </c>
    </row>
    <row r="184" spans="1:23" x14ac:dyDescent="0.25">
      <c r="A184" s="6">
        <v>22</v>
      </c>
      <c r="B184" s="8" t="str">
        <f>CONCATENATE(Table1[[#This Row],[Age]]," ", "years")</f>
        <v>22 years</v>
      </c>
      <c r="C184">
        <v>173</v>
      </c>
      <c r="D184">
        <v>90</v>
      </c>
      <c r="E184" t="s">
        <v>21</v>
      </c>
      <c r="F184" s="3">
        <v>9.7248764478894305</v>
      </c>
      <c r="G184" s="3">
        <v>17</v>
      </c>
      <c r="H184">
        <v>1</v>
      </c>
      <c r="I184" s="3">
        <v>77.127676229974099</v>
      </c>
      <c r="J184" s="3">
        <v>70.400973705904605</v>
      </c>
      <c r="K184" s="3">
        <v>264.18149503135402</v>
      </c>
      <c r="L184" s="3">
        <v>80.555536682904702</v>
      </c>
      <c r="M184" s="3">
        <v>5.8608763064864</v>
      </c>
      <c r="N184" s="3">
        <v>78.7791640761331</v>
      </c>
      <c r="O184" s="3">
        <v>5.48011807956685</v>
      </c>
      <c r="P184" s="3">
        <v>50.865222104192497</v>
      </c>
      <c r="Q184" s="3">
        <v>66.284114763239003</v>
      </c>
      <c r="R184" s="3" t="str">
        <f>IF(Table1[[#This Row],[Nutrition_Quality_Score]]&lt;60, "Poor Nutrition",IF(AND(Table1[[#This Row],[Nutrition_Quality_Score]]&gt;=60,Table1[[#This Row],[Nutrition_Quality_Score]]&lt;=80),"Average Nutrition", "Good Nutrition"))</f>
        <v>Average Nutrition</v>
      </c>
      <c r="S184">
        <v>1</v>
      </c>
      <c r="T184" t="str">
        <f>IF(Table1[[#This Row],[Warmup_Routine_Adherence]]=1, "Adherent","Non-Adherent")</f>
        <v>Adherent</v>
      </c>
      <c r="U184">
        <v>1</v>
      </c>
      <c r="V184" t="str">
        <f>IF(Table1[[#This Row],[Injury_Next_Season]]=1, "Injury","No Injury")</f>
        <v>Injury</v>
      </c>
      <c r="W184" s="3">
        <v>30.071168431955599</v>
      </c>
    </row>
    <row r="185" spans="1:23" x14ac:dyDescent="0.25">
      <c r="A185" s="6">
        <v>23</v>
      </c>
      <c r="B185" s="8" t="str">
        <f>CONCATENATE(Table1[[#This Row],[Age]]," ", "years")</f>
        <v>23 years</v>
      </c>
      <c r="C185">
        <v>171</v>
      </c>
      <c r="D185">
        <v>84</v>
      </c>
      <c r="E185" t="s">
        <v>22</v>
      </c>
      <c r="F185" s="3">
        <v>9.9226761395508998</v>
      </c>
      <c r="G185" s="3">
        <v>28</v>
      </c>
      <c r="H185">
        <v>3</v>
      </c>
      <c r="I185" s="3">
        <v>84.628538290260394</v>
      </c>
      <c r="J185" s="3">
        <v>85.828312641318206</v>
      </c>
      <c r="K185" s="3">
        <v>278.30546154567298</v>
      </c>
      <c r="L185" s="3">
        <v>83.688467222679293</v>
      </c>
      <c r="M185" s="3">
        <v>6.5613527998475103</v>
      </c>
      <c r="N185" s="3">
        <v>61.696508975431897</v>
      </c>
      <c r="O185" s="3">
        <v>8.4598413842906908</v>
      </c>
      <c r="P185" s="3">
        <v>48.535505591833697</v>
      </c>
      <c r="Q185" s="3">
        <v>81.001454501435006</v>
      </c>
      <c r="R185" s="3" t="str">
        <f>IF(Table1[[#This Row],[Nutrition_Quality_Score]]&lt;60, "Poor Nutrition",IF(AND(Table1[[#This Row],[Nutrition_Quality_Score]]&gt;=60,Table1[[#This Row],[Nutrition_Quality_Score]]&lt;=80),"Average Nutrition", "Good Nutrition"))</f>
        <v>Good Nutrition</v>
      </c>
      <c r="S185">
        <v>1</v>
      </c>
      <c r="T185" t="str">
        <f>IF(Table1[[#This Row],[Warmup_Routine_Adherence]]=1, "Adherent","Non-Adherent")</f>
        <v>Adherent</v>
      </c>
      <c r="U185">
        <v>0</v>
      </c>
      <c r="V185" t="str">
        <f>IF(Table1[[#This Row],[Injury_Next_Season]]=1, "Injury","No Injury")</f>
        <v>No Injury</v>
      </c>
      <c r="W185" s="3">
        <v>28.726787729557799</v>
      </c>
    </row>
    <row r="186" spans="1:23" x14ac:dyDescent="0.25">
      <c r="A186" s="6">
        <v>19</v>
      </c>
      <c r="B186" s="8" t="str">
        <f>CONCATENATE(Table1[[#This Row],[Age]]," ", "years")</f>
        <v>19 years</v>
      </c>
      <c r="C186">
        <v>185</v>
      </c>
      <c r="D186">
        <v>95</v>
      </c>
      <c r="E186" t="s">
        <v>20</v>
      </c>
      <c r="F186" s="3">
        <v>8.9775096531966803</v>
      </c>
      <c r="G186" s="3">
        <v>39</v>
      </c>
      <c r="H186">
        <v>1</v>
      </c>
      <c r="I186" s="3">
        <v>83.245187251597997</v>
      </c>
      <c r="J186" s="3">
        <v>83.289210842857898</v>
      </c>
      <c r="K186" s="3">
        <v>235.81565309246</v>
      </c>
      <c r="L186" s="3">
        <v>90.062573252206903</v>
      </c>
      <c r="M186" s="3">
        <v>6.4260932473778496</v>
      </c>
      <c r="N186" s="3">
        <v>73.444329948780705</v>
      </c>
      <c r="O186" s="3">
        <v>7.5660169488472899</v>
      </c>
      <c r="P186" s="3">
        <v>52.042536911939699</v>
      </c>
      <c r="Q186" s="3">
        <v>64.504010354959703</v>
      </c>
      <c r="R186" s="3" t="str">
        <f>IF(Table1[[#This Row],[Nutrition_Quality_Score]]&lt;60, "Poor Nutrition",IF(AND(Table1[[#This Row],[Nutrition_Quality_Score]]&gt;=60,Table1[[#This Row],[Nutrition_Quality_Score]]&lt;=80),"Average Nutrition", "Good Nutrition"))</f>
        <v>Average Nutrition</v>
      </c>
      <c r="S186">
        <v>0</v>
      </c>
      <c r="T186" t="str">
        <f>IF(Table1[[#This Row],[Warmup_Routine_Adherence]]=1, "Adherent","Non-Adherent")</f>
        <v>Non-Adherent</v>
      </c>
      <c r="U186">
        <v>0</v>
      </c>
      <c r="V186" t="str">
        <f>IF(Table1[[#This Row],[Injury_Next_Season]]=1, "Injury","No Injury")</f>
        <v>No Injury</v>
      </c>
      <c r="W186" s="3">
        <v>27.7574872169466</v>
      </c>
    </row>
    <row r="187" spans="1:23" x14ac:dyDescent="0.25">
      <c r="A187" s="6">
        <v>19</v>
      </c>
      <c r="B187" s="8" t="str">
        <f>CONCATENATE(Table1[[#This Row],[Age]]," ", "years")</f>
        <v>19 years</v>
      </c>
      <c r="C187">
        <v>164</v>
      </c>
      <c r="D187">
        <v>83</v>
      </c>
      <c r="E187" t="s">
        <v>22</v>
      </c>
      <c r="F187" s="3">
        <v>10.4821394258379</v>
      </c>
      <c r="G187" s="3">
        <v>13</v>
      </c>
      <c r="H187">
        <v>1</v>
      </c>
      <c r="I187" s="3">
        <v>62.283983954021302</v>
      </c>
      <c r="J187" s="3">
        <v>76.5527645714686</v>
      </c>
      <c r="K187" s="3">
        <v>255.91276458314701</v>
      </c>
      <c r="L187" s="3">
        <v>74.417914898335596</v>
      </c>
      <c r="M187" s="3">
        <v>5.6421325385519703</v>
      </c>
      <c r="N187" s="3">
        <v>62.530086187688397</v>
      </c>
      <c r="O187" s="3">
        <v>7.9565980078663898</v>
      </c>
      <c r="P187" s="3">
        <v>57.066785712362702</v>
      </c>
      <c r="Q187" s="3">
        <v>78.598063427804604</v>
      </c>
      <c r="R187" s="3" t="str">
        <f>IF(Table1[[#This Row],[Nutrition_Quality_Score]]&lt;60, "Poor Nutrition",IF(AND(Table1[[#This Row],[Nutrition_Quality_Score]]&gt;=60,Table1[[#This Row],[Nutrition_Quality_Score]]&lt;=80),"Average Nutrition", "Good Nutrition"))</f>
        <v>Average Nutrition</v>
      </c>
      <c r="S187">
        <v>1</v>
      </c>
      <c r="T187" t="str">
        <f>IF(Table1[[#This Row],[Warmup_Routine_Adherence]]=1, "Adherent","Non-Adherent")</f>
        <v>Adherent</v>
      </c>
      <c r="U187">
        <v>1</v>
      </c>
      <c r="V187" t="str">
        <f>IF(Table1[[#This Row],[Injury_Next_Season]]=1, "Injury","No Injury")</f>
        <v>Injury</v>
      </c>
      <c r="W187" s="3">
        <v>30.859607376561499</v>
      </c>
    </row>
    <row r="188" spans="1:23" x14ac:dyDescent="0.25">
      <c r="A188" s="6">
        <v>24</v>
      </c>
      <c r="B188" s="8" t="str">
        <f>CONCATENATE(Table1[[#This Row],[Age]]," ", "years")</f>
        <v>24 years</v>
      </c>
      <c r="C188">
        <v>187</v>
      </c>
      <c r="D188">
        <v>79</v>
      </c>
      <c r="E188" t="s">
        <v>20</v>
      </c>
      <c r="F188" s="3">
        <v>5</v>
      </c>
      <c r="G188" s="3">
        <v>29</v>
      </c>
      <c r="H188">
        <v>2</v>
      </c>
      <c r="I188" s="3">
        <v>65.9582276097061</v>
      </c>
      <c r="J188" s="3">
        <v>80.361540106394003</v>
      </c>
      <c r="K188" s="3">
        <v>257.76215144612303</v>
      </c>
      <c r="L188" s="3">
        <v>88.118947273762302</v>
      </c>
      <c r="M188" s="3">
        <v>6.2630742292867598</v>
      </c>
      <c r="N188" s="3">
        <v>95.446161049334705</v>
      </c>
      <c r="O188" s="3">
        <v>9.0390299436247901</v>
      </c>
      <c r="P188" s="3">
        <v>51.839140156568597</v>
      </c>
      <c r="Q188" s="3">
        <v>63.8132955167723</v>
      </c>
      <c r="R188" s="3" t="str">
        <f>IF(Table1[[#This Row],[Nutrition_Quality_Score]]&lt;60, "Poor Nutrition",IF(AND(Table1[[#This Row],[Nutrition_Quality_Score]]&gt;=60,Table1[[#This Row],[Nutrition_Quality_Score]]&lt;=80),"Average Nutrition", "Good Nutrition"))</f>
        <v>Average Nutrition</v>
      </c>
      <c r="S188">
        <v>1</v>
      </c>
      <c r="T188" t="str">
        <f>IF(Table1[[#This Row],[Warmup_Routine_Adherence]]=1, "Adherent","Non-Adherent")</f>
        <v>Adherent</v>
      </c>
      <c r="U188">
        <v>0</v>
      </c>
      <c r="V188" t="str">
        <f>IF(Table1[[#This Row],[Injury_Next_Season]]=1, "Injury","No Injury")</f>
        <v>No Injury</v>
      </c>
      <c r="W188" s="3">
        <v>22.5914381309159</v>
      </c>
    </row>
    <row r="189" spans="1:23" x14ac:dyDescent="0.25">
      <c r="A189" s="6">
        <v>20</v>
      </c>
      <c r="B189" s="8" t="str">
        <f>CONCATENATE(Table1[[#This Row],[Age]]," ", "years")</f>
        <v>20 years</v>
      </c>
      <c r="C189">
        <v>174</v>
      </c>
      <c r="D189">
        <v>71</v>
      </c>
      <c r="E189" t="s">
        <v>21</v>
      </c>
      <c r="F189" s="3">
        <v>10.285366673449699</v>
      </c>
      <c r="G189" s="3">
        <v>11</v>
      </c>
      <c r="H189">
        <v>0</v>
      </c>
      <c r="I189" s="3">
        <v>66.729639991263596</v>
      </c>
      <c r="J189" s="3">
        <v>94.013614569846396</v>
      </c>
      <c r="K189" s="3">
        <v>224.83696910502499</v>
      </c>
      <c r="L189" s="3">
        <v>91.626723517650007</v>
      </c>
      <c r="M189" s="3">
        <v>6.4630461140613296</v>
      </c>
      <c r="N189" s="3">
        <v>73.607917328588002</v>
      </c>
      <c r="O189" s="3">
        <v>7.5730179031103102</v>
      </c>
      <c r="P189" s="3">
        <v>53.764865767378801</v>
      </c>
      <c r="Q189" s="3">
        <v>86.597023319992999</v>
      </c>
      <c r="R189" s="3" t="str">
        <f>IF(Table1[[#This Row],[Nutrition_Quality_Score]]&lt;60, "Poor Nutrition",IF(AND(Table1[[#This Row],[Nutrition_Quality_Score]]&gt;=60,Table1[[#This Row],[Nutrition_Quality_Score]]&lt;=80),"Average Nutrition", "Good Nutrition"))</f>
        <v>Good Nutrition</v>
      </c>
      <c r="S189">
        <v>1</v>
      </c>
      <c r="T189" t="str">
        <f>IF(Table1[[#This Row],[Warmup_Routine_Adherence]]=1, "Adherent","Non-Adherent")</f>
        <v>Adherent</v>
      </c>
      <c r="U189">
        <v>0</v>
      </c>
      <c r="V189" t="str">
        <f>IF(Table1[[#This Row],[Injury_Next_Season]]=1, "Injury","No Injury")</f>
        <v>No Injury</v>
      </c>
      <c r="W189" s="3">
        <v>23.450918219051299</v>
      </c>
    </row>
    <row r="190" spans="1:23" x14ac:dyDescent="0.25">
      <c r="A190" s="6">
        <v>18</v>
      </c>
      <c r="B190" s="8" t="str">
        <f>CONCATENATE(Table1[[#This Row],[Age]]," ", "years")</f>
        <v>18 years</v>
      </c>
      <c r="C190">
        <v>174</v>
      </c>
      <c r="D190">
        <v>61</v>
      </c>
      <c r="E190" t="s">
        <v>22</v>
      </c>
      <c r="F190" s="3">
        <v>7.5340894949682502</v>
      </c>
      <c r="G190" s="3">
        <v>10</v>
      </c>
      <c r="H190">
        <v>1</v>
      </c>
      <c r="I190" s="3">
        <v>80.295944589571903</v>
      </c>
      <c r="J190" s="3">
        <v>76.601670629659793</v>
      </c>
      <c r="K190" s="3">
        <v>195.92565572823699</v>
      </c>
      <c r="L190" s="3">
        <v>100</v>
      </c>
      <c r="M190" s="3">
        <v>5.9720541506994396</v>
      </c>
      <c r="N190" s="3">
        <v>83.781654675618995</v>
      </c>
      <c r="O190" s="3">
        <v>8.5322735119998594</v>
      </c>
      <c r="P190" s="3">
        <v>48.006444865420598</v>
      </c>
      <c r="Q190" s="3">
        <v>77.156712341473394</v>
      </c>
      <c r="R190" s="3" t="str">
        <f>IF(Table1[[#This Row],[Nutrition_Quality_Score]]&lt;60, "Poor Nutrition",IF(AND(Table1[[#This Row],[Nutrition_Quality_Score]]&gt;=60,Table1[[#This Row],[Nutrition_Quality_Score]]&lt;=80),"Average Nutrition", "Good Nutrition"))</f>
        <v>Average Nutrition</v>
      </c>
      <c r="S190">
        <v>1</v>
      </c>
      <c r="T190" t="str">
        <f>IF(Table1[[#This Row],[Warmup_Routine_Adherence]]=1, "Adherent","Non-Adherent")</f>
        <v>Adherent</v>
      </c>
      <c r="U190">
        <v>0</v>
      </c>
      <c r="V190" t="str">
        <f>IF(Table1[[#This Row],[Injury_Next_Season]]=1, "Injury","No Injury")</f>
        <v>No Injury</v>
      </c>
      <c r="W190" s="3">
        <v>20.147971991015901</v>
      </c>
    </row>
    <row r="191" spans="1:23" x14ac:dyDescent="0.25">
      <c r="A191" s="6">
        <v>22</v>
      </c>
      <c r="B191" s="8" t="str">
        <f>CONCATENATE(Table1[[#This Row],[Age]]," ", "years")</f>
        <v>22 years</v>
      </c>
      <c r="C191">
        <v>174</v>
      </c>
      <c r="D191">
        <v>77</v>
      </c>
      <c r="E191" t="s">
        <v>20</v>
      </c>
      <c r="F191" s="3">
        <v>5.8670554005744702</v>
      </c>
      <c r="G191" s="3">
        <v>39</v>
      </c>
      <c r="H191">
        <v>0</v>
      </c>
      <c r="I191" s="3">
        <v>73.933477281592999</v>
      </c>
      <c r="J191" s="3">
        <v>76.653332213949597</v>
      </c>
      <c r="K191" s="3">
        <v>267.218613322875</v>
      </c>
      <c r="L191" s="3">
        <v>77.828282747393104</v>
      </c>
      <c r="M191" s="3">
        <v>6.2462838402265799</v>
      </c>
      <c r="N191" s="3">
        <v>85.642971587693907</v>
      </c>
      <c r="O191" s="3">
        <v>7.79792068519982</v>
      </c>
      <c r="P191" s="3">
        <v>50.6040928906015</v>
      </c>
      <c r="Q191" s="3">
        <v>83.291102742501707</v>
      </c>
      <c r="R191" s="3" t="str">
        <f>IF(Table1[[#This Row],[Nutrition_Quality_Score]]&lt;60, "Poor Nutrition",IF(AND(Table1[[#This Row],[Nutrition_Quality_Score]]&gt;=60,Table1[[#This Row],[Nutrition_Quality_Score]]&lt;=80),"Average Nutrition", "Good Nutrition"))</f>
        <v>Good Nutrition</v>
      </c>
      <c r="S191">
        <v>0</v>
      </c>
      <c r="T191" t="str">
        <f>IF(Table1[[#This Row],[Warmup_Routine_Adherence]]=1, "Adherent","Non-Adherent")</f>
        <v>Non-Adherent</v>
      </c>
      <c r="U191">
        <v>0</v>
      </c>
      <c r="V191" t="str">
        <f>IF(Table1[[#This Row],[Injury_Next_Season]]=1, "Injury","No Injury")</f>
        <v>No Injury</v>
      </c>
      <c r="W191" s="3">
        <v>25.4326859558726</v>
      </c>
    </row>
    <row r="192" spans="1:23" x14ac:dyDescent="0.25">
      <c r="A192" s="6">
        <v>19</v>
      </c>
      <c r="B192" s="8" t="str">
        <f>CONCATENATE(Table1[[#This Row],[Age]]," ", "years")</f>
        <v>19 years</v>
      </c>
      <c r="C192">
        <v>172</v>
      </c>
      <c r="D192">
        <v>68</v>
      </c>
      <c r="E192" t="s">
        <v>21</v>
      </c>
      <c r="F192" s="3">
        <v>7.0323317311376297</v>
      </c>
      <c r="G192" s="3">
        <v>17</v>
      </c>
      <c r="H192">
        <v>0</v>
      </c>
      <c r="I192" s="3">
        <v>82.6165994198237</v>
      </c>
      <c r="J192" s="3">
        <v>85.532721353291294</v>
      </c>
      <c r="K192" s="3">
        <v>232.03971683161399</v>
      </c>
      <c r="L192" s="3">
        <v>98.994015524245796</v>
      </c>
      <c r="M192" s="3">
        <v>6.2939454672851198</v>
      </c>
      <c r="N192" s="3">
        <v>80.532943145240793</v>
      </c>
      <c r="O192" s="3">
        <v>6.7716272029042601</v>
      </c>
      <c r="P192" s="3">
        <v>47.008610773600999</v>
      </c>
      <c r="Q192" s="3">
        <v>68.050739336239104</v>
      </c>
      <c r="R192" s="3" t="str">
        <f>IF(Table1[[#This Row],[Nutrition_Quality_Score]]&lt;60, "Poor Nutrition",IF(AND(Table1[[#This Row],[Nutrition_Quality_Score]]&gt;=60,Table1[[#This Row],[Nutrition_Quality_Score]]&lt;=80),"Average Nutrition", "Good Nutrition"))</f>
        <v>Average Nutrition</v>
      </c>
      <c r="S192">
        <v>1</v>
      </c>
      <c r="T192" t="str">
        <f>IF(Table1[[#This Row],[Warmup_Routine_Adherence]]=1, "Adherent","Non-Adherent")</f>
        <v>Adherent</v>
      </c>
      <c r="U192">
        <v>0</v>
      </c>
      <c r="V192" t="str">
        <f>IF(Table1[[#This Row],[Injury_Next_Season]]=1, "Injury","No Injury")</f>
        <v>No Injury</v>
      </c>
      <c r="W192" s="3">
        <v>22.985397512168699</v>
      </c>
    </row>
    <row r="193" spans="1:23" x14ac:dyDescent="0.25">
      <c r="A193" s="6">
        <v>19</v>
      </c>
      <c r="B193" s="8" t="str">
        <f>CONCATENATE(Table1[[#This Row],[Age]]," ", "years")</f>
        <v>19 years</v>
      </c>
      <c r="C193">
        <v>170</v>
      </c>
      <c r="D193">
        <v>76</v>
      </c>
      <c r="E193" t="s">
        <v>20</v>
      </c>
      <c r="F193" s="3">
        <v>7.7160098737526299</v>
      </c>
      <c r="G193" s="3">
        <v>32</v>
      </c>
      <c r="H193">
        <v>3</v>
      </c>
      <c r="I193" s="3">
        <v>87.639116390691399</v>
      </c>
      <c r="J193" s="3">
        <v>75.485342991974406</v>
      </c>
      <c r="K193" s="3">
        <v>248.06476442998499</v>
      </c>
      <c r="L193" s="3">
        <v>95.071158121945004</v>
      </c>
      <c r="M193" s="3">
        <v>5.9683947084452704</v>
      </c>
      <c r="N193" s="3">
        <v>67.832898030127495</v>
      </c>
      <c r="O193" s="3">
        <v>8.7665758157285207</v>
      </c>
      <c r="P193" s="3">
        <v>45.786247670393401</v>
      </c>
      <c r="Q193" s="3">
        <v>92.165746020251504</v>
      </c>
      <c r="R193" s="3" t="str">
        <f>IF(Table1[[#This Row],[Nutrition_Quality_Score]]&lt;60, "Poor Nutrition",IF(AND(Table1[[#This Row],[Nutrition_Quality_Score]]&gt;=60,Table1[[#This Row],[Nutrition_Quality_Score]]&lt;=80),"Average Nutrition", "Good Nutrition"))</f>
        <v>Good Nutrition</v>
      </c>
      <c r="S193">
        <v>1</v>
      </c>
      <c r="T193" t="str">
        <f>IF(Table1[[#This Row],[Warmup_Routine_Adherence]]=1, "Adherent","Non-Adherent")</f>
        <v>Adherent</v>
      </c>
      <c r="U193">
        <v>0</v>
      </c>
      <c r="V193" t="str">
        <f>IF(Table1[[#This Row],[Injury_Next_Season]]=1, "Injury","No Injury")</f>
        <v>No Injury</v>
      </c>
      <c r="W193" s="3">
        <v>26.2975778546712</v>
      </c>
    </row>
    <row r="194" spans="1:23" x14ac:dyDescent="0.25">
      <c r="A194" s="6">
        <v>19</v>
      </c>
      <c r="B194" s="8" t="str">
        <f>CONCATENATE(Table1[[#This Row],[Age]]," ", "years")</f>
        <v>19 years</v>
      </c>
      <c r="C194">
        <v>174</v>
      </c>
      <c r="D194">
        <v>63</v>
      </c>
      <c r="E194" t="s">
        <v>19</v>
      </c>
      <c r="F194" s="3">
        <v>12.058878696027501</v>
      </c>
      <c r="G194" s="3">
        <v>37</v>
      </c>
      <c r="H194">
        <v>3</v>
      </c>
      <c r="I194" s="3">
        <v>72.865548521805295</v>
      </c>
      <c r="J194" s="3">
        <v>76.600883976751604</v>
      </c>
      <c r="K194" s="3">
        <v>256.67211852443802</v>
      </c>
      <c r="L194" s="3">
        <v>80.751601885289702</v>
      </c>
      <c r="M194" s="3">
        <v>5.6205587823794199</v>
      </c>
      <c r="N194" s="3">
        <v>76.561724080126098</v>
      </c>
      <c r="O194" s="3">
        <v>8.0039512803569597</v>
      </c>
      <c r="P194" s="3">
        <v>46.7364852018571</v>
      </c>
      <c r="Q194" s="3">
        <v>91.266795824385298</v>
      </c>
      <c r="R194" s="3" t="str">
        <f>IF(Table1[[#This Row],[Nutrition_Quality_Score]]&lt;60, "Poor Nutrition",IF(AND(Table1[[#This Row],[Nutrition_Quality_Score]]&gt;=60,Table1[[#This Row],[Nutrition_Quality_Score]]&lt;=80),"Average Nutrition", "Good Nutrition"))</f>
        <v>Good Nutrition</v>
      </c>
      <c r="S194">
        <v>0</v>
      </c>
      <c r="T194" t="str">
        <f>IF(Table1[[#This Row],[Warmup_Routine_Adherence]]=1, "Adherent","Non-Adherent")</f>
        <v>Non-Adherent</v>
      </c>
      <c r="U194">
        <v>1</v>
      </c>
      <c r="V194" t="str">
        <f>IF(Table1[[#This Row],[Injury_Next_Season]]=1, "Injury","No Injury")</f>
        <v>Injury</v>
      </c>
      <c r="W194" s="3">
        <v>20.808561236623</v>
      </c>
    </row>
    <row r="195" spans="1:23" x14ac:dyDescent="0.25">
      <c r="A195" s="6">
        <v>21</v>
      </c>
      <c r="B195" s="8" t="str">
        <f>CONCATENATE(Table1[[#This Row],[Age]]," ", "years")</f>
        <v>21 years</v>
      </c>
      <c r="C195">
        <v>186</v>
      </c>
      <c r="D195">
        <v>86</v>
      </c>
      <c r="E195" t="s">
        <v>19</v>
      </c>
      <c r="F195" s="3">
        <v>8.2298176505623299</v>
      </c>
      <c r="G195" s="3">
        <v>22</v>
      </c>
      <c r="H195">
        <v>2</v>
      </c>
      <c r="I195" s="3">
        <v>80.867987283013093</v>
      </c>
      <c r="J195" s="3">
        <v>84.907317557567694</v>
      </c>
      <c r="K195" s="3">
        <v>232.20067048951401</v>
      </c>
      <c r="L195" s="3">
        <v>84.614399386378906</v>
      </c>
      <c r="M195" s="3">
        <v>6.0847842942852104</v>
      </c>
      <c r="N195" s="3">
        <v>90.097944399320497</v>
      </c>
      <c r="O195" s="3">
        <v>7.33474035607329</v>
      </c>
      <c r="P195" s="3">
        <v>52.032189172410398</v>
      </c>
      <c r="Q195" s="3">
        <v>73.836094408567007</v>
      </c>
      <c r="R195" s="3" t="str">
        <f>IF(Table1[[#This Row],[Nutrition_Quality_Score]]&lt;60, "Poor Nutrition",IF(AND(Table1[[#This Row],[Nutrition_Quality_Score]]&gt;=60,Table1[[#This Row],[Nutrition_Quality_Score]]&lt;=80),"Average Nutrition", "Good Nutrition"))</f>
        <v>Average Nutrition</v>
      </c>
      <c r="S195">
        <v>1</v>
      </c>
      <c r="T195" t="str">
        <f>IF(Table1[[#This Row],[Warmup_Routine_Adherence]]=1, "Adherent","Non-Adherent")</f>
        <v>Adherent</v>
      </c>
      <c r="U195">
        <v>0</v>
      </c>
      <c r="V195" t="str">
        <f>IF(Table1[[#This Row],[Injury_Next_Season]]=1, "Injury","No Injury")</f>
        <v>No Injury</v>
      </c>
      <c r="W195" s="3">
        <v>24.858365128916599</v>
      </c>
    </row>
    <row r="196" spans="1:23" x14ac:dyDescent="0.25">
      <c r="A196" s="6">
        <v>24</v>
      </c>
      <c r="B196" s="8" t="str">
        <f>CONCATENATE(Table1[[#This Row],[Age]]," ", "years")</f>
        <v>24 years</v>
      </c>
      <c r="C196">
        <v>183</v>
      </c>
      <c r="D196">
        <v>80</v>
      </c>
      <c r="E196" t="s">
        <v>21</v>
      </c>
      <c r="F196" s="3">
        <v>9.3860652421907407</v>
      </c>
      <c r="G196" s="3">
        <v>12</v>
      </c>
      <c r="H196">
        <v>4</v>
      </c>
      <c r="I196" s="3">
        <v>73.020446284415002</v>
      </c>
      <c r="J196" s="3">
        <v>76.392753875390099</v>
      </c>
      <c r="K196" s="3">
        <v>244.76872049050601</v>
      </c>
      <c r="L196" s="3">
        <v>83.816068082658603</v>
      </c>
      <c r="M196" s="3">
        <v>5.8420073559850696</v>
      </c>
      <c r="N196" s="3">
        <v>75.237823946031099</v>
      </c>
      <c r="O196" s="3">
        <v>7.0148699788100402</v>
      </c>
      <c r="P196" s="3">
        <v>43.910861668820303</v>
      </c>
      <c r="Q196" s="3">
        <v>70.734554413258195</v>
      </c>
      <c r="R196" s="3" t="str">
        <f>IF(Table1[[#This Row],[Nutrition_Quality_Score]]&lt;60, "Poor Nutrition",IF(AND(Table1[[#This Row],[Nutrition_Quality_Score]]&gt;=60,Table1[[#This Row],[Nutrition_Quality_Score]]&lt;=80),"Average Nutrition", "Good Nutrition"))</f>
        <v>Average Nutrition</v>
      </c>
      <c r="S196">
        <v>0</v>
      </c>
      <c r="T196" t="str">
        <f>IF(Table1[[#This Row],[Warmup_Routine_Adherence]]=1, "Adherent","Non-Adherent")</f>
        <v>Non-Adherent</v>
      </c>
      <c r="U196">
        <v>0</v>
      </c>
      <c r="V196" t="str">
        <f>IF(Table1[[#This Row],[Injury_Next_Season]]=1, "Injury","No Injury")</f>
        <v>No Injury</v>
      </c>
      <c r="W196" s="3">
        <v>23.888440980620398</v>
      </c>
    </row>
    <row r="197" spans="1:23" x14ac:dyDescent="0.25">
      <c r="A197" s="6">
        <v>23</v>
      </c>
      <c r="B197" s="8" t="str">
        <f>CONCATENATE(Table1[[#This Row],[Age]]," ", "years")</f>
        <v>23 years</v>
      </c>
      <c r="C197">
        <v>177</v>
      </c>
      <c r="D197">
        <v>83</v>
      </c>
      <c r="E197" t="s">
        <v>21</v>
      </c>
      <c r="F197" s="3">
        <v>5.78194115653013</v>
      </c>
      <c r="G197" s="3">
        <v>37</v>
      </c>
      <c r="H197">
        <v>4</v>
      </c>
      <c r="I197" s="3">
        <v>68.567012577710798</v>
      </c>
      <c r="J197" s="3">
        <v>60.9281585936168</v>
      </c>
      <c r="K197" s="3">
        <v>278.89379919195898</v>
      </c>
      <c r="L197" s="3">
        <v>76.097455190294696</v>
      </c>
      <c r="M197" s="3">
        <v>5.9864724628774901</v>
      </c>
      <c r="N197" s="3">
        <v>73.922066647891</v>
      </c>
      <c r="O197" s="3">
        <v>7.6173766714389997</v>
      </c>
      <c r="P197" s="3">
        <v>68.8852347814654</v>
      </c>
      <c r="Q197" s="3">
        <v>72.873588394442706</v>
      </c>
      <c r="R197" s="3" t="str">
        <f>IF(Table1[[#This Row],[Nutrition_Quality_Score]]&lt;60, "Poor Nutrition",IF(AND(Table1[[#This Row],[Nutrition_Quality_Score]]&gt;=60,Table1[[#This Row],[Nutrition_Quality_Score]]&lt;=80),"Average Nutrition", "Good Nutrition"))</f>
        <v>Average Nutrition</v>
      </c>
      <c r="S197">
        <v>0</v>
      </c>
      <c r="T197" t="str">
        <f>IF(Table1[[#This Row],[Warmup_Routine_Adherence]]=1, "Adherent","Non-Adherent")</f>
        <v>Non-Adherent</v>
      </c>
      <c r="U197">
        <v>1</v>
      </c>
      <c r="V197" t="str">
        <f>IF(Table1[[#This Row],[Injury_Next_Season]]=1, "Injury","No Injury")</f>
        <v>Injury</v>
      </c>
      <c r="W197" s="3">
        <v>26.493025631204301</v>
      </c>
    </row>
    <row r="198" spans="1:23" x14ac:dyDescent="0.25">
      <c r="A198" s="6">
        <v>19</v>
      </c>
      <c r="B198" s="8" t="str">
        <f>CONCATENATE(Table1[[#This Row],[Age]]," ", "years")</f>
        <v>19 years</v>
      </c>
      <c r="C198">
        <v>179</v>
      </c>
      <c r="D198">
        <v>76</v>
      </c>
      <c r="E198" t="s">
        <v>20</v>
      </c>
      <c r="F198" s="3">
        <v>8.9489460152776203</v>
      </c>
      <c r="G198" s="3">
        <v>15</v>
      </c>
      <c r="H198">
        <v>2</v>
      </c>
      <c r="I198" s="3">
        <v>82.969411727736698</v>
      </c>
      <c r="J198" s="3">
        <v>91.590260563155994</v>
      </c>
      <c r="K198" s="3">
        <v>260.50632126035498</v>
      </c>
      <c r="L198" s="3">
        <v>78.456162794285305</v>
      </c>
      <c r="M198" s="3">
        <v>6.22608864822047</v>
      </c>
      <c r="N198" s="3">
        <v>70.505604940815402</v>
      </c>
      <c r="O198" s="3">
        <v>8.5331378435956395</v>
      </c>
      <c r="P198" s="3">
        <v>56.450473214046397</v>
      </c>
      <c r="Q198" s="3">
        <v>81.733708687121705</v>
      </c>
      <c r="R198" s="3" t="str">
        <f>IF(Table1[[#This Row],[Nutrition_Quality_Score]]&lt;60, "Poor Nutrition",IF(AND(Table1[[#This Row],[Nutrition_Quality_Score]]&gt;=60,Table1[[#This Row],[Nutrition_Quality_Score]]&lt;=80),"Average Nutrition", "Good Nutrition"))</f>
        <v>Good Nutrition</v>
      </c>
      <c r="S198">
        <v>1</v>
      </c>
      <c r="T198" t="str">
        <f>IF(Table1[[#This Row],[Warmup_Routine_Adherence]]=1, "Adherent","Non-Adherent")</f>
        <v>Adherent</v>
      </c>
      <c r="U198">
        <v>0</v>
      </c>
      <c r="V198" t="str">
        <f>IF(Table1[[#This Row],[Injury_Next_Season]]=1, "Injury","No Injury")</f>
        <v>No Injury</v>
      </c>
      <c r="W198" s="3">
        <v>23.719609250647601</v>
      </c>
    </row>
    <row r="199" spans="1:23" x14ac:dyDescent="0.25">
      <c r="A199" s="6">
        <v>22</v>
      </c>
      <c r="B199" s="8" t="str">
        <f>CONCATENATE(Table1[[#This Row],[Age]]," ", "years")</f>
        <v>22 years</v>
      </c>
      <c r="C199">
        <v>172</v>
      </c>
      <c r="D199">
        <v>72</v>
      </c>
      <c r="E199" t="s">
        <v>19</v>
      </c>
      <c r="F199" s="3">
        <v>5</v>
      </c>
      <c r="G199" s="3">
        <v>14</v>
      </c>
      <c r="H199">
        <v>0</v>
      </c>
      <c r="I199" s="3">
        <v>76.198002558710002</v>
      </c>
      <c r="J199" s="3">
        <v>69.718430277289102</v>
      </c>
      <c r="K199" s="3">
        <v>260.67656165480798</v>
      </c>
      <c r="L199" s="3">
        <v>85.748098647879999</v>
      </c>
      <c r="M199" s="3">
        <v>5.4756122237782101</v>
      </c>
      <c r="N199" s="3">
        <v>56.643401486185397</v>
      </c>
      <c r="O199" s="3">
        <v>6.0478686622232303</v>
      </c>
      <c r="P199" s="3">
        <v>58.683100880572503</v>
      </c>
      <c r="Q199" s="3">
        <v>84.027276901142201</v>
      </c>
      <c r="R199" s="3" t="str">
        <f>IF(Table1[[#This Row],[Nutrition_Quality_Score]]&lt;60, "Poor Nutrition",IF(AND(Table1[[#This Row],[Nutrition_Quality_Score]]&gt;=60,Table1[[#This Row],[Nutrition_Quality_Score]]&lt;=80),"Average Nutrition", "Good Nutrition"))</f>
        <v>Good Nutrition</v>
      </c>
      <c r="S199">
        <v>1</v>
      </c>
      <c r="T199" t="str">
        <f>IF(Table1[[#This Row],[Warmup_Routine_Adherence]]=1, "Adherent","Non-Adherent")</f>
        <v>Adherent</v>
      </c>
      <c r="U199">
        <v>1</v>
      </c>
      <c r="V199" t="str">
        <f>IF(Table1[[#This Row],[Injury_Next_Season]]=1, "Injury","No Injury")</f>
        <v>Injury</v>
      </c>
      <c r="W199" s="3">
        <v>24.3374797187669</v>
      </c>
    </row>
    <row r="200" spans="1:23" x14ac:dyDescent="0.25">
      <c r="A200" s="6">
        <v>18</v>
      </c>
      <c r="B200" s="8" t="str">
        <f>CONCATENATE(Table1[[#This Row],[Age]]," ", "years")</f>
        <v>18 years</v>
      </c>
      <c r="C200">
        <v>169</v>
      </c>
      <c r="D200">
        <v>63</v>
      </c>
      <c r="E200" t="s">
        <v>19</v>
      </c>
      <c r="F200" s="3">
        <v>11.8758857781018</v>
      </c>
      <c r="G200" s="3">
        <v>24</v>
      </c>
      <c r="H200">
        <v>3</v>
      </c>
      <c r="I200" s="3">
        <v>74.688820385695607</v>
      </c>
      <c r="J200" s="3">
        <v>75.622933003911299</v>
      </c>
      <c r="K200" s="3">
        <v>219.00101564678201</v>
      </c>
      <c r="L200" s="3">
        <v>87.202170990032997</v>
      </c>
      <c r="M200" s="3">
        <v>5.8862776599763</v>
      </c>
      <c r="N200" s="3">
        <v>74.494790173781993</v>
      </c>
      <c r="O200" s="3">
        <v>7.8268117202917598</v>
      </c>
      <c r="P200" s="3">
        <v>42.102183116488099</v>
      </c>
      <c r="Q200" s="3">
        <v>65.4611382027133</v>
      </c>
      <c r="R200" s="3" t="str">
        <f>IF(Table1[[#This Row],[Nutrition_Quality_Score]]&lt;60, "Poor Nutrition",IF(AND(Table1[[#This Row],[Nutrition_Quality_Score]]&gt;=60,Table1[[#This Row],[Nutrition_Quality_Score]]&lt;=80),"Average Nutrition", "Good Nutrition"))</f>
        <v>Average Nutrition</v>
      </c>
      <c r="S200">
        <v>0</v>
      </c>
      <c r="T200" t="str">
        <f>IF(Table1[[#This Row],[Warmup_Routine_Adherence]]=1, "Adherent","Non-Adherent")</f>
        <v>Non-Adherent</v>
      </c>
      <c r="U200">
        <v>0</v>
      </c>
      <c r="V200" t="str">
        <f>IF(Table1[[#This Row],[Injury_Next_Season]]=1, "Injury","No Injury")</f>
        <v>No Injury</v>
      </c>
      <c r="W200" s="3">
        <v>22.058051188683802</v>
      </c>
    </row>
    <row r="201" spans="1:23" x14ac:dyDescent="0.25">
      <c r="A201" s="6">
        <v>18</v>
      </c>
      <c r="B201" s="8" t="str">
        <f>CONCATENATE(Table1[[#This Row],[Age]]," ", "years")</f>
        <v>18 years</v>
      </c>
      <c r="C201">
        <v>178</v>
      </c>
      <c r="D201">
        <v>91</v>
      </c>
      <c r="E201" t="s">
        <v>19</v>
      </c>
      <c r="F201" s="3">
        <v>10.0618965003429</v>
      </c>
      <c r="G201" s="3">
        <v>29</v>
      </c>
      <c r="H201">
        <v>1</v>
      </c>
      <c r="I201" s="3">
        <v>74.575698898717704</v>
      </c>
      <c r="J201" s="3">
        <v>78.865500878914204</v>
      </c>
      <c r="K201" s="3">
        <v>244.36521358464299</v>
      </c>
      <c r="L201" s="3">
        <v>83.675326150200206</v>
      </c>
      <c r="M201" s="3">
        <v>6.0852071400142398</v>
      </c>
      <c r="N201" s="3">
        <v>76.771606274812896</v>
      </c>
      <c r="O201" s="3">
        <v>7.9238017138926402</v>
      </c>
      <c r="P201" s="3">
        <v>45.865095346215902</v>
      </c>
      <c r="Q201" s="3">
        <v>94.417243332077803</v>
      </c>
      <c r="R201" s="3" t="str">
        <f>IF(Table1[[#This Row],[Nutrition_Quality_Score]]&lt;60, "Poor Nutrition",IF(AND(Table1[[#This Row],[Nutrition_Quality_Score]]&gt;=60,Table1[[#This Row],[Nutrition_Quality_Score]]&lt;=80),"Average Nutrition", "Good Nutrition"))</f>
        <v>Good Nutrition</v>
      </c>
      <c r="S201">
        <v>1</v>
      </c>
      <c r="T201" t="str">
        <f>IF(Table1[[#This Row],[Warmup_Routine_Adherence]]=1, "Adherent","Non-Adherent")</f>
        <v>Adherent</v>
      </c>
      <c r="U201">
        <v>0</v>
      </c>
      <c r="V201" t="str">
        <f>IF(Table1[[#This Row],[Injury_Next_Season]]=1, "Injury","No Injury")</f>
        <v>No Injury</v>
      </c>
      <c r="W201" s="3">
        <v>28.721121070571801</v>
      </c>
    </row>
    <row r="202" spans="1:23" x14ac:dyDescent="0.25">
      <c r="A202" s="6">
        <v>22</v>
      </c>
      <c r="B202" s="8" t="str">
        <f>CONCATENATE(Table1[[#This Row],[Age]]," ", "years")</f>
        <v>22 years</v>
      </c>
      <c r="C202">
        <v>190</v>
      </c>
      <c r="D202">
        <v>65</v>
      </c>
      <c r="E202" t="s">
        <v>20</v>
      </c>
      <c r="F202" s="3">
        <v>9.4887499878057806</v>
      </c>
      <c r="G202" s="3">
        <v>9</v>
      </c>
      <c r="H202">
        <v>2</v>
      </c>
      <c r="I202" s="3">
        <v>62.133717183734198</v>
      </c>
      <c r="J202" s="3">
        <v>67.346192580809003</v>
      </c>
      <c r="K202" s="3">
        <v>286.34340772066099</v>
      </c>
      <c r="L202" s="3">
        <v>69.337186499712701</v>
      </c>
      <c r="M202" s="3">
        <v>6.1100340693539996</v>
      </c>
      <c r="N202" s="3">
        <v>83.139965250630496</v>
      </c>
      <c r="O202" s="3">
        <v>5.9182259099600198</v>
      </c>
      <c r="P202" s="3">
        <v>58.401633350158697</v>
      </c>
      <c r="Q202" s="3">
        <v>76.890164619992902</v>
      </c>
      <c r="R202" s="3" t="str">
        <f>IF(Table1[[#This Row],[Nutrition_Quality_Score]]&lt;60, "Poor Nutrition",IF(AND(Table1[[#This Row],[Nutrition_Quality_Score]]&gt;=60,Table1[[#This Row],[Nutrition_Quality_Score]]&lt;=80),"Average Nutrition", "Good Nutrition"))</f>
        <v>Average Nutrition</v>
      </c>
      <c r="S202">
        <v>0</v>
      </c>
      <c r="T202" t="str">
        <f>IF(Table1[[#This Row],[Warmup_Routine_Adherence]]=1, "Adherent","Non-Adherent")</f>
        <v>Non-Adherent</v>
      </c>
      <c r="U202">
        <v>1</v>
      </c>
      <c r="V202" t="str">
        <f>IF(Table1[[#This Row],[Injury_Next_Season]]=1, "Injury","No Injury")</f>
        <v>Injury</v>
      </c>
      <c r="W202" s="3">
        <v>18.005540166204899</v>
      </c>
    </row>
    <row r="203" spans="1:23" x14ac:dyDescent="0.25">
      <c r="A203" s="6">
        <v>21</v>
      </c>
      <c r="B203" s="8" t="str">
        <f>CONCATENATE(Table1[[#This Row],[Age]]," ", "years")</f>
        <v>21 years</v>
      </c>
      <c r="C203">
        <v>179</v>
      </c>
      <c r="D203">
        <v>96</v>
      </c>
      <c r="E203" t="s">
        <v>19</v>
      </c>
      <c r="F203" s="3">
        <v>8.0715237000167406</v>
      </c>
      <c r="G203" s="3">
        <v>24</v>
      </c>
      <c r="H203">
        <v>0</v>
      </c>
      <c r="I203" s="3">
        <v>67.605422351114399</v>
      </c>
      <c r="J203" s="3">
        <v>70.663665756672799</v>
      </c>
      <c r="K203" s="3">
        <v>296.70644272374602</v>
      </c>
      <c r="L203" s="3">
        <v>78.7263331320584</v>
      </c>
      <c r="M203" s="3">
        <v>5.8230660167404897</v>
      </c>
      <c r="N203" s="3">
        <v>75.997623175629897</v>
      </c>
      <c r="O203" s="3">
        <v>6.4658670642126603</v>
      </c>
      <c r="P203" s="3">
        <v>65.970290368610605</v>
      </c>
      <c r="Q203" s="3">
        <v>64.602701654567596</v>
      </c>
      <c r="R203" s="3" t="str">
        <f>IF(Table1[[#This Row],[Nutrition_Quality_Score]]&lt;60, "Poor Nutrition",IF(AND(Table1[[#This Row],[Nutrition_Quality_Score]]&gt;=60,Table1[[#This Row],[Nutrition_Quality_Score]]&lt;=80),"Average Nutrition", "Good Nutrition"))</f>
        <v>Average Nutrition</v>
      </c>
      <c r="S203">
        <v>1</v>
      </c>
      <c r="T203" t="str">
        <f>IF(Table1[[#This Row],[Warmup_Routine_Adherence]]=1, "Adherent","Non-Adherent")</f>
        <v>Adherent</v>
      </c>
      <c r="U203">
        <v>1</v>
      </c>
      <c r="V203" t="str">
        <f>IF(Table1[[#This Row],[Injury_Next_Season]]=1, "Injury","No Injury")</f>
        <v>Injury</v>
      </c>
      <c r="W203" s="3">
        <v>29.961611685028501</v>
      </c>
    </row>
    <row r="204" spans="1:23" x14ac:dyDescent="0.25">
      <c r="A204" s="6">
        <v>21</v>
      </c>
      <c r="B204" s="8" t="str">
        <f>CONCATENATE(Table1[[#This Row],[Age]]," ", "years")</f>
        <v>21 years</v>
      </c>
      <c r="C204">
        <v>184</v>
      </c>
      <c r="D204">
        <v>81</v>
      </c>
      <c r="E204" t="s">
        <v>19</v>
      </c>
      <c r="F204" s="3">
        <v>11.321311067396801</v>
      </c>
      <c r="G204" s="3">
        <v>22</v>
      </c>
      <c r="H204">
        <v>1</v>
      </c>
      <c r="I204" s="3">
        <v>76.392547081787001</v>
      </c>
      <c r="J204" s="3">
        <v>67.191788518120802</v>
      </c>
      <c r="K204" s="3">
        <v>297.26331728664798</v>
      </c>
      <c r="L204" s="3">
        <v>90.488227202236303</v>
      </c>
      <c r="M204" s="3">
        <v>6.1848158521921501</v>
      </c>
      <c r="N204" s="3">
        <v>67.7547580982326</v>
      </c>
      <c r="O204" s="3">
        <v>6.72611064545913</v>
      </c>
      <c r="P204" s="3">
        <v>59.678498002999298</v>
      </c>
      <c r="Q204" s="3">
        <v>67.650580627596298</v>
      </c>
      <c r="R204" s="3" t="str">
        <f>IF(Table1[[#This Row],[Nutrition_Quality_Score]]&lt;60, "Poor Nutrition",IF(AND(Table1[[#This Row],[Nutrition_Quality_Score]]&gt;=60,Table1[[#This Row],[Nutrition_Quality_Score]]&lt;=80),"Average Nutrition", "Good Nutrition"))</f>
        <v>Average Nutrition</v>
      </c>
      <c r="S204">
        <v>1</v>
      </c>
      <c r="T204" t="str">
        <f>IF(Table1[[#This Row],[Warmup_Routine_Adherence]]=1, "Adherent","Non-Adherent")</f>
        <v>Adherent</v>
      </c>
      <c r="U204">
        <v>1</v>
      </c>
      <c r="V204" t="str">
        <f>IF(Table1[[#This Row],[Injury_Next_Season]]=1, "Injury","No Injury")</f>
        <v>Injury</v>
      </c>
      <c r="W204" s="3">
        <v>23.924858223062301</v>
      </c>
    </row>
    <row r="205" spans="1:23" x14ac:dyDescent="0.25">
      <c r="A205" s="6">
        <v>23</v>
      </c>
      <c r="B205" s="8" t="str">
        <f>CONCATENATE(Table1[[#This Row],[Age]]," ", "years")</f>
        <v>23 years</v>
      </c>
      <c r="C205">
        <v>177</v>
      </c>
      <c r="D205">
        <v>74</v>
      </c>
      <c r="E205" t="s">
        <v>21</v>
      </c>
      <c r="F205" s="3">
        <v>12.1179872903255</v>
      </c>
      <c r="G205" s="3">
        <v>38</v>
      </c>
      <c r="H205">
        <v>1</v>
      </c>
      <c r="I205" s="3">
        <v>73.670103740426995</v>
      </c>
      <c r="J205" s="3">
        <v>74.208870382076697</v>
      </c>
      <c r="K205" s="3">
        <v>230.09440430669201</v>
      </c>
      <c r="L205" s="3">
        <v>88.170000461049696</v>
      </c>
      <c r="M205" s="3">
        <v>5.9879833792035804</v>
      </c>
      <c r="N205" s="3">
        <v>82.589078093222298</v>
      </c>
      <c r="O205" s="3">
        <v>8.6505487516877508</v>
      </c>
      <c r="P205" s="3">
        <v>33.962098149971503</v>
      </c>
      <c r="Q205" s="3">
        <v>86.680806263309194</v>
      </c>
      <c r="R205" s="3" t="str">
        <f>IF(Table1[[#This Row],[Nutrition_Quality_Score]]&lt;60, "Poor Nutrition",IF(AND(Table1[[#This Row],[Nutrition_Quality_Score]]&gt;=60,Table1[[#This Row],[Nutrition_Quality_Score]]&lt;=80),"Average Nutrition", "Good Nutrition"))</f>
        <v>Good Nutrition</v>
      </c>
      <c r="S205">
        <v>0</v>
      </c>
      <c r="T205" t="str">
        <f>IF(Table1[[#This Row],[Warmup_Routine_Adherence]]=1, "Adherent","Non-Adherent")</f>
        <v>Non-Adherent</v>
      </c>
      <c r="U205">
        <v>0</v>
      </c>
      <c r="V205" t="str">
        <f>IF(Table1[[#This Row],[Injury_Next_Season]]=1, "Injury","No Injury")</f>
        <v>No Injury</v>
      </c>
      <c r="W205" s="3">
        <v>23.620287912157998</v>
      </c>
    </row>
    <row r="206" spans="1:23" x14ac:dyDescent="0.25">
      <c r="A206" s="6">
        <v>24</v>
      </c>
      <c r="B206" s="8" t="str">
        <f>CONCATENATE(Table1[[#This Row],[Age]]," ", "years")</f>
        <v>24 years</v>
      </c>
      <c r="C206">
        <v>171</v>
      </c>
      <c r="D206">
        <v>45</v>
      </c>
      <c r="E206" t="s">
        <v>20</v>
      </c>
      <c r="F206" s="3">
        <v>10.1527218374468</v>
      </c>
      <c r="G206" s="3">
        <v>37</v>
      </c>
      <c r="H206">
        <v>1</v>
      </c>
      <c r="I206" s="3">
        <v>76.929168710313704</v>
      </c>
      <c r="J206" s="3">
        <v>69.491483962758196</v>
      </c>
      <c r="K206" s="3">
        <v>241.89519413191499</v>
      </c>
      <c r="L206" s="3">
        <v>74.356275735768506</v>
      </c>
      <c r="M206" s="3">
        <v>5.7818286764589999</v>
      </c>
      <c r="N206" s="3">
        <v>68.399351972808404</v>
      </c>
      <c r="O206" s="3">
        <v>6.3128480300795804</v>
      </c>
      <c r="P206" s="3">
        <v>49.2605570847983</v>
      </c>
      <c r="Q206" s="3">
        <v>74.377425151489604</v>
      </c>
      <c r="R206" s="3" t="str">
        <f>IF(Table1[[#This Row],[Nutrition_Quality_Score]]&lt;60, "Poor Nutrition",IF(AND(Table1[[#This Row],[Nutrition_Quality_Score]]&gt;=60,Table1[[#This Row],[Nutrition_Quality_Score]]&lt;=80),"Average Nutrition", "Good Nutrition"))</f>
        <v>Average Nutrition</v>
      </c>
      <c r="S206">
        <v>1</v>
      </c>
      <c r="T206" t="str">
        <f>IF(Table1[[#This Row],[Warmup_Routine_Adherence]]=1, "Adherent","Non-Adherent")</f>
        <v>Adherent</v>
      </c>
      <c r="U206">
        <v>1</v>
      </c>
      <c r="V206" t="str">
        <f>IF(Table1[[#This Row],[Injury_Next_Season]]=1, "Injury","No Injury")</f>
        <v>Injury</v>
      </c>
      <c r="W206" s="3">
        <v>15.389350569405901</v>
      </c>
    </row>
    <row r="207" spans="1:23" x14ac:dyDescent="0.25">
      <c r="A207" s="6">
        <v>22</v>
      </c>
      <c r="B207" s="8" t="str">
        <f>CONCATENATE(Table1[[#This Row],[Age]]," ", "years")</f>
        <v>22 years</v>
      </c>
      <c r="C207">
        <v>186</v>
      </c>
      <c r="D207">
        <v>70</v>
      </c>
      <c r="E207" t="s">
        <v>22</v>
      </c>
      <c r="F207" s="3">
        <v>8.2600054045914995</v>
      </c>
      <c r="G207" s="3">
        <v>15</v>
      </c>
      <c r="H207">
        <v>1</v>
      </c>
      <c r="I207" s="3">
        <v>62.302532373306299</v>
      </c>
      <c r="J207" s="3">
        <v>82.811364851085301</v>
      </c>
      <c r="K207" s="3">
        <v>253.25586987124899</v>
      </c>
      <c r="L207" s="3">
        <v>75.945570344812893</v>
      </c>
      <c r="M207" s="3">
        <v>5.6874632510857301</v>
      </c>
      <c r="N207" s="3">
        <v>77.240687935894996</v>
      </c>
      <c r="O207" s="3">
        <v>7.0564809954315697</v>
      </c>
      <c r="P207" s="3">
        <v>63.123910834563503</v>
      </c>
      <c r="Q207" s="3">
        <v>69.527699352500505</v>
      </c>
      <c r="R207" s="3" t="str">
        <f>IF(Table1[[#This Row],[Nutrition_Quality_Score]]&lt;60, "Poor Nutrition",IF(AND(Table1[[#This Row],[Nutrition_Quality_Score]]&gt;=60,Table1[[#This Row],[Nutrition_Quality_Score]]&lt;=80),"Average Nutrition", "Good Nutrition"))</f>
        <v>Average Nutrition</v>
      </c>
      <c r="S207">
        <v>0</v>
      </c>
      <c r="T207" t="str">
        <f>IF(Table1[[#This Row],[Warmup_Routine_Adherence]]=1, "Adherent","Non-Adherent")</f>
        <v>Non-Adherent</v>
      </c>
      <c r="U207">
        <v>1</v>
      </c>
      <c r="V207" t="str">
        <f>IF(Table1[[#This Row],[Injury_Next_Season]]=1, "Injury","No Injury")</f>
        <v>Injury</v>
      </c>
      <c r="W207" s="3">
        <v>20.2335530119088</v>
      </c>
    </row>
    <row r="208" spans="1:23" x14ac:dyDescent="0.25">
      <c r="A208" s="6">
        <v>23</v>
      </c>
      <c r="B208" s="8" t="str">
        <f>CONCATENATE(Table1[[#This Row],[Age]]," ", "years")</f>
        <v>23 years</v>
      </c>
      <c r="C208">
        <v>178</v>
      </c>
      <c r="D208">
        <v>74</v>
      </c>
      <c r="E208" t="s">
        <v>20</v>
      </c>
      <c r="F208" s="3">
        <v>6.1068112857879404</v>
      </c>
      <c r="G208" s="3">
        <v>5</v>
      </c>
      <c r="H208">
        <v>1</v>
      </c>
      <c r="I208" s="3">
        <v>72.870799985572205</v>
      </c>
      <c r="J208" s="3">
        <v>72.159547839005995</v>
      </c>
      <c r="K208" s="3">
        <v>261.53350532037803</v>
      </c>
      <c r="L208" s="3">
        <v>78.279857661689604</v>
      </c>
      <c r="M208" s="3">
        <v>5.5107496609584503</v>
      </c>
      <c r="N208" s="3">
        <v>61.707073180042798</v>
      </c>
      <c r="O208" s="3">
        <v>6.9497260967213199</v>
      </c>
      <c r="P208" s="3">
        <v>60.314577069247697</v>
      </c>
      <c r="Q208" s="3">
        <v>60.499573069858101</v>
      </c>
      <c r="R208" s="3" t="str">
        <f>IF(Table1[[#This Row],[Nutrition_Quality_Score]]&lt;60, "Poor Nutrition",IF(AND(Table1[[#This Row],[Nutrition_Quality_Score]]&gt;=60,Table1[[#This Row],[Nutrition_Quality_Score]]&lt;=80),"Average Nutrition", "Good Nutrition"))</f>
        <v>Average Nutrition</v>
      </c>
      <c r="S208">
        <v>0</v>
      </c>
      <c r="T208" t="str">
        <f>IF(Table1[[#This Row],[Warmup_Routine_Adherence]]=1, "Adherent","Non-Adherent")</f>
        <v>Non-Adherent</v>
      </c>
      <c r="U208">
        <v>1</v>
      </c>
      <c r="V208" t="str">
        <f>IF(Table1[[#This Row],[Injury_Next_Season]]=1, "Injury","No Injury")</f>
        <v>Injury</v>
      </c>
      <c r="W208" s="3">
        <v>23.355636914530901</v>
      </c>
    </row>
    <row r="209" spans="1:23" x14ac:dyDescent="0.25">
      <c r="A209" s="6">
        <v>20</v>
      </c>
      <c r="B209" s="8" t="str">
        <f>CONCATENATE(Table1[[#This Row],[Age]]," ", "years")</f>
        <v>20 years</v>
      </c>
      <c r="C209">
        <v>181</v>
      </c>
      <c r="D209">
        <v>71</v>
      </c>
      <c r="E209" t="s">
        <v>21</v>
      </c>
      <c r="F209" s="3">
        <v>5</v>
      </c>
      <c r="G209" s="3">
        <v>10</v>
      </c>
      <c r="H209">
        <v>2</v>
      </c>
      <c r="I209" s="3">
        <v>75.273897719874299</v>
      </c>
      <c r="J209" s="3">
        <v>84.727102241669698</v>
      </c>
      <c r="K209" s="3">
        <v>231.05472389496899</v>
      </c>
      <c r="L209" s="3">
        <v>90.734826869875604</v>
      </c>
      <c r="M209" s="3">
        <v>6.3886129366458997</v>
      </c>
      <c r="N209" s="3">
        <v>93.861304680750393</v>
      </c>
      <c r="O209" s="3">
        <v>7.1487346884700997</v>
      </c>
      <c r="P209" s="3">
        <v>57.297071833595801</v>
      </c>
      <c r="Q209" s="3">
        <v>81.171591505790403</v>
      </c>
      <c r="R209" s="3" t="str">
        <f>IF(Table1[[#This Row],[Nutrition_Quality_Score]]&lt;60, "Poor Nutrition",IF(AND(Table1[[#This Row],[Nutrition_Quality_Score]]&gt;=60,Table1[[#This Row],[Nutrition_Quality_Score]]&lt;=80),"Average Nutrition", "Good Nutrition"))</f>
        <v>Good Nutrition</v>
      </c>
      <c r="S209">
        <v>1</v>
      </c>
      <c r="T209" t="str">
        <f>IF(Table1[[#This Row],[Warmup_Routine_Adherence]]=1, "Adherent","Non-Adherent")</f>
        <v>Adherent</v>
      </c>
      <c r="U209">
        <v>0</v>
      </c>
      <c r="V209" t="str">
        <f>IF(Table1[[#This Row],[Injury_Next_Season]]=1, "Injury","No Injury")</f>
        <v>No Injury</v>
      </c>
      <c r="W209" s="3">
        <v>21.672110130948301</v>
      </c>
    </row>
    <row r="210" spans="1:23" x14ac:dyDescent="0.25">
      <c r="A210" s="6">
        <v>18</v>
      </c>
      <c r="B210" s="8" t="str">
        <f>CONCATENATE(Table1[[#This Row],[Age]]," ", "years")</f>
        <v>18 years</v>
      </c>
      <c r="C210">
        <v>173</v>
      </c>
      <c r="D210">
        <v>53</v>
      </c>
      <c r="E210" t="s">
        <v>19</v>
      </c>
      <c r="F210" s="3">
        <v>9.7570230581506507</v>
      </c>
      <c r="G210" s="3">
        <v>33</v>
      </c>
      <c r="H210">
        <v>0</v>
      </c>
      <c r="I210" s="3">
        <v>73.691999468503298</v>
      </c>
      <c r="J210" s="3">
        <v>76.172413471502907</v>
      </c>
      <c r="K210" s="3">
        <v>244.31135846998399</v>
      </c>
      <c r="L210" s="3">
        <v>79.263902838076604</v>
      </c>
      <c r="M210" s="3">
        <v>6.1088653146366703</v>
      </c>
      <c r="N210" s="3">
        <v>83.194333461749196</v>
      </c>
      <c r="O210" s="3">
        <v>7.0801016762992397</v>
      </c>
      <c r="P210" s="3">
        <v>69.872656478429903</v>
      </c>
      <c r="Q210" s="3">
        <v>74.774910623924299</v>
      </c>
      <c r="R210" s="3" t="str">
        <f>IF(Table1[[#This Row],[Nutrition_Quality_Score]]&lt;60, "Poor Nutrition",IF(AND(Table1[[#This Row],[Nutrition_Quality_Score]]&gt;=60,Table1[[#This Row],[Nutrition_Quality_Score]]&lt;=80),"Average Nutrition", "Good Nutrition"))</f>
        <v>Average Nutrition</v>
      </c>
      <c r="S210">
        <v>0</v>
      </c>
      <c r="T210" t="str">
        <f>IF(Table1[[#This Row],[Warmup_Routine_Adherence]]=1, "Adherent","Non-Adherent")</f>
        <v>Non-Adherent</v>
      </c>
      <c r="U210">
        <v>1</v>
      </c>
      <c r="V210" t="str">
        <f>IF(Table1[[#This Row],[Injury_Next_Season]]=1, "Injury","No Injury")</f>
        <v>Injury</v>
      </c>
      <c r="W210" s="3">
        <v>17.708576965484902</v>
      </c>
    </row>
    <row r="211" spans="1:23" x14ac:dyDescent="0.25">
      <c r="A211" s="6">
        <v>22</v>
      </c>
      <c r="B211" s="8" t="str">
        <f>CONCATENATE(Table1[[#This Row],[Age]]," ", "years")</f>
        <v>22 years</v>
      </c>
      <c r="C211">
        <v>185</v>
      </c>
      <c r="D211">
        <v>64</v>
      </c>
      <c r="E211" t="s">
        <v>22</v>
      </c>
      <c r="F211" s="3">
        <v>9.0679637696170001</v>
      </c>
      <c r="G211" s="3">
        <v>33</v>
      </c>
      <c r="H211">
        <v>2</v>
      </c>
      <c r="I211" s="3">
        <v>70.291319210062497</v>
      </c>
      <c r="J211" s="3">
        <v>90.509754034539597</v>
      </c>
      <c r="K211" s="3">
        <v>246.462637428222</v>
      </c>
      <c r="L211" s="3">
        <v>85.3512035070477</v>
      </c>
      <c r="M211" s="3">
        <v>6.2921295717639296</v>
      </c>
      <c r="N211" s="3">
        <v>91.358536140536302</v>
      </c>
      <c r="O211" s="3">
        <v>7.7359948546666697</v>
      </c>
      <c r="P211" s="3">
        <v>43.256512415180403</v>
      </c>
      <c r="Q211" s="3">
        <v>80.075543002012296</v>
      </c>
      <c r="R211" s="3" t="str">
        <f>IF(Table1[[#This Row],[Nutrition_Quality_Score]]&lt;60, "Poor Nutrition",IF(AND(Table1[[#This Row],[Nutrition_Quality_Score]]&gt;=60,Table1[[#This Row],[Nutrition_Quality_Score]]&lt;=80),"Average Nutrition", "Good Nutrition"))</f>
        <v>Good Nutrition</v>
      </c>
      <c r="S211">
        <v>0</v>
      </c>
      <c r="T211" t="str">
        <f>IF(Table1[[#This Row],[Warmup_Routine_Adherence]]=1, "Adherent","Non-Adherent")</f>
        <v>Non-Adherent</v>
      </c>
      <c r="U211">
        <v>0</v>
      </c>
      <c r="V211" t="str">
        <f>IF(Table1[[#This Row],[Injury_Next_Season]]=1, "Injury","No Injury")</f>
        <v>No Injury</v>
      </c>
      <c r="W211" s="3">
        <v>18.699780861943001</v>
      </c>
    </row>
    <row r="212" spans="1:23" x14ac:dyDescent="0.25">
      <c r="A212" s="6">
        <v>22</v>
      </c>
      <c r="B212" s="8" t="str">
        <f>CONCATENATE(Table1[[#This Row],[Age]]," ", "years")</f>
        <v>22 years</v>
      </c>
      <c r="C212">
        <v>167</v>
      </c>
      <c r="D212">
        <v>66</v>
      </c>
      <c r="E212" t="s">
        <v>21</v>
      </c>
      <c r="F212" s="3">
        <v>6.7160699210497201</v>
      </c>
      <c r="G212" s="3">
        <v>20</v>
      </c>
      <c r="H212">
        <v>2</v>
      </c>
      <c r="I212" s="3">
        <v>75.929580814382504</v>
      </c>
      <c r="J212" s="3">
        <v>79.374293585510003</v>
      </c>
      <c r="K212" s="3">
        <v>215.06072602167399</v>
      </c>
      <c r="L212" s="3">
        <v>92.587107131059895</v>
      </c>
      <c r="M212" s="3">
        <v>6.6496675259355902</v>
      </c>
      <c r="N212" s="3">
        <v>79.621598876181594</v>
      </c>
      <c r="O212" s="3">
        <v>7.6963540686110798</v>
      </c>
      <c r="P212" s="3">
        <v>62.550276076515701</v>
      </c>
      <c r="Q212" s="3">
        <v>68.944705618083802</v>
      </c>
      <c r="R212" s="3" t="str">
        <f>IF(Table1[[#This Row],[Nutrition_Quality_Score]]&lt;60, "Poor Nutrition",IF(AND(Table1[[#This Row],[Nutrition_Quality_Score]]&gt;=60,Table1[[#This Row],[Nutrition_Quality_Score]]&lt;=80),"Average Nutrition", "Good Nutrition"))</f>
        <v>Average Nutrition</v>
      </c>
      <c r="S212">
        <v>1</v>
      </c>
      <c r="T212" t="str">
        <f>IF(Table1[[#This Row],[Warmup_Routine_Adherence]]=1, "Adherent","Non-Adherent")</f>
        <v>Adherent</v>
      </c>
      <c r="U212">
        <v>0</v>
      </c>
      <c r="V212" t="str">
        <f>IF(Table1[[#This Row],[Injury_Next_Season]]=1, "Injury","No Injury")</f>
        <v>No Injury</v>
      </c>
      <c r="W212" s="3">
        <v>23.6652443615762</v>
      </c>
    </row>
    <row r="213" spans="1:23" x14ac:dyDescent="0.25">
      <c r="A213" s="6">
        <v>22</v>
      </c>
      <c r="B213" s="8" t="str">
        <f>CONCATENATE(Table1[[#This Row],[Age]]," ", "years")</f>
        <v>22 years</v>
      </c>
      <c r="C213">
        <v>174</v>
      </c>
      <c r="D213">
        <v>75</v>
      </c>
      <c r="E213" t="s">
        <v>19</v>
      </c>
      <c r="F213" s="3">
        <v>8.5650081830535694</v>
      </c>
      <c r="G213" s="3">
        <v>30</v>
      </c>
      <c r="H213">
        <v>2</v>
      </c>
      <c r="I213" s="3">
        <v>66.426389555061107</v>
      </c>
      <c r="J213" s="3">
        <v>78.283321078812193</v>
      </c>
      <c r="K213" s="3">
        <v>295.52187032601898</v>
      </c>
      <c r="L213" s="3">
        <v>77.675888259437201</v>
      </c>
      <c r="M213" s="3">
        <v>5.4804664606685103</v>
      </c>
      <c r="N213" s="3">
        <v>69.299248150224599</v>
      </c>
      <c r="O213" s="3">
        <v>8.1334929537172709</v>
      </c>
      <c r="P213" s="3">
        <v>72.751339426220895</v>
      </c>
      <c r="Q213" s="3">
        <v>53.799611782240802</v>
      </c>
      <c r="R213" s="3" t="str">
        <f>IF(Table1[[#This Row],[Nutrition_Quality_Score]]&lt;60, "Poor Nutrition",IF(AND(Table1[[#This Row],[Nutrition_Quality_Score]]&gt;=60,Table1[[#This Row],[Nutrition_Quality_Score]]&lt;=80),"Average Nutrition", "Good Nutrition"))</f>
        <v>Poor Nutrition</v>
      </c>
      <c r="S213">
        <v>1</v>
      </c>
      <c r="T213" t="str">
        <f>IF(Table1[[#This Row],[Warmup_Routine_Adherence]]=1, "Adherent","Non-Adherent")</f>
        <v>Adherent</v>
      </c>
      <c r="U213">
        <v>1</v>
      </c>
      <c r="V213" t="str">
        <f>IF(Table1[[#This Row],[Injury_Next_Season]]=1, "Injury","No Injury")</f>
        <v>Injury</v>
      </c>
      <c r="W213" s="3">
        <v>24.772096710265501</v>
      </c>
    </row>
    <row r="214" spans="1:23" x14ac:dyDescent="0.25">
      <c r="A214" s="6">
        <v>21</v>
      </c>
      <c r="B214" s="8" t="str">
        <f>CONCATENATE(Table1[[#This Row],[Age]]," ", "years")</f>
        <v>21 years</v>
      </c>
      <c r="C214">
        <v>184</v>
      </c>
      <c r="D214">
        <v>80</v>
      </c>
      <c r="E214" t="s">
        <v>20</v>
      </c>
      <c r="F214" s="3">
        <v>17.670755452303201</v>
      </c>
      <c r="G214" s="3">
        <v>14</v>
      </c>
      <c r="H214">
        <v>1</v>
      </c>
      <c r="I214" s="3">
        <v>63.117846441338898</v>
      </c>
      <c r="J214" s="3">
        <v>80.345379592873599</v>
      </c>
      <c r="K214" s="3">
        <v>248.012408369713</v>
      </c>
      <c r="L214" s="3">
        <v>70.911538827106696</v>
      </c>
      <c r="M214" s="3">
        <v>5.9964891749118499</v>
      </c>
      <c r="N214" s="3">
        <v>94.230898172347906</v>
      </c>
      <c r="O214" s="3">
        <v>7.1063496544890903</v>
      </c>
      <c r="P214" s="3">
        <v>58.188040763757598</v>
      </c>
      <c r="Q214" s="3">
        <v>83.346977207875597</v>
      </c>
      <c r="R214" s="3" t="str">
        <f>IF(Table1[[#This Row],[Nutrition_Quality_Score]]&lt;60, "Poor Nutrition",IF(AND(Table1[[#This Row],[Nutrition_Quality_Score]]&gt;=60,Table1[[#This Row],[Nutrition_Quality_Score]]&lt;=80),"Average Nutrition", "Good Nutrition"))</f>
        <v>Good Nutrition</v>
      </c>
      <c r="S214">
        <v>1</v>
      </c>
      <c r="T214" t="str">
        <f>IF(Table1[[#This Row],[Warmup_Routine_Adherence]]=1, "Adherent","Non-Adherent")</f>
        <v>Adherent</v>
      </c>
      <c r="U214">
        <v>1</v>
      </c>
      <c r="V214" t="str">
        <f>IF(Table1[[#This Row],[Injury_Next_Season]]=1, "Injury","No Injury")</f>
        <v>Injury</v>
      </c>
      <c r="W214" s="3">
        <v>23.629489603024499</v>
      </c>
    </row>
    <row r="215" spans="1:23" x14ac:dyDescent="0.25">
      <c r="A215" s="6">
        <v>24</v>
      </c>
      <c r="B215" s="8" t="str">
        <f>CONCATENATE(Table1[[#This Row],[Age]]," ", "years")</f>
        <v>24 years</v>
      </c>
      <c r="C215">
        <v>177</v>
      </c>
      <c r="D215">
        <v>67</v>
      </c>
      <c r="E215" t="s">
        <v>21</v>
      </c>
      <c r="F215" s="3">
        <v>10.183081781702599</v>
      </c>
      <c r="G215" s="3">
        <v>25</v>
      </c>
      <c r="H215">
        <v>3</v>
      </c>
      <c r="I215" s="3">
        <v>65.268282808847701</v>
      </c>
      <c r="J215" s="3">
        <v>83.683316458467104</v>
      </c>
      <c r="K215" s="3">
        <v>228.83292592108401</v>
      </c>
      <c r="L215" s="3">
        <v>80.453919002736797</v>
      </c>
      <c r="M215" s="3">
        <v>5.7190601320944303</v>
      </c>
      <c r="N215" s="3">
        <v>75.799712221312404</v>
      </c>
      <c r="O215" s="3">
        <v>6.0130962655558502</v>
      </c>
      <c r="P215" s="3">
        <v>76.044753770563204</v>
      </c>
      <c r="Q215" s="3">
        <v>75.303475716596196</v>
      </c>
      <c r="R215" s="3" t="str">
        <f>IF(Table1[[#This Row],[Nutrition_Quality_Score]]&lt;60, "Poor Nutrition",IF(AND(Table1[[#This Row],[Nutrition_Quality_Score]]&gt;=60,Table1[[#This Row],[Nutrition_Quality_Score]]&lt;=80),"Average Nutrition", "Good Nutrition"))</f>
        <v>Average Nutrition</v>
      </c>
      <c r="S215">
        <v>1</v>
      </c>
      <c r="T215" t="str">
        <f>IF(Table1[[#This Row],[Warmup_Routine_Adherence]]=1, "Adherent","Non-Adherent")</f>
        <v>Adherent</v>
      </c>
      <c r="U215">
        <v>1</v>
      </c>
      <c r="V215" t="str">
        <f>IF(Table1[[#This Row],[Injury_Next_Season]]=1, "Injury","No Injury")</f>
        <v>Injury</v>
      </c>
      <c r="W215" s="3">
        <v>21.385936352899801</v>
      </c>
    </row>
    <row r="216" spans="1:23" x14ac:dyDescent="0.25">
      <c r="A216" s="6">
        <v>20</v>
      </c>
      <c r="B216" s="8" t="str">
        <f>CONCATENATE(Table1[[#This Row],[Age]]," ", "years")</f>
        <v>20 years</v>
      </c>
      <c r="C216">
        <v>168</v>
      </c>
      <c r="D216">
        <v>77</v>
      </c>
      <c r="E216" t="s">
        <v>22</v>
      </c>
      <c r="F216" s="3">
        <v>13.8642791742844</v>
      </c>
      <c r="G216" s="3">
        <v>35</v>
      </c>
      <c r="H216">
        <v>0</v>
      </c>
      <c r="I216" s="3">
        <v>69.706980939621204</v>
      </c>
      <c r="J216" s="3">
        <v>75.1685302402758</v>
      </c>
      <c r="K216" s="3">
        <v>237.11562366430101</v>
      </c>
      <c r="L216" s="3">
        <v>81.413023358407699</v>
      </c>
      <c r="M216" s="3">
        <v>5.4805996745509997</v>
      </c>
      <c r="N216" s="3">
        <v>96.316898585908007</v>
      </c>
      <c r="O216" s="3">
        <v>7.9887171118345304</v>
      </c>
      <c r="P216" s="3">
        <v>56.029506585903199</v>
      </c>
      <c r="Q216" s="3">
        <v>59.768511566072803</v>
      </c>
      <c r="R216" s="3" t="str">
        <f>IF(Table1[[#This Row],[Nutrition_Quality_Score]]&lt;60, "Poor Nutrition",IF(AND(Table1[[#This Row],[Nutrition_Quality_Score]]&gt;=60,Table1[[#This Row],[Nutrition_Quality_Score]]&lt;=80),"Average Nutrition", "Good Nutrition"))</f>
        <v>Poor Nutrition</v>
      </c>
      <c r="S216">
        <v>1</v>
      </c>
      <c r="T216" t="str">
        <f>IF(Table1[[#This Row],[Warmup_Routine_Adherence]]=1, "Adherent","Non-Adherent")</f>
        <v>Adherent</v>
      </c>
      <c r="U216">
        <v>1</v>
      </c>
      <c r="V216" t="str">
        <f>IF(Table1[[#This Row],[Injury_Next_Season]]=1, "Injury","No Injury")</f>
        <v>Injury</v>
      </c>
      <c r="W216" s="3">
        <v>27.281746031746</v>
      </c>
    </row>
    <row r="217" spans="1:23" x14ac:dyDescent="0.25">
      <c r="A217" s="6">
        <v>18</v>
      </c>
      <c r="B217" s="8" t="str">
        <f>CONCATENATE(Table1[[#This Row],[Age]]," ", "years")</f>
        <v>18 years</v>
      </c>
      <c r="C217">
        <v>185</v>
      </c>
      <c r="D217">
        <v>67</v>
      </c>
      <c r="E217" t="s">
        <v>21</v>
      </c>
      <c r="F217" s="3">
        <v>8.4591294444635601</v>
      </c>
      <c r="G217" s="3">
        <v>25</v>
      </c>
      <c r="H217">
        <v>3</v>
      </c>
      <c r="I217" s="3">
        <v>75.503843310333906</v>
      </c>
      <c r="J217" s="3">
        <v>78.931520689645595</v>
      </c>
      <c r="K217" s="3">
        <v>251.25282008327301</v>
      </c>
      <c r="L217" s="3">
        <v>69.621798016045105</v>
      </c>
      <c r="M217" s="3">
        <v>6.4646981044395799</v>
      </c>
      <c r="N217" s="3">
        <v>78.686013397779703</v>
      </c>
      <c r="O217" s="3">
        <v>5.9922168239014599</v>
      </c>
      <c r="P217" s="3">
        <v>73.856810032460203</v>
      </c>
      <c r="Q217" s="3">
        <v>63.020656523620602</v>
      </c>
      <c r="R217" s="3" t="str">
        <f>IF(Table1[[#This Row],[Nutrition_Quality_Score]]&lt;60, "Poor Nutrition",IF(AND(Table1[[#This Row],[Nutrition_Quality_Score]]&gt;=60,Table1[[#This Row],[Nutrition_Quality_Score]]&lt;=80),"Average Nutrition", "Good Nutrition"))</f>
        <v>Average Nutrition</v>
      </c>
      <c r="S217">
        <v>0</v>
      </c>
      <c r="T217" t="str">
        <f>IF(Table1[[#This Row],[Warmup_Routine_Adherence]]=1, "Adherent","Non-Adherent")</f>
        <v>Non-Adherent</v>
      </c>
      <c r="U217">
        <v>1</v>
      </c>
      <c r="V217" t="str">
        <f>IF(Table1[[#This Row],[Injury_Next_Season]]=1, "Injury","No Injury")</f>
        <v>Injury</v>
      </c>
      <c r="W217" s="3">
        <v>19.576333089846599</v>
      </c>
    </row>
    <row r="218" spans="1:23" x14ac:dyDescent="0.25">
      <c r="A218" s="6">
        <v>23</v>
      </c>
      <c r="B218" s="8" t="str">
        <f>CONCATENATE(Table1[[#This Row],[Age]]," ", "years")</f>
        <v>23 years</v>
      </c>
      <c r="C218">
        <v>184</v>
      </c>
      <c r="D218">
        <v>59</v>
      </c>
      <c r="E218" t="s">
        <v>19</v>
      </c>
      <c r="F218" s="3">
        <v>7.7073377601788602</v>
      </c>
      <c r="G218" s="3">
        <v>20</v>
      </c>
      <c r="H218">
        <v>1</v>
      </c>
      <c r="I218" s="3">
        <v>75.729727466072504</v>
      </c>
      <c r="J218" s="3">
        <v>82.082675368701302</v>
      </c>
      <c r="K218" s="3">
        <v>255.453048470532</v>
      </c>
      <c r="L218" s="3">
        <v>91.204488913633597</v>
      </c>
      <c r="M218" s="3">
        <v>5.8893968476471104</v>
      </c>
      <c r="N218" s="3">
        <v>77.297316889718601</v>
      </c>
      <c r="O218" s="3">
        <v>7.1857206074625299</v>
      </c>
      <c r="P218" s="3">
        <v>42.071387115280999</v>
      </c>
      <c r="Q218" s="3">
        <v>65.9408635247555</v>
      </c>
      <c r="R218" s="3" t="str">
        <f>IF(Table1[[#This Row],[Nutrition_Quality_Score]]&lt;60, "Poor Nutrition",IF(AND(Table1[[#This Row],[Nutrition_Quality_Score]]&gt;=60,Table1[[#This Row],[Nutrition_Quality_Score]]&lt;=80),"Average Nutrition", "Good Nutrition"))</f>
        <v>Average Nutrition</v>
      </c>
      <c r="S218">
        <v>1</v>
      </c>
      <c r="T218" t="str">
        <f>IF(Table1[[#This Row],[Warmup_Routine_Adherence]]=1, "Adherent","Non-Adherent")</f>
        <v>Adherent</v>
      </c>
      <c r="U218">
        <v>0</v>
      </c>
      <c r="V218" t="str">
        <f>IF(Table1[[#This Row],[Injury_Next_Season]]=1, "Injury","No Injury")</f>
        <v>No Injury</v>
      </c>
      <c r="W218" s="3">
        <v>17.426748582230601</v>
      </c>
    </row>
    <row r="219" spans="1:23" x14ac:dyDescent="0.25">
      <c r="A219" s="6">
        <v>22</v>
      </c>
      <c r="B219" s="8" t="str">
        <f>CONCATENATE(Table1[[#This Row],[Age]]," ", "years")</f>
        <v>22 years</v>
      </c>
      <c r="C219">
        <v>181</v>
      </c>
      <c r="D219">
        <v>74</v>
      </c>
      <c r="E219" t="s">
        <v>20</v>
      </c>
      <c r="F219" s="3">
        <v>10.184767180394401</v>
      </c>
      <c r="G219" s="3">
        <v>10</v>
      </c>
      <c r="H219">
        <v>0</v>
      </c>
      <c r="I219" s="3">
        <v>79.988885458817705</v>
      </c>
      <c r="J219" s="3">
        <v>66.442961959393301</v>
      </c>
      <c r="K219" s="3">
        <v>281.54064256184199</v>
      </c>
      <c r="L219" s="3">
        <v>76.027761654197604</v>
      </c>
      <c r="M219" s="3">
        <v>5.36254739345208</v>
      </c>
      <c r="N219" s="3">
        <v>66.506018959514293</v>
      </c>
      <c r="O219" s="3">
        <v>7.4912125036931396</v>
      </c>
      <c r="P219" s="3">
        <v>53.511822944131197</v>
      </c>
      <c r="Q219" s="3">
        <v>70.422415384237496</v>
      </c>
      <c r="R219" s="3" t="str">
        <f>IF(Table1[[#This Row],[Nutrition_Quality_Score]]&lt;60, "Poor Nutrition",IF(AND(Table1[[#This Row],[Nutrition_Quality_Score]]&gt;=60,Table1[[#This Row],[Nutrition_Quality_Score]]&lt;=80),"Average Nutrition", "Good Nutrition"))</f>
        <v>Average Nutrition</v>
      </c>
      <c r="S219">
        <v>0</v>
      </c>
      <c r="T219" t="str">
        <f>IF(Table1[[#This Row],[Warmup_Routine_Adherence]]=1, "Adherent","Non-Adherent")</f>
        <v>Non-Adherent</v>
      </c>
      <c r="U219">
        <v>1</v>
      </c>
      <c r="V219" t="str">
        <f>IF(Table1[[#This Row],[Injury_Next_Season]]=1, "Injury","No Injury")</f>
        <v>Injury</v>
      </c>
      <c r="W219" s="3">
        <v>22.587833094227801</v>
      </c>
    </row>
    <row r="220" spans="1:23" x14ac:dyDescent="0.25">
      <c r="A220" s="6">
        <v>22</v>
      </c>
      <c r="B220" s="8" t="str">
        <f>CONCATENATE(Table1[[#This Row],[Age]]," ", "years")</f>
        <v>22 years</v>
      </c>
      <c r="C220">
        <v>180</v>
      </c>
      <c r="D220">
        <v>62</v>
      </c>
      <c r="E220" t="s">
        <v>21</v>
      </c>
      <c r="F220" s="3">
        <v>10.0656054986674</v>
      </c>
      <c r="G220" s="3">
        <v>37</v>
      </c>
      <c r="H220">
        <v>3</v>
      </c>
      <c r="I220" s="3">
        <v>67.675395825630204</v>
      </c>
      <c r="J220" s="3">
        <v>87.379544854993298</v>
      </c>
      <c r="K220" s="3">
        <v>256.76986192591801</v>
      </c>
      <c r="L220" s="3">
        <v>89.194467039192503</v>
      </c>
      <c r="M220" s="3">
        <v>5.4771082206351203</v>
      </c>
      <c r="N220" s="3">
        <v>90.585879962670006</v>
      </c>
      <c r="O220" s="3">
        <v>7.9907475912596002</v>
      </c>
      <c r="P220" s="3">
        <v>49.146713783893802</v>
      </c>
      <c r="Q220" s="3">
        <v>65.030841361907093</v>
      </c>
      <c r="R220" s="3" t="str">
        <f>IF(Table1[[#This Row],[Nutrition_Quality_Score]]&lt;60, "Poor Nutrition",IF(AND(Table1[[#This Row],[Nutrition_Quality_Score]]&gt;=60,Table1[[#This Row],[Nutrition_Quality_Score]]&lt;=80),"Average Nutrition", "Good Nutrition"))</f>
        <v>Average Nutrition</v>
      </c>
      <c r="S220">
        <v>1</v>
      </c>
      <c r="T220" t="str">
        <f>IF(Table1[[#This Row],[Warmup_Routine_Adherence]]=1, "Adherent","Non-Adherent")</f>
        <v>Adherent</v>
      </c>
      <c r="U220">
        <v>1</v>
      </c>
      <c r="V220" t="str">
        <f>IF(Table1[[#This Row],[Injury_Next_Season]]=1, "Injury","No Injury")</f>
        <v>Injury</v>
      </c>
      <c r="W220" s="3">
        <v>19.1358024691358</v>
      </c>
    </row>
    <row r="221" spans="1:23" x14ac:dyDescent="0.25">
      <c r="A221" s="6">
        <v>23</v>
      </c>
      <c r="B221" s="8" t="str">
        <f>CONCATENATE(Table1[[#This Row],[Age]]," ", "years")</f>
        <v>23 years</v>
      </c>
      <c r="C221">
        <v>170</v>
      </c>
      <c r="D221">
        <v>77</v>
      </c>
      <c r="E221" t="s">
        <v>19</v>
      </c>
      <c r="F221" s="3">
        <v>10.4056396864293</v>
      </c>
      <c r="G221" s="3">
        <v>26</v>
      </c>
      <c r="H221">
        <v>0</v>
      </c>
      <c r="I221" s="3">
        <v>76.162515067320001</v>
      </c>
      <c r="J221" s="3">
        <v>86.913724465305705</v>
      </c>
      <c r="K221" s="3">
        <v>222.81198419480299</v>
      </c>
      <c r="L221" s="3">
        <v>91.181278332500895</v>
      </c>
      <c r="M221" s="3">
        <v>5.9352083531285098</v>
      </c>
      <c r="N221" s="3">
        <v>88.977393069635596</v>
      </c>
      <c r="O221" s="3">
        <v>7.4452568151725904</v>
      </c>
      <c r="P221" s="3">
        <v>36.926098371801402</v>
      </c>
      <c r="Q221" s="3">
        <v>94.873396541444194</v>
      </c>
      <c r="R221" s="3" t="str">
        <f>IF(Table1[[#This Row],[Nutrition_Quality_Score]]&lt;60, "Poor Nutrition",IF(AND(Table1[[#This Row],[Nutrition_Quality_Score]]&gt;=60,Table1[[#This Row],[Nutrition_Quality_Score]]&lt;=80),"Average Nutrition", "Good Nutrition"))</f>
        <v>Good Nutrition</v>
      </c>
      <c r="S221">
        <v>1</v>
      </c>
      <c r="T221" t="str">
        <f>IF(Table1[[#This Row],[Warmup_Routine_Adherence]]=1, "Adherent","Non-Adherent")</f>
        <v>Adherent</v>
      </c>
      <c r="U221">
        <v>0</v>
      </c>
      <c r="V221" t="str">
        <f>IF(Table1[[#This Row],[Injury_Next_Season]]=1, "Injury","No Injury")</f>
        <v>No Injury</v>
      </c>
      <c r="W221" s="3">
        <v>26.6435986159169</v>
      </c>
    </row>
    <row r="222" spans="1:23" x14ac:dyDescent="0.25">
      <c r="A222" s="6">
        <v>22</v>
      </c>
      <c r="B222" s="8" t="str">
        <f>CONCATENATE(Table1[[#This Row],[Age]]," ", "years")</f>
        <v>22 years</v>
      </c>
      <c r="C222">
        <v>189</v>
      </c>
      <c r="D222">
        <v>59</v>
      </c>
      <c r="E222" t="s">
        <v>22</v>
      </c>
      <c r="F222" s="3">
        <v>11.636256376359301</v>
      </c>
      <c r="G222" s="3">
        <v>13</v>
      </c>
      <c r="H222">
        <v>0</v>
      </c>
      <c r="I222" s="3">
        <v>72.218545154013796</v>
      </c>
      <c r="J222" s="3">
        <v>85.027163294504405</v>
      </c>
      <c r="K222" s="3">
        <v>238.14371900947501</v>
      </c>
      <c r="L222" s="3">
        <v>73.386582372287805</v>
      </c>
      <c r="M222" s="3">
        <v>5.9894979027400703</v>
      </c>
      <c r="N222" s="3">
        <v>84.372177985727205</v>
      </c>
      <c r="O222" s="3">
        <v>8.0648036402545298</v>
      </c>
      <c r="P222" s="3">
        <v>40.195413167816099</v>
      </c>
      <c r="Q222" s="3">
        <v>83.747941436696905</v>
      </c>
      <c r="R222" s="3" t="str">
        <f>IF(Table1[[#This Row],[Nutrition_Quality_Score]]&lt;60, "Poor Nutrition",IF(AND(Table1[[#This Row],[Nutrition_Quality_Score]]&gt;=60,Table1[[#This Row],[Nutrition_Quality_Score]]&lt;=80),"Average Nutrition", "Good Nutrition"))</f>
        <v>Good Nutrition</v>
      </c>
      <c r="S222">
        <v>1</v>
      </c>
      <c r="T222" t="str">
        <f>IF(Table1[[#This Row],[Warmup_Routine_Adherence]]=1, "Adherent","Non-Adherent")</f>
        <v>Adherent</v>
      </c>
      <c r="U222">
        <v>0</v>
      </c>
      <c r="V222" t="str">
        <f>IF(Table1[[#This Row],[Injury_Next_Season]]=1, "Injury","No Injury")</f>
        <v>No Injury</v>
      </c>
      <c r="W222" s="3">
        <v>16.5168948237731</v>
      </c>
    </row>
    <row r="223" spans="1:23" x14ac:dyDescent="0.25">
      <c r="A223" s="6">
        <v>24</v>
      </c>
      <c r="B223" s="8" t="str">
        <f>CONCATENATE(Table1[[#This Row],[Age]]," ", "years")</f>
        <v>24 years</v>
      </c>
      <c r="C223">
        <v>178</v>
      </c>
      <c r="D223">
        <v>92</v>
      </c>
      <c r="E223" t="s">
        <v>22</v>
      </c>
      <c r="F223" s="3">
        <v>9.2975066681173804</v>
      </c>
      <c r="G223" s="3">
        <v>31</v>
      </c>
      <c r="H223">
        <v>2</v>
      </c>
      <c r="I223" s="3">
        <v>71.913417667272796</v>
      </c>
      <c r="J223" s="3">
        <v>81.882622849651099</v>
      </c>
      <c r="K223" s="3">
        <v>250.865394078001</v>
      </c>
      <c r="L223" s="3">
        <v>70.212504651279303</v>
      </c>
      <c r="M223" s="3">
        <v>5.3227538896528399</v>
      </c>
      <c r="N223" s="3">
        <v>75.535294934651702</v>
      </c>
      <c r="O223" s="3">
        <v>6.9372430204709499</v>
      </c>
      <c r="P223" s="3">
        <v>55.870044247977098</v>
      </c>
      <c r="Q223" s="3">
        <v>64.828402727467207</v>
      </c>
      <c r="R223" s="3" t="str">
        <f>IF(Table1[[#This Row],[Nutrition_Quality_Score]]&lt;60, "Poor Nutrition",IF(AND(Table1[[#This Row],[Nutrition_Quality_Score]]&gt;=60,Table1[[#This Row],[Nutrition_Quality_Score]]&lt;=80),"Average Nutrition", "Good Nutrition"))</f>
        <v>Average Nutrition</v>
      </c>
      <c r="S223">
        <v>0</v>
      </c>
      <c r="T223" t="str">
        <f>IF(Table1[[#This Row],[Warmup_Routine_Adherence]]=1, "Adherent","Non-Adherent")</f>
        <v>Non-Adherent</v>
      </c>
      <c r="U223">
        <v>1</v>
      </c>
      <c r="V223" t="str">
        <f>IF(Table1[[#This Row],[Injury_Next_Season]]=1, "Injury","No Injury")</f>
        <v>Injury</v>
      </c>
      <c r="W223" s="3">
        <v>29.0367377856331</v>
      </c>
    </row>
    <row r="224" spans="1:23" x14ac:dyDescent="0.25">
      <c r="A224" s="6">
        <v>23</v>
      </c>
      <c r="B224" s="8" t="str">
        <f>CONCATENATE(Table1[[#This Row],[Age]]," ", "years")</f>
        <v>23 years</v>
      </c>
      <c r="C224">
        <v>193</v>
      </c>
      <c r="D224">
        <v>58</v>
      </c>
      <c r="E224" t="s">
        <v>20</v>
      </c>
      <c r="F224" s="3">
        <v>8.7193511521691995</v>
      </c>
      <c r="G224" s="3">
        <v>23</v>
      </c>
      <c r="H224">
        <v>1</v>
      </c>
      <c r="I224" s="3">
        <v>77.260899732123505</v>
      </c>
      <c r="J224" s="3">
        <v>91.527872633953706</v>
      </c>
      <c r="K224" s="3">
        <v>204.661172626927</v>
      </c>
      <c r="L224" s="3">
        <v>80.761918227238894</v>
      </c>
      <c r="M224" s="3">
        <v>6.0864287456860202</v>
      </c>
      <c r="N224" s="3">
        <v>86.534413940667804</v>
      </c>
      <c r="O224" s="3">
        <v>7.9301783871309102</v>
      </c>
      <c r="P224" s="3">
        <v>42.352255964019001</v>
      </c>
      <c r="Q224" s="3">
        <v>80.697153621448706</v>
      </c>
      <c r="R224" s="3" t="str">
        <f>IF(Table1[[#This Row],[Nutrition_Quality_Score]]&lt;60, "Poor Nutrition",IF(AND(Table1[[#This Row],[Nutrition_Quality_Score]]&gt;=60,Table1[[#This Row],[Nutrition_Quality_Score]]&lt;=80),"Average Nutrition", "Good Nutrition"))</f>
        <v>Good Nutrition</v>
      </c>
      <c r="S224">
        <v>1</v>
      </c>
      <c r="T224" t="str">
        <f>IF(Table1[[#This Row],[Warmup_Routine_Adherence]]=1, "Adherent","Non-Adherent")</f>
        <v>Adherent</v>
      </c>
      <c r="U224">
        <v>0</v>
      </c>
      <c r="V224" t="str">
        <f>IF(Table1[[#This Row],[Injury_Next_Season]]=1, "Injury","No Injury")</f>
        <v>No Injury</v>
      </c>
      <c r="W224" s="3">
        <v>15.570887809068701</v>
      </c>
    </row>
    <row r="225" spans="1:23" x14ac:dyDescent="0.25">
      <c r="A225" s="6">
        <v>19</v>
      </c>
      <c r="B225" s="8" t="str">
        <f>CONCATENATE(Table1[[#This Row],[Age]]," ", "years")</f>
        <v>19 years</v>
      </c>
      <c r="C225">
        <v>169</v>
      </c>
      <c r="D225">
        <v>70</v>
      </c>
      <c r="E225" t="s">
        <v>20</v>
      </c>
      <c r="F225" s="3">
        <v>10.641768089485501</v>
      </c>
      <c r="G225" s="3">
        <v>31</v>
      </c>
      <c r="H225">
        <v>3</v>
      </c>
      <c r="I225" s="3">
        <v>84.040374636801204</v>
      </c>
      <c r="J225" s="3">
        <v>73.0187761709076</v>
      </c>
      <c r="K225" s="3">
        <v>237.46233844912999</v>
      </c>
      <c r="L225" s="3">
        <v>85.451193634323403</v>
      </c>
      <c r="M225" s="3">
        <v>6.0278389148365203</v>
      </c>
      <c r="N225" s="3">
        <v>57.095413022155199</v>
      </c>
      <c r="O225" s="3">
        <v>7.5215253726240299</v>
      </c>
      <c r="P225" s="3">
        <v>46.967041981943801</v>
      </c>
      <c r="Q225" s="3">
        <v>77.279737873401999</v>
      </c>
      <c r="R225" s="3" t="str">
        <f>IF(Table1[[#This Row],[Nutrition_Quality_Score]]&lt;60, "Poor Nutrition",IF(AND(Table1[[#This Row],[Nutrition_Quality_Score]]&gt;=60,Table1[[#This Row],[Nutrition_Quality_Score]]&lt;=80),"Average Nutrition", "Good Nutrition"))</f>
        <v>Average Nutrition</v>
      </c>
      <c r="S225">
        <v>0</v>
      </c>
      <c r="T225" t="str">
        <f>IF(Table1[[#This Row],[Warmup_Routine_Adherence]]=1, "Adherent","Non-Adherent")</f>
        <v>Non-Adherent</v>
      </c>
      <c r="U225">
        <v>1</v>
      </c>
      <c r="V225" t="str">
        <f>IF(Table1[[#This Row],[Injury_Next_Season]]=1, "Injury","No Injury")</f>
        <v>Injury</v>
      </c>
      <c r="W225" s="3">
        <v>24.508945765204299</v>
      </c>
    </row>
    <row r="226" spans="1:23" x14ac:dyDescent="0.25">
      <c r="A226" s="6">
        <v>22</v>
      </c>
      <c r="B226" s="8" t="str">
        <f>CONCATENATE(Table1[[#This Row],[Age]]," ", "years")</f>
        <v>22 years</v>
      </c>
      <c r="C226">
        <v>160</v>
      </c>
      <c r="D226">
        <v>67</v>
      </c>
      <c r="E226" t="s">
        <v>20</v>
      </c>
      <c r="F226" s="3">
        <v>10.522221574481099</v>
      </c>
      <c r="G226" s="3">
        <v>26</v>
      </c>
      <c r="H226">
        <v>3</v>
      </c>
      <c r="I226" s="3">
        <v>70.008923475855298</v>
      </c>
      <c r="J226" s="3">
        <v>80.543331007744101</v>
      </c>
      <c r="K226" s="3">
        <v>254.89471859407399</v>
      </c>
      <c r="L226" s="3">
        <v>75.4394668082344</v>
      </c>
      <c r="M226" s="3">
        <v>5.7651082966159999</v>
      </c>
      <c r="N226" s="3">
        <v>75.805361770141801</v>
      </c>
      <c r="O226" s="3">
        <v>6.7340094468892104</v>
      </c>
      <c r="P226" s="3">
        <v>68.843368777137201</v>
      </c>
      <c r="Q226" s="3">
        <v>54.128286542932798</v>
      </c>
      <c r="R226" s="3" t="str">
        <f>IF(Table1[[#This Row],[Nutrition_Quality_Score]]&lt;60, "Poor Nutrition",IF(AND(Table1[[#This Row],[Nutrition_Quality_Score]]&gt;=60,Table1[[#This Row],[Nutrition_Quality_Score]]&lt;=80),"Average Nutrition", "Good Nutrition"))</f>
        <v>Poor Nutrition</v>
      </c>
      <c r="S226">
        <v>0</v>
      </c>
      <c r="T226" t="str">
        <f>IF(Table1[[#This Row],[Warmup_Routine_Adherence]]=1, "Adherent","Non-Adherent")</f>
        <v>Non-Adherent</v>
      </c>
      <c r="U226">
        <v>1</v>
      </c>
      <c r="V226" t="str">
        <f>IF(Table1[[#This Row],[Injury_Next_Season]]=1, "Injury","No Injury")</f>
        <v>Injury</v>
      </c>
      <c r="W226" s="3">
        <v>26.171874999999901</v>
      </c>
    </row>
    <row r="227" spans="1:23" x14ac:dyDescent="0.25">
      <c r="A227" s="6">
        <v>18</v>
      </c>
      <c r="B227" s="8" t="str">
        <f>CONCATENATE(Table1[[#This Row],[Age]]," ", "years")</f>
        <v>18 years</v>
      </c>
      <c r="C227">
        <v>177</v>
      </c>
      <c r="D227">
        <v>85</v>
      </c>
      <c r="E227" t="s">
        <v>21</v>
      </c>
      <c r="F227" s="3">
        <v>6.3416090311081001</v>
      </c>
      <c r="G227" s="3">
        <v>15</v>
      </c>
      <c r="H227">
        <v>0</v>
      </c>
      <c r="I227" s="3">
        <v>73.324993584519206</v>
      </c>
      <c r="J227" s="3">
        <v>85.000508903409099</v>
      </c>
      <c r="K227" s="3">
        <v>241.12166795173599</v>
      </c>
      <c r="L227" s="3">
        <v>89.242527923528698</v>
      </c>
      <c r="M227" s="3">
        <v>6.0109365675062598</v>
      </c>
      <c r="N227" s="3">
        <v>93.256377517607106</v>
      </c>
      <c r="O227" s="3">
        <v>7.6549458492272304</v>
      </c>
      <c r="P227" s="3">
        <v>37.799481446416202</v>
      </c>
      <c r="Q227" s="3">
        <v>74.5069144209819</v>
      </c>
      <c r="R227" s="3" t="str">
        <f>IF(Table1[[#This Row],[Nutrition_Quality_Score]]&lt;60, "Poor Nutrition",IF(AND(Table1[[#This Row],[Nutrition_Quality_Score]]&gt;=60,Table1[[#This Row],[Nutrition_Quality_Score]]&lt;=80),"Average Nutrition", "Good Nutrition"))</f>
        <v>Average Nutrition</v>
      </c>
      <c r="S227">
        <v>0</v>
      </c>
      <c r="T227" t="str">
        <f>IF(Table1[[#This Row],[Warmup_Routine_Adherence]]=1, "Adherent","Non-Adherent")</f>
        <v>Non-Adherent</v>
      </c>
      <c r="U227">
        <v>0</v>
      </c>
      <c r="V227" t="str">
        <f>IF(Table1[[#This Row],[Injury_Next_Season]]=1, "Injury","No Injury")</f>
        <v>No Injury</v>
      </c>
      <c r="W227" s="3">
        <v>27.131411790992299</v>
      </c>
    </row>
    <row r="228" spans="1:23" x14ac:dyDescent="0.25">
      <c r="A228" s="6">
        <v>19</v>
      </c>
      <c r="B228" s="8" t="str">
        <f>CONCATENATE(Table1[[#This Row],[Age]]," ", "years")</f>
        <v>19 years</v>
      </c>
      <c r="C228">
        <v>183</v>
      </c>
      <c r="D228">
        <v>105</v>
      </c>
      <c r="E228" t="s">
        <v>20</v>
      </c>
      <c r="F228" s="3">
        <v>9.7814408933950592</v>
      </c>
      <c r="G228" s="3">
        <v>21</v>
      </c>
      <c r="H228">
        <v>3</v>
      </c>
      <c r="I228" s="3">
        <v>73.661698804649504</v>
      </c>
      <c r="J228" s="3">
        <v>77.0005199966416</v>
      </c>
      <c r="K228" s="3">
        <v>271.91674448902802</v>
      </c>
      <c r="L228" s="3">
        <v>82.173804864640104</v>
      </c>
      <c r="M228" s="3">
        <v>5.7959757065947102</v>
      </c>
      <c r="N228" s="3">
        <v>73.962955778274207</v>
      </c>
      <c r="O228" s="3">
        <v>6.9581806448093602</v>
      </c>
      <c r="P228" s="3">
        <v>64.484009631003303</v>
      </c>
      <c r="Q228" s="3">
        <v>73.969808525265094</v>
      </c>
      <c r="R228" s="3" t="str">
        <f>IF(Table1[[#This Row],[Nutrition_Quality_Score]]&lt;60, "Poor Nutrition",IF(AND(Table1[[#This Row],[Nutrition_Quality_Score]]&gt;=60,Table1[[#This Row],[Nutrition_Quality_Score]]&lt;=80),"Average Nutrition", "Good Nutrition"))</f>
        <v>Average Nutrition</v>
      </c>
      <c r="S228">
        <v>0</v>
      </c>
      <c r="T228" t="str">
        <f>IF(Table1[[#This Row],[Warmup_Routine_Adherence]]=1, "Adherent","Non-Adherent")</f>
        <v>Non-Adherent</v>
      </c>
      <c r="U228">
        <v>1</v>
      </c>
      <c r="V228" t="str">
        <f>IF(Table1[[#This Row],[Injury_Next_Season]]=1, "Injury","No Injury")</f>
        <v>Injury</v>
      </c>
      <c r="W228" s="3">
        <v>31.3535787870644</v>
      </c>
    </row>
    <row r="229" spans="1:23" x14ac:dyDescent="0.25">
      <c r="A229" s="6">
        <v>22</v>
      </c>
      <c r="B229" s="8" t="str">
        <f>CONCATENATE(Table1[[#This Row],[Age]]," ", "years")</f>
        <v>22 years</v>
      </c>
      <c r="C229">
        <v>171</v>
      </c>
      <c r="D229">
        <v>59</v>
      </c>
      <c r="E229" t="s">
        <v>19</v>
      </c>
      <c r="F229" s="3">
        <v>9.6020374161081605</v>
      </c>
      <c r="G229" s="3">
        <v>13</v>
      </c>
      <c r="H229">
        <v>0</v>
      </c>
      <c r="I229" s="3">
        <v>77.193686214807897</v>
      </c>
      <c r="J229" s="3">
        <v>83.944945726717904</v>
      </c>
      <c r="K229" s="3">
        <v>212.30043726489001</v>
      </c>
      <c r="L229" s="3">
        <v>80.319073379479804</v>
      </c>
      <c r="M229" s="3">
        <v>6.3733277576953498</v>
      </c>
      <c r="N229" s="3">
        <v>76.030693026665105</v>
      </c>
      <c r="O229" s="3">
        <v>7.4254495273279399</v>
      </c>
      <c r="P229" s="3">
        <v>39.722789513865798</v>
      </c>
      <c r="Q229" s="3">
        <v>77.988931646181499</v>
      </c>
      <c r="R229" s="3" t="str">
        <f>IF(Table1[[#This Row],[Nutrition_Quality_Score]]&lt;60, "Poor Nutrition",IF(AND(Table1[[#This Row],[Nutrition_Quality_Score]]&gt;=60,Table1[[#This Row],[Nutrition_Quality_Score]]&lt;=80),"Average Nutrition", "Good Nutrition"))</f>
        <v>Average Nutrition</v>
      </c>
      <c r="S229">
        <v>1</v>
      </c>
      <c r="T229" t="str">
        <f>IF(Table1[[#This Row],[Warmup_Routine_Adherence]]=1, "Adherent","Non-Adherent")</f>
        <v>Adherent</v>
      </c>
      <c r="U229">
        <v>0</v>
      </c>
      <c r="V229" t="str">
        <f>IF(Table1[[#This Row],[Injury_Next_Season]]=1, "Injury","No Injury")</f>
        <v>No Injury</v>
      </c>
      <c r="W229" s="3">
        <v>20.1771485243322</v>
      </c>
    </row>
    <row r="230" spans="1:23" x14ac:dyDescent="0.25">
      <c r="A230" s="6">
        <v>19</v>
      </c>
      <c r="B230" s="8" t="str">
        <f>CONCATENATE(Table1[[#This Row],[Age]]," ", "years")</f>
        <v>19 years</v>
      </c>
      <c r="C230">
        <v>180</v>
      </c>
      <c r="D230">
        <v>86</v>
      </c>
      <c r="E230" t="s">
        <v>22</v>
      </c>
      <c r="F230" s="3">
        <v>5.9016839523588898</v>
      </c>
      <c r="G230" s="3">
        <v>6</v>
      </c>
      <c r="H230">
        <v>0</v>
      </c>
      <c r="I230" s="3">
        <v>78.1716433891213</v>
      </c>
      <c r="J230" s="3">
        <v>85.191730265217899</v>
      </c>
      <c r="K230" s="3">
        <v>249.14612908547801</v>
      </c>
      <c r="L230" s="3">
        <v>88.076672336962403</v>
      </c>
      <c r="M230" s="3">
        <v>6.1001232290127696</v>
      </c>
      <c r="N230" s="3">
        <v>89.4085659709678</v>
      </c>
      <c r="O230" s="3">
        <v>7.52489436837398</v>
      </c>
      <c r="P230" s="3">
        <v>55.686287772914199</v>
      </c>
      <c r="Q230" s="3">
        <v>68.793505245154194</v>
      </c>
      <c r="R230" s="3" t="str">
        <f>IF(Table1[[#This Row],[Nutrition_Quality_Score]]&lt;60, "Poor Nutrition",IF(AND(Table1[[#This Row],[Nutrition_Quality_Score]]&gt;=60,Table1[[#This Row],[Nutrition_Quality_Score]]&lt;=80),"Average Nutrition", "Good Nutrition"))</f>
        <v>Average Nutrition</v>
      </c>
      <c r="S230">
        <v>0</v>
      </c>
      <c r="T230" t="str">
        <f>IF(Table1[[#This Row],[Warmup_Routine_Adherence]]=1, "Adherent","Non-Adherent")</f>
        <v>Non-Adherent</v>
      </c>
      <c r="U230">
        <v>0</v>
      </c>
      <c r="V230" t="str">
        <f>IF(Table1[[#This Row],[Injury_Next_Season]]=1, "Injury","No Injury")</f>
        <v>No Injury</v>
      </c>
      <c r="W230" s="3">
        <v>26.543209876543202</v>
      </c>
    </row>
    <row r="231" spans="1:23" x14ac:dyDescent="0.25">
      <c r="A231" s="6">
        <v>18</v>
      </c>
      <c r="B231" s="8" t="str">
        <f>CONCATENATE(Table1[[#This Row],[Age]]," ", "years")</f>
        <v>18 years</v>
      </c>
      <c r="C231">
        <v>180</v>
      </c>
      <c r="D231">
        <v>74</v>
      </c>
      <c r="E231" t="s">
        <v>20</v>
      </c>
      <c r="F231" s="3">
        <v>9.4773903402922492</v>
      </c>
      <c r="G231" s="3">
        <v>9</v>
      </c>
      <c r="H231">
        <v>1</v>
      </c>
      <c r="I231" s="3">
        <v>84.580966196744299</v>
      </c>
      <c r="J231" s="3">
        <v>75.165480664709904</v>
      </c>
      <c r="K231" s="3">
        <v>254.72279413174601</v>
      </c>
      <c r="L231" s="3">
        <v>79.025165338783196</v>
      </c>
      <c r="M231" s="3">
        <v>5.2405495649575702</v>
      </c>
      <c r="N231" s="3">
        <v>66.980079263098503</v>
      </c>
      <c r="O231" s="3">
        <v>6.5857606952396699</v>
      </c>
      <c r="P231" s="3">
        <v>65.309990504869305</v>
      </c>
      <c r="Q231" s="3">
        <v>62.543485540634897</v>
      </c>
      <c r="R231" s="3" t="str">
        <f>IF(Table1[[#This Row],[Nutrition_Quality_Score]]&lt;60, "Poor Nutrition",IF(AND(Table1[[#This Row],[Nutrition_Quality_Score]]&gt;=60,Table1[[#This Row],[Nutrition_Quality_Score]]&lt;=80),"Average Nutrition", "Good Nutrition"))</f>
        <v>Average Nutrition</v>
      </c>
      <c r="S231">
        <v>0</v>
      </c>
      <c r="T231" t="str">
        <f>IF(Table1[[#This Row],[Warmup_Routine_Adherence]]=1, "Adherent","Non-Adherent")</f>
        <v>Non-Adherent</v>
      </c>
      <c r="U231">
        <v>1</v>
      </c>
      <c r="V231" t="str">
        <f>IF(Table1[[#This Row],[Injury_Next_Season]]=1, "Injury","No Injury")</f>
        <v>Injury</v>
      </c>
      <c r="W231" s="3">
        <v>22.839506172839499</v>
      </c>
    </row>
    <row r="232" spans="1:23" x14ac:dyDescent="0.25">
      <c r="A232" s="6">
        <v>19</v>
      </c>
      <c r="B232" s="8" t="str">
        <f>CONCATENATE(Table1[[#This Row],[Age]]," ", "years")</f>
        <v>19 years</v>
      </c>
      <c r="C232">
        <v>179</v>
      </c>
      <c r="D232">
        <v>66</v>
      </c>
      <c r="E232" t="s">
        <v>19</v>
      </c>
      <c r="F232" s="3">
        <v>12.8636598555911</v>
      </c>
      <c r="G232" s="3">
        <v>5</v>
      </c>
      <c r="H232">
        <v>3</v>
      </c>
      <c r="I232" s="3">
        <v>76.544080731854805</v>
      </c>
      <c r="J232" s="3">
        <v>81.121909393303099</v>
      </c>
      <c r="K232" s="3">
        <v>241.99572616176999</v>
      </c>
      <c r="L232" s="3">
        <v>90.797391203491898</v>
      </c>
      <c r="M232" s="3">
        <v>5.8002005041334197</v>
      </c>
      <c r="N232" s="3">
        <v>82.383767289108405</v>
      </c>
      <c r="O232" s="3">
        <v>7.86214627455103</v>
      </c>
      <c r="P232" s="3">
        <v>46.148665467891099</v>
      </c>
      <c r="Q232" s="3">
        <v>74.956583255443306</v>
      </c>
      <c r="R232" s="3" t="str">
        <f>IF(Table1[[#This Row],[Nutrition_Quality_Score]]&lt;60, "Poor Nutrition",IF(AND(Table1[[#This Row],[Nutrition_Quality_Score]]&gt;=60,Table1[[#This Row],[Nutrition_Quality_Score]]&lt;=80),"Average Nutrition", "Good Nutrition"))</f>
        <v>Average Nutrition</v>
      </c>
      <c r="S232">
        <v>1</v>
      </c>
      <c r="T232" t="str">
        <f>IF(Table1[[#This Row],[Warmup_Routine_Adherence]]=1, "Adherent","Non-Adherent")</f>
        <v>Adherent</v>
      </c>
      <c r="U232">
        <v>0</v>
      </c>
      <c r="V232" t="str">
        <f>IF(Table1[[#This Row],[Injury_Next_Season]]=1, "Injury","No Injury")</f>
        <v>No Injury</v>
      </c>
      <c r="W232" s="3">
        <v>20.598608033457101</v>
      </c>
    </row>
    <row r="233" spans="1:23" x14ac:dyDescent="0.25">
      <c r="A233" s="6">
        <v>20</v>
      </c>
      <c r="B233" s="8" t="str">
        <f>CONCATENATE(Table1[[#This Row],[Age]]," ", "years")</f>
        <v>20 years</v>
      </c>
      <c r="C233">
        <v>175</v>
      </c>
      <c r="D233">
        <v>58</v>
      </c>
      <c r="E233" t="s">
        <v>20</v>
      </c>
      <c r="F233" s="3">
        <v>10.8540083154128</v>
      </c>
      <c r="G233" s="3">
        <v>33</v>
      </c>
      <c r="H233">
        <v>3</v>
      </c>
      <c r="I233" s="3">
        <v>76.540523481719504</v>
      </c>
      <c r="J233" s="3">
        <v>75.990037491328593</v>
      </c>
      <c r="K233" s="3">
        <v>258.21344383953999</v>
      </c>
      <c r="L233" s="3">
        <v>83.351402478622305</v>
      </c>
      <c r="M233" s="3">
        <v>5.4833374356016602</v>
      </c>
      <c r="N233" s="3">
        <v>68.095852445343496</v>
      </c>
      <c r="O233" s="3">
        <v>7.0855107808215596</v>
      </c>
      <c r="P233" s="3">
        <v>63.469544487717997</v>
      </c>
      <c r="Q233" s="3">
        <v>66.873224864540603</v>
      </c>
      <c r="R233" s="3" t="str">
        <f>IF(Table1[[#This Row],[Nutrition_Quality_Score]]&lt;60, "Poor Nutrition",IF(AND(Table1[[#This Row],[Nutrition_Quality_Score]]&gt;=60,Table1[[#This Row],[Nutrition_Quality_Score]]&lt;=80),"Average Nutrition", "Good Nutrition"))</f>
        <v>Average Nutrition</v>
      </c>
      <c r="S233">
        <v>1</v>
      </c>
      <c r="T233" t="str">
        <f>IF(Table1[[#This Row],[Warmup_Routine_Adherence]]=1, "Adherent","Non-Adherent")</f>
        <v>Adherent</v>
      </c>
      <c r="U233">
        <v>1</v>
      </c>
      <c r="V233" t="str">
        <f>IF(Table1[[#This Row],[Injury_Next_Season]]=1, "Injury","No Injury")</f>
        <v>Injury</v>
      </c>
      <c r="W233" s="3">
        <v>18.938775510204</v>
      </c>
    </row>
    <row r="234" spans="1:23" x14ac:dyDescent="0.25">
      <c r="A234" s="6">
        <v>22</v>
      </c>
      <c r="B234" s="8" t="str">
        <f>CONCATENATE(Table1[[#This Row],[Age]]," ", "years")</f>
        <v>22 years</v>
      </c>
      <c r="C234">
        <v>167</v>
      </c>
      <c r="D234">
        <v>71</v>
      </c>
      <c r="E234" t="s">
        <v>20</v>
      </c>
      <c r="F234" s="3">
        <v>9.5858429816981996</v>
      </c>
      <c r="G234" s="3">
        <v>9</v>
      </c>
      <c r="H234">
        <v>2</v>
      </c>
      <c r="I234" s="3">
        <v>75.329694952870099</v>
      </c>
      <c r="J234" s="3">
        <v>65.440925432467594</v>
      </c>
      <c r="K234" s="3">
        <v>244.56091537576901</v>
      </c>
      <c r="L234" s="3">
        <v>80.572843663480199</v>
      </c>
      <c r="M234" s="3">
        <v>5.4510118100198497</v>
      </c>
      <c r="N234" s="3">
        <v>68.390109189914895</v>
      </c>
      <c r="O234" s="3">
        <v>7.0570342822902603</v>
      </c>
      <c r="P234" s="3">
        <v>63.324602425124603</v>
      </c>
      <c r="Q234" s="3">
        <v>71.790932860475294</v>
      </c>
      <c r="R234" s="3" t="str">
        <f>IF(Table1[[#This Row],[Nutrition_Quality_Score]]&lt;60, "Poor Nutrition",IF(AND(Table1[[#This Row],[Nutrition_Quality_Score]]&gt;=60,Table1[[#This Row],[Nutrition_Quality_Score]]&lt;=80),"Average Nutrition", "Good Nutrition"))</f>
        <v>Average Nutrition</v>
      </c>
      <c r="S234">
        <v>0</v>
      </c>
      <c r="T234" t="str">
        <f>IF(Table1[[#This Row],[Warmup_Routine_Adherence]]=1, "Adherent","Non-Adherent")</f>
        <v>Non-Adherent</v>
      </c>
      <c r="U234">
        <v>1</v>
      </c>
      <c r="V234" t="str">
        <f>IF(Table1[[#This Row],[Injury_Next_Season]]=1, "Injury","No Injury")</f>
        <v>Injury</v>
      </c>
      <c r="W234" s="3">
        <v>25.458065904119898</v>
      </c>
    </row>
    <row r="235" spans="1:23" x14ac:dyDescent="0.25">
      <c r="A235" s="6">
        <v>20</v>
      </c>
      <c r="B235" s="8" t="str">
        <f>CONCATENATE(Table1[[#This Row],[Age]]," ", "years")</f>
        <v>20 years</v>
      </c>
      <c r="C235">
        <v>168</v>
      </c>
      <c r="D235">
        <v>86</v>
      </c>
      <c r="E235" t="s">
        <v>21</v>
      </c>
      <c r="F235" s="3">
        <v>9.3128287793623699</v>
      </c>
      <c r="G235" s="3">
        <v>10</v>
      </c>
      <c r="H235">
        <v>3</v>
      </c>
      <c r="I235" s="3">
        <v>67.7592468556808</v>
      </c>
      <c r="J235" s="3">
        <v>83.665049875036999</v>
      </c>
      <c r="K235" s="3">
        <v>273.75213760311402</v>
      </c>
      <c r="L235" s="3">
        <v>84.3506160478032</v>
      </c>
      <c r="M235" s="3">
        <v>6.0877209431266301</v>
      </c>
      <c r="N235" s="3">
        <v>83.943012083562195</v>
      </c>
      <c r="O235" s="3">
        <v>6.7497658390022197</v>
      </c>
      <c r="P235" s="3">
        <v>65.095837585440705</v>
      </c>
      <c r="Q235" s="3">
        <v>70.525493328643705</v>
      </c>
      <c r="R235" s="3" t="str">
        <f>IF(Table1[[#This Row],[Nutrition_Quality_Score]]&lt;60, "Poor Nutrition",IF(AND(Table1[[#This Row],[Nutrition_Quality_Score]]&gt;=60,Table1[[#This Row],[Nutrition_Quality_Score]]&lt;=80),"Average Nutrition", "Good Nutrition"))</f>
        <v>Average Nutrition</v>
      </c>
      <c r="S235">
        <v>0</v>
      </c>
      <c r="T235" t="str">
        <f>IF(Table1[[#This Row],[Warmup_Routine_Adherence]]=1, "Adherent","Non-Adherent")</f>
        <v>Non-Adherent</v>
      </c>
      <c r="U235">
        <v>1</v>
      </c>
      <c r="V235" t="str">
        <f>IF(Table1[[#This Row],[Injury_Next_Season]]=1, "Injury","No Injury")</f>
        <v>Injury</v>
      </c>
      <c r="W235" s="3">
        <v>30.470521541950099</v>
      </c>
    </row>
    <row r="236" spans="1:23" x14ac:dyDescent="0.25">
      <c r="A236" s="6">
        <v>22</v>
      </c>
      <c r="B236" s="8" t="str">
        <f>CONCATENATE(Table1[[#This Row],[Age]]," ", "years")</f>
        <v>22 years</v>
      </c>
      <c r="C236">
        <v>169</v>
      </c>
      <c r="D236">
        <v>65</v>
      </c>
      <c r="E236" t="s">
        <v>21</v>
      </c>
      <c r="F236" s="3">
        <v>7.52573096736488</v>
      </c>
      <c r="G236" s="3">
        <v>14</v>
      </c>
      <c r="H236">
        <v>1</v>
      </c>
      <c r="I236" s="3">
        <v>72.229035703608403</v>
      </c>
      <c r="J236" s="3">
        <v>77.301605884888204</v>
      </c>
      <c r="K236" s="3">
        <v>215.51627080839901</v>
      </c>
      <c r="L236" s="3">
        <v>89.422077827069202</v>
      </c>
      <c r="M236" s="3">
        <v>5.8087830217361498</v>
      </c>
      <c r="N236" s="3">
        <v>82.125218147590601</v>
      </c>
      <c r="O236" s="3">
        <v>8.1063165698929698</v>
      </c>
      <c r="P236" s="3">
        <v>55.748373197021401</v>
      </c>
      <c r="Q236" s="3">
        <v>58.102807890535999</v>
      </c>
      <c r="R236" s="3" t="str">
        <f>IF(Table1[[#This Row],[Nutrition_Quality_Score]]&lt;60, "Poor Nutrition",IF(AND(Table1[[#This Row],[Nutrition_Quality_Score]]&gt;=60,Table1[[#This Row],[Nutrition_Quality_Score]]&lt;=80),"Average Nutrition", "Good Nutrition"))</f>
        <v>Poor Nutrition</v>
      </c>
      <c r="S236">
        <v>1</v>
      </c>
      <c r="T236" t="str">
        <f>IF(Table1[[#This Row],[Warmup_Routine_Adherence]]=1, "Adherent","Non-Adherent")</f>
        <v>Adherent</v>
      </c>
      <c r="U236">
        <v>1</v>
      </c>
      <c r="V236" t="str">
        <f>IF(Table1[[#This Row],[Injury_Next_Season]]=1, "Injury","No Injury")</f>
        <v>Injury</v>
      </c>
      <c r="W236" s="3">
        <v>22.758306781975399</v>
      </c>
    </row>
    <row r="237" spans="1:23" x14ac:dyDescent="0.25">
      <c r="A237" s="6">
        <v>22</v>
      </c>
      <c r="B237" s="8" t="str">
        <f>CONCATENATE(Table1[[#This Row],[Age]]," ", "years")</f>
        <v>22 years</v>
      </c>
      <c r="C237">
        <v>174</v>
      </c>
      <c r="D237">
        <v>45</v>
      </c>
      <c r="E237" t="s">
        <v>21</v>
      </c>
      <c r="F237" s="3">
        <v>11.375041655706299</v>
      </c>
      <c r="G237" s="3">
        <v>22</v>
      </c>
      <c r="H237">
        <v>2</v>
      </c>
      <c r="I237" s="3">
        <v>72.266299918246403</v>
      </c>
      <c r="J237" s="3">
        <v>70.348262766588107</v>
      </c>
      <c r="K237" s="3">
        <v>246.58881321803099</v>
      </c>
      <c r="L237" s="3">
        <v>87.663680818352603</v>
      </c>
      <c r="M237" s="3">
        <v>5.6779997513208098</v>
      </c>
      <c r="N237" s="3">
        <v>69.067585325261803</v>
      </c>
      <c r="O237" s="3">
        <v>6.9982069235306499</v>
      </c>
      <c r="P237" s="3">
        <v>79.311898476979806</v>
      </c>
      <c r="Q237" s="3">
        <v>74.024344583440495</v>
      </c>
      <c r="R237" s="3" t="str">
        <f>IF(Table1[[#This Row],[Nutrition_Quality_Score]]&lt;60, "Poor Nutrition",IF(AND(Table1[[#This Row],[Nutrition_Quality_Score]]&gt;=60,Table1[[#This Row],[Nutrition_Quality_Score]]&lt;=80),"Average Nutrition", "Good Nutrition"))</f>
        <v>Average Nutrition</v>
      </c>
      <c r="S237">
        <v>0</v>
      </c>
      <c r="T237" t="str">
        <f>IF(Table1[[#This Row],[Warmup_Routine_Adherence]]=1, "Adherent","Non-Adherent")</f>
        <v>Non-Adherent</v>
      </c>
      <c r="U237">
        <v>1</v>
      </c>
      <c r="V237" t="str">
        <f>IF(Table1[[#This Row],[Injury_Next_Season]]=1, "Injury","No Injury")</f>
        <v>Injury</v>
      </c>
      <c r="W237" s="3">
        <v>14.863258026159301</v>
      </c>
    </row>
    <row r="238" spans="1:23" x14ac:dyDescent="0.25">
      <c r="A238" s="6">
        <v>20</v>
      </c>
      <c r="B238" s="8" t="str">
        <f>CONCATENATE(Table1[[#This Row],[Age]]," ", "years")</f>
        <v>20 years</v>
      </c>
      <c r="C238">
        <v>182</v>
      </c>
      <c r="D238">
        <v>68</v>
      </c>
      <c r="E238" t="s">
        <v>19</v>
      </c>
      <c r="F238" s="3">
        <v>7.4490438769089602</v>
      </c>
      <c r="G238" s="3">
        <v>7</v>
      </c>
      <c r="H238">
        <v>1</v>
      </c>
      <c r="I238" s="3">
        <v>83.391678382110499</v>
      </c>
      <c r="J238" s="3">
        <v>73.435517942592497</v>
      </c>
      <c r="K238" s="3">
        <v>194.85460002352099</v>
      </c>
      <c r="L238" s="3">
        <v>91.976021636915405</v>
      </c>
      <c r="M238" s="3">
        <v>6.4392397396693299</v>
      </c>
      <c r="N238" s="3">
        <v>83.921073229357503</v>
      </c>
      <c r="O238" s="3">
        <v>8.4947462588818095</v>
      </c>
      <c r="P238" s="3">
        <v>52.1998460851486</v>
      </c>
      <c r="Q238" s="3">
        <v>78.501706342384196</v>
      </c>
      <c r="R238" s="3" t="str">
        <f>IF(Table1[[#This Row],[Nutrition_Quality_Score]]&lt;60, "Poor Nutrition",IF(AND(Table1[[#This Row],[Nutrition_Quality_Score]]&gt;=60,Table1[[#This Row],[Nutrition_Quality_Score]]&lt;=80),"Average Nutrition", "Good Nutrition"))</f>
        <v>Average Nutrition</v>
      </c>
      <c r="S238">
        <v>1</v>
      </c>
      <c r="T238" t="str">
        <f>IF(Table1[[#This Row],[Warmup_Routine_Adherence]]=1, "Adherent","Non-Adherent")</f>
        <v>Adherent</v>
      </c>
      <c r="U238">
        <v>0</v>
      </c>
      <c r="V238" t="str">
        <f>IF(Table1[[#This Row],[Injury_Next_Season]]=1, "Injury","No Injury")</f>
        <v>No Injury</v>
      </c>
      <c r="W238" s="3">
        <v>20.528921627822701</v>
      </c>
    </row>
    <row r="239" spans="1:23" x14ac:dyDescent="0.25">
      <c r="A239" s="6">
        <v>18</v>
      </c>
      <c r="B239" s="8" t="str">
        <f>CONCATENATE(Table1[[#This Row],[Age]]," ", "years")</f>
        <v>18 years</v>
      </c>
      <c r="C239">
        <v>182</v>
      </c>
      <c r="D239">
        <v>87</v>
      </c>
      <c r="E239" t="s">
        <v>19</v>
      </c>
      <c r="F239" s="3">
        <v>17.978884552665502</v>
      </c>
      <c r="G239" s="3">
        <v>6</v>
      </c>
      <c r="H239">
        <v>2</v>
      </c>
      <c r="I239" s="3">
        <v>72.110783382025701</v>
      </c>
      <c r="J239" s="3">
        <v>78.0054954074416</v>
      </c>
      <c r="K239" s="3">
        <v>275.42543845487</v>
      </c>
      <c r="L239" s="3">
        <v>77.413282328987407</v>
      </c>
      <c r="M239" s="3">
        <v>5.8387841578054802</v>
      </c>
      <c r="N239" s="3">
        <v>62.266140782683102</v>
      </c>
      <c r="O239" s="3">
        <v>6.70090271221527</v>
      </c>
      <c r="P239" s="3">
        <v>61.840451025035698</v>
      </c>
      <c r="Q239" s="3">
        <v>60.884654230614103</v>
      </c>
      <c r="R239" s="3" t="str">
        <f>IF(Table1[[#This Row],[Nutrition_Quality_Score]]&lt;60, "Poor Nutrition",IF(AND(Table1[[#This Row],[Nutrition_Quality_Score]]&gt;=60,Table1[[#This Row],[Nutrition_Quality_Score]]&lt;=80),"Average Nutrition", "Good Nutrition"))</f>
        <v>Average Nutrition</v>
      </c>
      <c r="S239">
        <v>0</v>
      </c>
      <c r="T239" t="str">
        <f>IF(Table1[[#This Row],[Warmup_Routine_Adherence]]=1, "Adherent","Non-Adherent")</f>
        <v>Non-Adherent</v>
      </c>
      <c r="U239">
        <v>1</v>
      </c>
      <c r="V239" t="str">
        <f>IF(Table1[[#This Row],[Injury_Next_Season]]=1, "Injury","No Injury")</f>
        <v>Injury</v>
      </c>
      <c r="W239" s="3">
        <v>26.264943847361401</v>
      </c>
    </row>
    <row r="240" spans="1:23" x14ac:dyDescent="0.25">
      <c r="A240" s="6">
        <v>21</v>
      </c>
      <c r="B240" s="8" t="str">
        <f>CONCATENATE(Table1[[#This Row],[Age]]," ", "years")</f>
        <v>21 years</v>
      </c>
      <c r="C240">
        <v>172</v>
      </c>
      <c r="D240">
        <v>82</v>
      </c>
      <c r="E240" t="s">
        <v>22</v>
      </c>
      <c r="F240" s="3">
        <v>9.80705825547955</v>
      </c>
      <c r="G240" s="3">
        <v>21</v>
      </c>
      <c r="H240">
        <v>2</v>
      </c>
      <c r="I240" s="3">
        <v>65.7803976647441</v>
      </c>
      <c r="J240" s="3">
        <v>70.453507004998102</v>
      </c>
      <c r="K240" s="3">
        <v>264.80172319562803</v>
      </c>
      <c r="L240" s="3">
        <v>73.308568204392202</v>
      </c>
      <c r="M240" s="3">
        <v>6.0737781487416402</v>
      </c>
      <c r="N240" s="3">
        <v>75.030121543368693</v>
      </c>
      <c r="O240" s="3">
        <v>8.3785418822290705</v>
      </c>
      <c r="P240" s="3">
        <v>64.740796009486104</v>
      </c>
      <c r="Q240" s="3">
        <v>75.195487240585194</v>
      </c>
      <c r="R240" s="3" t="str">
        <f>IF(Table1[[#This Row],[Nutrition_Quality_Score]]&lt;60, "Poor Nutrition",IF(AND(Table1[[#This Row],[Nutrition_Quality_Score]]&gt;=60,Table1[[#This Row],[Nutrition_Quality_Score]]&lt;=80),"Average Nutrition", "Good Nutrition"))</f>
        <v>Average Nutrition</v>
      </c>
      <c r="S240">
        <v>0</v>
      </c>
      <c r="T240" t="str">
        <f>IF(Table1[[#This Row],[Warmup_Routine_Adherence]]=1, "Adherent","Non-Adherent")</f>
        <v>Non-Adherent</v>
      </c>
      <c r="U240">
        <v>1</v>
      </c>
      <c r="V240" t="str">
        <f>IF(Table1[[#This Row],[Injury_Next_Season]]=1, "Injury","No Injury")</f>
        <v>Injury</v>
      </c>
      <c r="W240" s="3">
        <v>27.717685235262302</v>
      </c>
    </row>
    <row r="241" spans="1:23" x14ac:dyDescent="0.25">
      <c r="A241" s="6">
        <v>23</v>
      </c>
      <c r="B241" s="8" t="str">
        <f>CONCATENATE(Table1[[#This Row],[Age]]," ", "years")</f>
        <v>23 years</v>
      </c>
      <c r="C241">
        <v>168</v>
      </c>
      <c r="D241">
        <v>65</v>
      </c>
      <c r="E241" t="s">
        <v>20</v>
      </c>
      <c r="F241" s="3">
        <v>9.27082378240884</v>
      </c>
      <c r="G241" s="3">
        <v>9</v>
      </c>
      <c r="H241">
        <v>3</v>
      </c>
      <c r="I241" s="3">
        <v>77.036172390966897</v>
      </c>
      <c r="J241" s="3">
        <v>73.382684906006702</v>
      </c>
      <c r="K241" s="3">
        <v>252.47533327980801</v>
      </c>
      <c r="L241" s="3">
        <v>71.854083673349706</v>
      </c>
      <c r="M241" s="3">
        <v>5.4117834821247799</v>
      </c>
      <c r="N241" s="3">
        <v>65.908221553863598</v>
      </c>
      <c r="O241" s="3">
        <v>7.0424628884638398</v>
      </c>
      <c r="P241" s="3">
        <v>46.866824085140699</v>
      </c>
      <c r="Q241" s="3">
        <v>76.721747168133504</v>
      </c>
      <c r="R241" s="3" t="str">
        <f>IF(Table1[[#This Row],[Nutrition_Quality_Score]]&lt;60, "Poor Nutrition",IF(AND(Table1[[#This Row],[Nutrition_Quality_Score]]&gt;=60,Table1[[#This Row],[Nutrition_Quality_Score]]&lt;=80),"Average Nutrition", "Good Nutrition"))</f>
        <v>Average Nutrition</v>
      </c>
      <c r="S241">
        <v>1</v>
      </c>
      <c r="T241" t="str">
        <f>IF(Table1[[#This Row],[Warmup_Routine_Adherence]]=1, "Adherent","Non-Adherent")</f>
        <v>Adherent</v>
      </c>
      <c r="U241">
        <v>1</v>
      </c>
      <c r="V241" t="str">
        <f>IF(Table1[[#This Row],[Injury_Next_Season]]=1, "Injury","No Injury")</f>
        <v>Injury</v>
      </c>
      <c r="W241" s="3">
        <v>23.030045351473898</v>
      </c>
    </row>
    <row r="242" spans="1:23" x14ac:dyDescent="0.25">
      <c r="A242" s="6">
        <v>19</v>
      </c>
      <c r="B242" s="8" t="str">
        <f>CONCATENATE(Table1[[#This Row],[Age]]," ", "years")</f>
        <v>19 years</v>
      </c>
      <c r="C242">
        <v>180</v>
      </c>
      <c r="D242">
        <v>86</v>
      </c>
      <c r="E242" t="s">
        <v>21</v>
      </c>
      <c r="F242" s="3">
        <v>11.367291621675299</v>
      </c>
      <c r="G242" s="3">
        <v>12</v>
      </c>
      <c r="H242">
        <v>1</v>
      </c>
      <c r="I242" s="3">
        <v>91.908881570819503</v>
      </c>
      <c r="J242" s="3">
        <v>84.709257771459704</v>
      </c>
      <c r="K242" s="3">
        <v>222.068860045115</v>
      </c>
      <c r="L242" s="3">
        <v>82.493448223942593</v>
      </c>
      <c r="M242" s="3">
        <v>5.5844920844582404</v>
      </c>
      <c r="N242" s="3">
        <v>81.199847918682394</v>
      </c>
      <c r="O242" s="3">
        <v>7.6348572383907403</v>
      </c>
      <c r="P242" s="3">
        <v>38.3582970942456</v>
      </c>
      <c r="Q242" s="3">
        <v>78.661174201968393</v>
      </c>
      <c r="R242" s="3" t="str">
        <f>IF(Table1[[#This Row],[Nutrition_Quality_Score]]&lt;60, "Poor Nutrition",IF(AND(Table1[[#This Row],[Nutrition_Quality_Score]]&gt;=60,Table1[[#This Row],[Nutrition_Quality_Score]]&lt;=80),"Average Nutrition", "Good Nutrition"))</f>
        <v>Average Nutrition</v>
      </c>
      <c r="S242">
        <v>1</v>
      </c>
      <c r="T242" t="str">
        <f>IF(Table1[[#This Row],[Warmup_Routine_Adherence]]=1, "Adherent","Non-Adherent")</f>
        <v>Adherent</v>
      </c>
      <c r="U242">
        <v>0</v>
      </c>
      <c r="V242" t="str">
        <f>IF(Table1[[#This Row],[Injury_Next_Season]]=1, "Injury","No Injury")</f>
        <v>No Injury</v>
      </c>
      <c r="W242" s="3">
        <v>26.543209876543202</v>
      </c>
    </row>
    <row r="243" spans="1:23" x14ac:dyDescent="0.25">
      <c r="A243" s="6">
        <v>19</v>
      </c>
      <c r="B243" s="8" t="str">
        <f>CONCATENATE(Table1[[#This Row],[Age]]," ", "years")</f>
        <v>19 years</v>
      </c>
      <c r="C243">
        <v>183</v>
      </c>
      <c r="D243">
        <v>71</v>
      </c>
      <c r="E243" t="s">
        <v>22</v>
      </c>
      <c r="F243" s="3">
        <v>7.32255613146563</v>
      </c>
      <c r="G243" s="3">
        <v>5</v>
      </c>
      <c r="H243">
        <v>1</v>
      </c>
      <c r="I243" s="3">
        <v>73.145135969957593</v>
      </c>
      <c r="J243" s="3">
        <v>80.304625193074102</v>
      </c>
      <c r="K243" s="3">
        <v>255.53330034809301</v>
      </c>
      <c r="L243" s="3">
        <v>91.916569686551895</v>
      </c>
      <c r="M243" s="3">
        <v>5.59897890609966</v>
      </c>
      <c r="N243" s="3">
        <v>91.104625920987701</v>
      </c>
      <c r="O243" s="3">
        <v>7.1429115549067896</v>
      </c>
      <c r="P243" s="3">
        <v>55.718852223230598</v>
      </c>
      <c r="Q243" s="3">
        <v>86.605045014809093</v>
      </c>
      <c r="R243" s="3" t="str">
        <f>IF(Table1[[#This Row],[Nutrition_Quality_Score]]&lt;60, "Poor Nutrition",IF(AND(Table1[[#This Row],[Nutrition_Quality_Score]]&gt;=60,Table1[[#This Row],[Nutrition_Quality_Score]]&lt;=80),"Average Nutrition", "Good Nutrition"))</f>
        <v>Good Nutrition</v>
      </c>
      <c r="S243">
        <v>1</v>
      </c>
      <c r="T243" t="str">
        <f>IF(Table1[[#This Row],[Warmup_Routine_Adherence]]=1, "Adherent","Non-Adherent")</f>
        <v>Adherent</v>
      </c>
      <c r="U243">
        <v>0</v>
      </c>
      <c r="V243" t="str">
        <f>IF(Table1[[#This Row],[Injury_Next_Season]]=1, "Injury","No Injury")</f>
        <v>No Injury</v>
      </c>
      <c r="W243" s="3">
        <v>21.200991370300599</v>
      </c>
    </row>
    <row r="244" spans="1:23" x14ac:dyDescent="0.25">
      <c r="A244" s="6">
        <v>22</v>
      </c>
      <c r="B244" s="8" t="str">
        <f>CONCATENATE(Table1[[#This Row],[Age]]," ", "years")</f>
        <v>22 years</v>
      </c>
      <c r="C244">
        <v>188</v>
      </c>
      <c r="D244">
        <v>76</v>
      </c>
      <c r="E244" t="s">
        <v>20</v>
      </c>
      <c r="F244" s="3">
        <v>8.2613319148331001</v>
      </c>
      <c r="G244" s="3">
        <v>39</v>
      </c>
      <c r="H244">
        <v>1</v>
      </c>
      <c r="I244" s="3">
        <v>63.574815590281297</v>
      </c>
      <c r="J244" s="3">
        <v>79.464214335448503</v>
      </c>
      <c r="K244" s="3">
        <v>257.68532616431497</v>
      </c>
      <c r="L244" s="3">
        <v>87.308645979477305</v>
      </c>
      <c r="M244" s="3">
        <v>5.8995214242798699</v>
      </c>
      <c r="N244" s="3">
        <v>74.931994246005999</v>
      </c>
      <c r="O244" s="3">
        <v>7.9345817489032804</v>
      </c>
      <c r="P244" s="3">
        <v>66.6853274528779</v>
      </c>
      <c r="Q244" s="3">
        <v>75.334918503855306</v>
      </c>
      <c r="R244" s="3" t="str">
        <f>IF(Table1[[#This Row],[Nutrition_Quality_Score]]&lt;60, "Poor Nutrition",IF(AND(Table1[[#This Row],[Nutrition_Quality_Score]]&gt;=60,Table1[[#This Row],[Nutrition_Quality_Score]]&lt;=80),"Average Nutrition", "Good Nutrition"))</f>
        <v>Average Nutrition</v>
      </c>
      <c r="S244">
        <v>1</v>
      </c>
      <c r="T244" t="str">
        <f>IF(Table1[[#This Row],[Warmup_Routine_Adherence]]=1, "Adherent","Non-Adherent")</f>
        <v>Adherent</v>
      </c>
      <c r="U244">
        <v>0</v>
      </c>
      <c r="V244" t="str">
        <f>IF(Table1[[#This Row],[Injury_Next_Season]]=1, "Injury","No Injury")</f>
        <v>No Injury</v>
      </c>
      <c r="W244" s="3">
        <v>21.5029425079221</v>
      </c>
    </row>
    <row r="245" spans="1:23" x14ac:dyDescent="0.25">
      <c r="A245" s="6">
        <v>23</v>
      </c>
      <c r="B245" s="8" t="str">
        <f>CONCATENATE(Table1[[#This Row],[Age]]," ", "years")</f>
        <v>23 years</v>
      </c>
      <c r="C245">
        <v>167</v>
      </c>
      <c r="D245">
        <v>75</v>
      </c>
      <c r="E245" t="s">
        <v>20</v>
      </c>
      <c r="F245" s="3">
        <v>6.7296267468241897</v>
      </c>
      <c r="G245" s="3">
        <v>20</v>
      </c>
      <c r="H245">
        <v>0</v>
      </c>
      <c r="I245" s="3">
        <v>69.492709692025201</v>
      </c>
      <c r="J245" s="3">
        <v>71.193307216999898</v>
      </c>
      <c r="K245" s="3">
        <v>243.94400719414199</v>
      </c>
      <c r="L245" s="3">
        <v>82.3697665407947</v>
      </c>
      <c r="M245" s="3">
        <v>6.4452943789266399</v>
      </c>
      <c r="N245" s="3">
        <v>81.081418217759406</v>
      </c>
      <c r="O245" s="3">
        <v>8.2116452206860799</v>
      </c>
      <c r="P245" s="3">
        <v>54.027854507148099</v>
      </c>
      <c r="Q245" s="3">
        <v>74.579823407710293</v>
      </c>
      <c r="R245" s="3" t="str">
        <f>IF(Table1[[#This Row],[Nutrition_Quality_Score]]&lt;60, "Poor Nutrition",IF(AND(Table1[[#This Row],[Nutrition_Quality_Score]]&gt;=60,Table1[[#This Row],[Nutrition_Quality_Score]]&lt;=80),"Average Nutrition", "Good Nutrition"))</f>
        <v>Average Nutrition</v>
      </c>
      <c r="S245">
        <v>1</v>
      </c>
      <c r="T245" t="str">
        <f>IF(Table1[[#This Row],[Warmup_Routine_Adherence]]=1, "Adherent","Non-Adherent")</f>
        <v>Adherent</v>
      </c>
      <c r="U245">
        <v>0</v>
      </c>
      <c r="V245" t="str">
        <f>IF(Table1[[#This Row],[Injury_Next_Season]]=1, "Injury","No Injury")</f>
        <v>No Injury</v>
      </c>
      <c r="W245" s="3">
        <v>26.892323138154801</v>
      </c>
    </row>
    <row r="246" spans="1:23" x14ac:dyDescent="0.25">
      <c r="A246" s="6">
        <v>19</v>
      </c>
      <c r="B246" s="8" t="str">
        <f>CONCATENATE(Table1[[#This Row],[Age]]," ", "years")</f>
        <v>19 years</v>
      </c>
      <c r="C246">
        <v>187</v>
      </c>
      <c r="D246">
        <v>66</v>
      </c>
      <c r="E246" t="s">
        <v>21</v>
      </c>
      <c r="F246" s="3">
        <v>10.699012877611301</v>
      </c>
      <c r="G246" s="3">
        <v>35</v>
      </c>
      <c r="H246">
        <v>2</v>
      </c>
      <c r="I246" s="3">
        <v>83.893991027093804</v>
      </c>
      <c r="J246" s="3">
        <v>73.861143671303196</v>
      </c>
      <c r="K246" s="3">
        <v>249.191059306357</v>
      </c>
      <c r="L246" s="3">
        <v>80.196831527940901</v>
      </c>
      <c r="M246" s="3">
        <v>5.3220440544798899</v>
      </c>
      <c r="N246" s="3">
        <v>78.411137582383702</v>
      </c>
      <c r="O246" s="3">
        <v>7.3715306191660899</v>
      </c>
      <c r="P246" s="3">
        <v>65.182292662869699</v>
      </c>
      <c r="Q246" s="3">
        <v>79.383163871696198</v>
      </c>
      <c r="R246" s="3" t="str">
        <f>IF(Table1[[#This Row],[Nutrition_Quality_Score]]&lt;60, "Poor Nutrition",IF(AND(Table1[[#This Row],[Nutrition_Quality_Score]]&gt;=60,Table1[[#This Row],[Nutrition_Quality_Score]]&lt;=80),"Average Nutrition", "Good Nutrition"))</f>
        <v>Average Nutrition</v>
      </c>
      <c r="S246">
        <v>0</v>
      </c>
      <c r="T246" t="str">
        <f>IF(Table1[[#This Row],[Warmup_Routine_Adherence]]=1, "Adherent","Non-Adherent")</f>
        <v>Non-Adherent</v>
      </c>
      <c r="U246">
        <v>1</v>
      </c>
      <c r="V246" t="str">
        <f>IF(Table1[[#This Row],[Injury_Next_Season]]=1, "Injury","No Injury")</f>
        <v>Injury</v>
      </c>
      <c r="W246" s="3">
        <v>18.873859704309499</v>
      </c>
    </row>
    <row r="247" spans="1:23" x14ac:dyDescent="0.25">
      <c r="A247" s="6">
        <v>24</v>
      </c>
      <c r="B247" s="8" t="str">
        <f>CONCATENATE(Table1[[#This Row],[Age]]," ", "years")</f>
        <v>24 years</v>
      </c>
      <c r="C247">
        <v>166</v>
      </c>
      <c r="D247">
        <v>73</v>
      </c>
      <c r="E247" t="s">
        <v>21</v>
      </c>
      <c r="F247" s="3">
        <v>5.4415056836854703</v>
      </c>
      <c r="G247" s="3">
        <v>26</v>
      </c>
      <c r="H247">
        <v>0</v>
      </c>
      <c r="I247" s="3">
        <v>69.778590193457802</v>
      </c>
      <c r="J247" s="3">
        <v>80.574771160636402</v>
      </c>
      <c r="K247" s="3">
        <v>217.03824981411901</v>
      </c>
      <c r="L247" s="3">
        <v>85.4100598318294</v>
      </c>
      <c r="M247" s="3">
        <v>6.1477010964768803</v>
      </c>
      <c r="N247" s="3">
        <v>96.650281970939503</v>
      </c>
      <c r="O247" s="3">
        <v>8.0140453505494698</v>
      </c>
      <c r="P247" s="3">
        <v>38.563023306879202</v>
      </c>
      <c r="Q247" s="3">
        <v>68.567973915512994</v>
      </c>
      <c r="R247" s="3" t="str">
        <f>IF(Table1[[#This Row],[Nutrition_Quality_Score]]&lt;60, "Poor Nutrition",IF(AND(Table1[[#This Row],[Nutrition_Quality_Score]]&gt;=60,Table1[[#This Row],[Nutrition_Quality_Score]]&lt;=80),"Average Nutrition", "Good Nutrition"))</f>
        <v>Average Nutrition</v>
      </c>
      <c r="S247">
        <v>1</v>
      </c>
      <c r="T247" t="str">
        <f>IF(Table1[[#This Row],[Warmup_Routine_Adherence]]=1, "Adherent","Non-Adherent")</f>
        <v>Adherent</v>
      </c>
      <c r="U247">
        <v>0</v>
      </c>
      <c r="V247" t="str">
        <f>IF(Table1[[#This Row],[Injury_Next_Season]]=1, "Injury","No Injury")</f>
        <v>No Injury</v>
      </c>
      <c r="W247" s="3">
        <v>26.491508201480599</v>
      </c>
    </row>
    <row r="248" spans="1:23" x14ac:dyDescent="0.25">
      <c r="A248" s="6">
        <v>21</v>
      </c>
      <c r="B248" s="8" t="str">
        <f>CONCATENATE(Table1[[#This Row],[Age]]," ", "years")</f>
        <v>21 years</v>
      </c>
      <c r="C248">
        <v>169</v>
      </c>
      <c r="D248">
        <v>56</v>
      </c>
      <c r="E248" t="s">
        <v>19</v>
      </c>
      <c r="F248" s="3">
        <v>10.873452071449501</v>
      </c>
      <c r="G248" s="3">
        <v>15</v>
      </c>
      <c r="H248">
        <v>2</v>
      </c>
      <c r="I248" s="3">
        <v>81.125544630617199</v>
      </c>
      <c r="J248" s="3">
        <v>74.053138714211897</v>
      </c>
      <c r="K248" s="3">
        <v>269.82712333314601</v>
      </c>
      <c r="L248" s="3">
        <v>86.5631934404812</v>
      </c>
      <c r="M248" s="3">
        <v>5.5653902407831701</v>
      </c>
      <c r="N248" s="3">
        <v>75.0343422611856</v>
      </c>
      <c r="O248" s="3">
        <v>5.6071464076790596</v>
      </c>
      <c r="P248" s="3">
        <v>52.967353544074598</v>
      </c>
      <c r="Q248" s="3">
        <v>74.265544639591596</v>
      </c>
      <c r="R248" s="3" t="str">
        <f>IF(Table1[[#This Row],[Nutrition_Quality_Score]]&lt;60, "Poor Nutrition",IF(AND(Table1[[#This Row],[Nutrition_Quality_Score]]&gt;=60,Table1[[#This Row],[Nutrition_Quality_Score]]&lt;=80),"Average Nutrition", "Good Nutrition"))</f>
        <v>Average Nutrition</v>
      </c>
      <c r="S248">
        <v>0</v>
      </c>
      <c r="T248" t="str">
        <f>IF(Table1[[#This Row],[Warmup_Routine_Adherence]]=1, "Adherent","Non-Adherent")</f>
        <v>Non-Adherent</v>
      </c>
      <c r="U248">
        <v>1</v>
      </c>
      <c r="V248" t="str">
        <f>IF(Table1[[#This Row],[Injury_Next_Season]]=1, "Injury","No Injury")</f>
        <v>Injury</v>
      </c>
      <c r="W248" s="3">
        <v>19.607156612163401</v>
      </c>
    </row>
    <row r="249" spans="1:23" x14ac:dyDescent="0.25">
      <c r="A249" s="6">
        <v>19</v>
      </c>
      <c r="B249" s="8" t="str">
        <f>CONCATENATE(Table1[[#This Row],[Age]]," ", "years")</f>
        <v>19 years</v>
      </c>
      <c r="C249">
        <v>179</v>
      </c>
      <c r="D249">
        <v>67</v>
      </c>
      <c r="E249" t="s">
        <v>21</v>
      </c>
      <c r="F249" s="3">
        <v>8.0787191164780694</v>
      </c>
      <c r="G249" s="3">
        <v>37</v>
      </c>
      <c r="H249">
        <v>2</v>
      </c>
      <c r="I249" s="3">
        <v>63.627500427303801</v>
      </c>
      <c r="J249" s="3">
        <v>66.750661976636493</v>
      </c>
      <c r="K249" s="3">
        <v>250.858722693982</v>
      </c>
      <c r="L249" s="3">
        <v>80.505610358449204</v>
      </c>
      <c r="M249" s="3">
        <v>6.3256254755171</v>
      </c>
      <c r="N249" s="3">
        <v>70.441965868294105</v>
      </c>
      <c r="O249" s="3">
        <v>7.2568163342302299</v>
      </c>
      <c r="P249" s="3">
        <v>53.737569773138397</v>
      </c>
      <c r="Q249" s="3">
        <v>75.246727706407896</v>
      </c>
      <c r="R249" s="3" t="str">
        <f>IF(Table1[[#This Row],[Nutrition_Quality_Score]]&lt;60, "Poor Nutrition",IF(AND(Table1[[#This Row],[Nutrition_Quality_Score]]&gt;=60,Table1[[#This Row],[Nutrition_Quality_Score]]&lt;=80),"Average Nutrition", "Good Nutrition"))</f>
        <v>Average Nutrition</v>
      </c>
      <c r="S249">
        <v>0</v>
      </c>
      <c r="T249" t="str">
        <f>IF(Table1[[#This Row],[Warmup_Routine_Adherence]]=1, "Adherent","Non-Adherent")</f>
        <v>Non-Adherent</v>
      </c>
      <c r="U249">
        <v>1</v>
      </c>
      <c r="V249" t="str">
        <f>IF(Table1[[#This Row],[Injury_Next_Season]]=1, "Injury","No Injury")</f>
        <v>Injury</v>
      </c>
      <c r="W249" s="3">
        <v>20.910708155176099</v>
      </c>
    </row>
    <row r="250" spans="1:23" x14ac:dyDescent="0.25">
      <c r="A250" s="6">
        <v>20</v>
      </c>
      <c r="B250" s="8" t="str">
        <f>CONCATENATE(Table1[[#This Row],[Age]]," ", "years")</f>
        <v>20 years</v>
      </c>
      <c r="C250">
        <v>174</v>
      </c>
      <c r="D250">
        <v>78</v>
      </c>
      <c r="E250" t="s">
        <v>20</v>
      </c>
      <c r="F250" s="3">
        <v>14.266649748421401</v>
      </c>
      <c r="G250" s="3">
        <v>13</v>
      </c>
      <c r="H250">
        <v>1</v>
      </c>
      <c r="I250" s="3">
        <v>74.951256347069005</v>
      </c>
      <c r="J250" s="3">
        <v>78.002038391327204</v>
      </c>
      <c r="K250" s="3">
        <v>279.92760773241599</v>
      </c>
      <c r="L250" s="3">
        <v>76.286820249174795</v>
      </c>
      <c r="M250" s="3">
        <v>5.7515682181268204</v>
      </c>
      <c r="N250" s="3">
        <v>68.505776135379307</v>
      </c>
      <c r="O250" s="3">
        <v>7.4302306227879198</v>
      </c>
      <c r="P250" s="3">
        <v>82.816270399963699</v>
      </c>
      <c r="Q250" s="3">
        <v>66.3605533577649</v>
      </c>
      <c r="R250" s="3" t="str">
        <f>IF(Table1[[#This Row],[Nutrition_Quality_Score]]&lt;60, "Poor Nutrition",IF(AND(Table1[[#This Row],[Nutrition_Quality_Score]]&gt;=60,Table1[[#This Row],[Nutrition_Quality_Score]]&lt;=80),"Average Nutrition", "Good Nutrition"))</f>
        <v>Average Nutrition</v>
      </c>
      <c r="S250">
        <v>0</v>
      </c>
      <c r="T250" t="str">
        <f>IF(Table1[[#This Row],[Warmup_Routine_Adherence]]=1, "Adherent","Non-Adherent")</f>
        <v>Non-Adherent</v>
      </c>
      <c r="U250">
        <v>1</v>
      </c>
      <c r="V250" t="str">
        <f>IF(Table1[[#This Row],[Injury_Next_Season]]=1, "Injury","No Injury")</f>
        <v>Injury</v>
      </c>
      <c r="W250" s="3">
        <v>25.7629805786761</v>
      </c>
    </row>
    <row r="251" spans="1:23" x14ac:dyDescent="0.25">
      <c r="A251" s="6">
        <v>23</v>
      </c>
      <c r="B251" s="8" t="str">
        <f>CONCATENATE(Table1[[#This Row],[Age]]," ", "years")</f>
        <v>23 years</v>
      </c>
      <c r="C251">
        <v>174</v>
      </c>
      <c r="D251">
        <v>58</v>
      </c>
      <c r="E251" t="s">
        <v>20</v>
      </c>
      <c r="F251" s="3">
        <v>6.44724961805671</v>
      </c>
      <c r="G251" s="3">
        <v>22</v>
      </c>
      <c r="H251">
        <v>3</v>
      </c>
      <c r="I251" s="3">
        <v>76.478911133575593</v>
      </c>
      <c r="J251" s="3">
        <v>78.188613498884095</v>
      </c>
      <c r="K251" s="3">
        <v>256.09082771611997</v>
      </c>
      <c r="L251" s="3">
        <v>82.601215259571305</v>
      </c>
      <c r="M251" s="3">
        <v>5.6235686273772396</v>
      </c>
      <c r="N251" s="3">
        <v>82.403731323553302</v>
      </c>
      <c r="O251" s="3">
        <v>6.5748962386015304</v>
      </c>
      <c r="P251" s="3">
        <v>54.347842015476303</v>
      </c>
      <c r="Q251" s="3">
        <v>79.538163656830704</v>
      </c>
      <c r="R251" s="3" t="str">
        <f>IF(Table1[[#This Row],[Nutrition_Quality_Score]]&lt;60, "Poor Nutrition",IF(AND(Table1[[#This Row],[Nutrition_Quality_Score]]&gt;=60,Table1[[#This Row],[Nutrition_Quality_Score]]&lt;=80),"Average Nutrition", "Good Nutrition"))</f>
        <v>Average Nutrition</v>
      </c>
      <c r="S251">
        <v>1</v>
      </c>
      <c r="T251" t="str">
        <f>IF(Table1[[#This Row],[Warmup_Routine_Adherence]]=1, "Adherent","Non-Adherent")</f>
        <v>Adherent</v>
      </c>
      <c r="U251">
        <v>1</v>
      </c>
      <c r="V251" t="str">
        <f>IF(Table1[[#This Row],[Injury_Next_Season]]=1, "Injury","No Injury")</f>
        <v>Injury</v>
      </c>
      <c r="W251" s="3">
        <v>19.157088122605298</v>
      </c>
    </row>
    <row r="252" spans="1:23" x14ac:dyDescent="0.25">
      <c r="A252" s="6">
        <v>21</v>
      </c>
      <c r="B252" s="8" t="str">
        <f>CONCATENATE(Table1[[#This Row],[Age]]," ", "years")</f>
        <v>21 years</v>
      </c>
      <c r="C252">
        <v>177</v>
      </c>
      <c r="D252">
        <v>68</v>
      </c>
      <c r="E252" t="s">
        <v>21</v>
      </c>
      <c r="F252" s="3">
        <v>9.1480073614055701</v>
      </c>
      <c r="G252" s="3">
        <v>14</v>
      </c>
      <c r="H252">
        <v>2</v>
      </c>
      <c r="I252" s="3">
        <v>76.665972176071094</v>
      </c>
      <c r="J252" s="3">
        <v>91.196986848557302</v>
      </c>
      <c r="K252" s="3">
        <v>232.99593816184199</v>
      </c>
      <c r="L252" s="3">
        <v>83.616066891237793</v>
      </c>
      <c r="M252" s="3">
        <v>5.7672542231414399</v>
      </c>
      <c r="N252" s="3">
        <v>67.100301880332594</v>
      </c>
      <c r="O252" s="3">
        <v>8.2687355590311906</v>
      </c>
      <c r="P252" s="3">
        <v>48.697087421045197</v>
      </c>
      <c r="Q252" s="3">
        <v>89.572758218718803</v>
      </c>
      <c r="R252" s="3" t="str">
        <f>IF(Table1[[#This Row],[Nutrition_Quality_Score]]&lt;60, "Poor Nutrition",IF(AND(Table1[[#This Row],[Nutrition_Quality_Score]]&gt;=60,Table1[[#This Row],[Nutrition_Quality_Score]]&lt;=80),"Average Nutrition", "Good Nutrition"))</f>
        <v>Good Nutrition</v>
      </c>
      <c r="S252">
        <v>0</v>
      </c>
      <c r="T252" t="str">
        <f>IF(Table1[[#This Row],[Warmup_Routine_Adherence]]=1, "Adherent","Non-Adherent")</f>
        <v>Non-Adherent</v>
      </c>
      <c r="U252">
        <v>0</v>
      </c>
      <c r="V252" t="str">
        <f>IF(Table1[[#This Row],[Injury_Next_Season]]=1, "Injury","No Injury")</f>
        <v>No Injury</v>
      </c>
      <c r="W252" s="3">
        <v>21.7051294327938</v>
      </c>
    </row>
    <row r="253" spans="1:23" x14ac:dyDescent="0.25">
      <c r="A253" s="6">
        <v>23</v>
      </c>
      <c r="B253" s="8" t="str">
        <f>CONCATENATE(Table1[[#This Row],[Age]]," ", "years")</f>
        <v>23 years</v>
      </c>
      <c r="C253">
        <v>170</v>
      </c>
      <c r="D253">
        <v>55</v>
      </c>
      <c r="E253" t="s">
        <v>20</v>
      </c>
      <c r="F253" s="3">
        <v>7.5138341224802101</v>
      </c>
      <c r="G253" s="3">
        <v>27</v>
      </c>
      <c r="H253">
        <v>1</v>
      </c>
      <c r="I253" s="3">
        <v>69.715276303642597</v>
      </c>
      <c r="J253" s="3">
        <v>86.4545729064493</v>
      </c>
      <c r="K253" s="3">
        <v>203.48667466576799</v>
      </c>
      <c r="L253" s="3">
        <v>81.738627723433098</v>
      </c>
      <c r="M253" s="3">
        <v>6.2269238331608996</v>
      </c>
      <c r="N253" s="3">
        <v>80.251480914504299</v>
      </c>
      <c r="O253" s="3">
        <v>7.2020058471541901</v>
      </c>
      <c r="P253" s="3">
        <v>38.734381245290301</v>
      </c>
      <c r="Q253" s="3">
        <v>79.772627798413794</v>
      </c>
      <c r="R253" s="3" t="str">
        <f>IF(Table1[[#This Row],[Nutrition_Quality_Score]]&lt;60, "Poor Nutrition",IF(AND(Table1[[#This Row],[Nutrition_Quality_Score]]&gt;=60,Table1[[#This Row],[Nutrition_Quality_Score]]&lt;=80),"Average Nutrition", "Good Nutrition"))</f>
        <v>Average Nutrition</v>
      </c>
      <c r="S253">
        <v>0</v>
      </c>
      <c r="T253" t="str">
        <f>IF(Table1[[#This Row],[Warmup_Routine_Adherence]]=1, "Adherent","Non-Adherent")</f>
        <v>Non-Adherent</v>
      </c>
      <c r="U253">
        <v>0</v>
      </c>
      <c r="V253" t="str">
        <f>IF(Table1[[#This Row],[Injury_Next_Season]]=1, "Injury","No Injury")</f>
        <v>No Injury</v>
      </c>
      <c r="W253" s="3">
        <v>19.031141868512101</v>
      </c>
    </row>
    <row r="254" spans="1:23" x14ac:dyDescent="0.25">
      <c r="A254" s="6">
        <v>24</v>
      </c>
      <c r="B254" s="8" t="str">
        <f>CONCATENATE(Table1[[#This Row],[Age]]," ", "years")</f>
        <v>24 years</v>
      </c>
      <c r="C254">
        <v>186</v>
      </c>
      <c r="D254">
        <v>83</v>
      </c>
      <c r="E254" t="s">
        <v>22</v>
      </c>
      <c r="F254" s="3">
        <v>9.2325257293342293</v>
      </c>
      <c r="G254" s="3">
        <v>28</v>
      </c>
      <c r="H254">
        <v>2</v>
      </c>
      <c r="I254" s="3">
        <v>76.182896748120001</v>
      </c>
      <c r="J254" s="3">
        <v>72.729326715286803</v>
      </c>
      <c r="K254" s="3">
        <v>261.49784951962198</v>
      </c>
      <c r="L254" s="3">
        <v>81.928803297978902</v>
      </c>
      <c r="M254" s="3">
        <v>5.5679469125166099</v>
      </c>
      <c r="N254" s="3">
        <v>72.699889847656493</v>
      </c>
      <c r="O254" s="3">
        <v>7.3854224602579297</v>
      </c>
      <c r="P254" s="3">
        <v>61.105032189639701</v>
      </c>
      <c r="Q254" s="3">
        <v>76.517296940362996</v>
      </c>
      <c r="R254" s="3" t="str">
        <f>IF(Table1[[#This Row],[Nutrition_Quality_Score]]&lt;60, "Poor Nutrition",IF(AND(Table1[[#This Row],[Nutrition_Quality_Score]]&gt;=60,Table1[[#This Row],[Nutrition_Quality_Score]]&lt;=80),"Average Nutrition", "Good Nutrition"))</f>
        <v>Average Nutrition</v>
      </c>
      <c r="S254">
        <v>0</v>
      </c>
      <c r="T254" t="str">
        <f>IF(Table1[[#This Row],[Warmup_Routine_Adherence]]=1, "Adherent","Non-Adherent")</f>
        <v>Non-Adherent</v>
      </c>
      <c r="U254">
        <v>1</v>
      </c>
      <c r="V254" t="str">
        <f>IF(Table1[[#This Row],[Injury_Next_Season]]=1, "Injury","No Injury")</f>
        <v>Injury</v>
      </c>
      <c r="W254" s="3">
        <v>23.991212856977601</v>
      </c>
    </row>
    <row r="255" spans="1:23" x14ac:dyDescent="0.25">
      <c r="A255" s="6">
        <v>24</v>
      </c>
      <c r="B255" s="8" t="str">
        <f>CONCATENATE(Table1[[#This Row],[Age]]," ", "years")</f>
        <v>24 years</v>
      </c>
      <c r="C255">
        <v>185</v>
      </c>
      <c r="D255">
        <v>70</v>
      </c>
      <c r="E255" t="s">
        <v>21</v>
      </c>
      <c r="F255" s="3">
        <v>8.5677013898302103</v>
      </c>
      <c r="G255" s="3">
        <v>24</v>
      </c>
      <c r="H255">
        <v>2</v>
      </c>
      <c r="I255" s="3">
        <v>74.425421632716606</v>
      </c>
      <c r="J255" s="3">
        <v>80.005134404160501</v>
      </c>
      <c r="K255" s="3">
        <v>240.39068352503301</v>
      </c>
      <c r="L255" s="3">
        <v>77.137556771816506</v>
      </c>
      <c r="M255" s="3">
        <v>5.6953379532148203</v>
      </c>
      <c r="N255" s="3">
        <v>89.118241625137699</v>
      </c>
      <c r="O255" s="3">
        <v>7.1091407137246803</v>
      </c>
      <c r="P255" s="3">
        <v>49.123003199950197</v>
      </c>
      <c r="Q255" s="3">
        <v>78.966168853893393</v>
      </c>
      <c r="R255" s="3" t="str">
        <f>IF(Table1[[#This Row],[Nutrition_Quality_Score]]&lt;60, "Poor Nutrition",IF(AND(Table1[[#This Row],[Nutrition_Quality_Score]]&gt;=60,Table1[[#This Row],[Nutrition_Quality_Score]]&lt;=80),"Average Nutrition", "Good Nutrition"))</f>
        <v>Average Nutrition</v>
      </c>
      <c r="S255">
        <v>0</v>
      </c>
      <c r="T255" t="str">
        <f>IF(Table1[[#This Row],[Warmup_Routine_Adherence]]=1, "Adherent","Non-Adherent")</f>
        <v>Non-Adherent</v>
      </c>
      <c r="U255">
        <v>1</v>
      </c>
      <c r="V255" t="str">
        <f>IF(Table1[[#This Row],[Injury_Next_Season]]=1, "Injury","No Injury")</f>
        <v>Injury</v>
      </c>
      <c r="W255" s="3">
        <v>20.452885317750098</v>
      </c>
    </row>
    <row r="256" spans="1:23" x14ac:dyDescent="0.25">
      <c r="A256" s="6">
        <v>20</v>
      </c>
      <c r="B256" s="8" t="str">
        <f>CONCATENATE(Table1[[#This Row],[Age]]," ", "years")</f>
        <v>20 years</v>
      </c>
      <c r="C256">
        <v>181</v>
      </c>
      <c r="D256">
        <v>78</v>
      </c>
      <c r="E256" t="s">
        <v>22</v>
      </c>
      <c r="F256" s="3">
        <v>11.461882538767</v>
      </c>
      <c r="G256" s="3">
        <v>36</v>
      </c>
      <c r="H256">
        <v>3</v>
      </c>
      <c r="I256" s="3">
        <v>81.606412696779302</v>
      </c>
      <c r="J256" s="3">
        <v>85.561791347607695</v>
      </c>
      <c r="K256" s="3">
        <v>216.94758250877101</v>
      </c>
      <c r="L256" s="3">
        <v>95.473310608877199</v>
      </c>
      <c r="M256" s="3">
        <v>6.4835788879959004</v>
      </c>
      <c r="N256" s="3">
        <v>66.524564525347401</v>
      </c>
      <c r="O256" s="3">
        <v>9.0208968753313705</v>
      </c>
      <c r="P256" s="3">
        <v>47.360509343236103</v>
      </c>
      <c r="Q256" s="3">
        <v>68.172369504797302</v>
      </c>
      <c r="R256" s="3" t="str">
        <f>IF(Table1[[#This Row],[Nutrition_Quality_Score]]&lt;60, "Poor Nutrition",IF(AND(Table1[[#This Row],[Nutrition_Quality_Score]]&gt;=60,Table1[[#This Row],[Nutrition_Quality_Score]]&lt;=80),"Average Nutrition", "Good Nutrition"))</f>
        <v>Average Nutrition</v>
      </c>
      <c r="S256">
        <v>0</v>
      </c>
      <c r="T256" t="str">
        <f>IF(Table1[[#This Row],[Warmup_Routine_Adherence]]=1, "Adherent","Non-Adherent")</f>
        <v>Non-Adherent</v>
      </c>
      <c r="U256">
        <v>0</v>
      </c>
      <c r="V256" t="str">
        <f>IF(Table1[[#This Row],[Injury_Next_Season]]=1, "Injury","No Injury")</f>
        <v>No Injury</v>
      </c>
      <c r="W256" s="3">
        <v>23.808797045267202</v>
      </c>
    </row>
    <row r="257" spans="1:23" x14ac:dyDescent="0.25">
      <c r="A257" s="6">
        <v>21</v>
      </c>
      <c r="B257" s="8" t="str">
        <f>CONCATENATE(Table1[[#This Row],[Age]]," ", "years")</f>
        <v>21 years</v>
      </c>
      <c r="C257">
        <v>182</v>
      </c>
      <c r="D257">
        <v>69</v>
      </c>
      <c r="E257" t="s">
        <v>22</v>
      </c>
      <c r="F257" s="3">
        <v>6.9477236213423401</v>
      </c>
      <c r="G257" s="3">
        <v>28</v>
      </c>
      <c r="H257">
        <v>0</v>
      </c>
      <c r="I257" s="3">
        <v>68.960343647749696</v>
      </c>
      <c r="J257" s="3">
        <v>83.249373674388707</v>
      </c>
      <c r="K257" s="3">
        <v>257.86050839584999</v>
      </c>
      <c r="L257" s="3">
        <v>75.813264091668202</v>
      </c>
      <c r="M257" s="3">
        <v>5.9921526171071804</v>
      </c>
      <c r="N257" s="3">
        <v>76.294136596992502</v>
      </c>
      <c r="O257" s="3">
        <v>6.1060893945656503</v>
      </c>
      <c r="P257" s="3">
        <v>50.644512060253199</v>
      </c>
      <c r="Q257" s="3">
        <v>77.799906440842804</v>
      </c>
      <c r="R257" s="3" t="str">
        <f>IF(Table1[[#This Row],[Nutrition_Quality_Score]]&lt;60, "Poor Nutrition",IF(AND(Table1[[#This Row],[Nutrition_Quality_Score]]&gt;=60,Table1[[#This Row],[Nutrition_Quality_Score]]&lt;=80),"Average Nutrition", "Good Nutrition"))</f>
        <v>Average Nutrition</v>
      </c>
      <c r="S257">
        <v>0</v>
      </c>
      <c r="T257" t="str">
        <f>IF(Table1[[#This Row],[Warmup_Routine_Adherence]]=1, "Adherent","Non-Adherent")</f>
        <v>Non-Adherent</v>
      </c>
      <c r="U257">
        <v>1</v>
      </c>
      <c r="V257" t="str">
        <f>IF(Table1[[#This Row],[Injury_Next_Season]]=1, "Injury","No Injury")</f>
        <v>Injury</v>
      </c>
      <c r="W257" s="3">
        <v>20.8308175341142</v>
      </c>
    </row>
    <row r="258" spans="1:23" x14ac:dyDescent="0.25">
      <c r="A258" s="6">
        <v>18</v>
      </c>
      <c r="B258" s="8" t="str">
        <f>CONCATENATE(Table1[[#This Row],[Age]]," ", "years")</f>
        <v>18 years</v>
      </c>
      <c r="C258">
        <v>177</v>
      </c>
      <c r="D258">
        <v>85</v>
      </c>
      <c r="E258" t="s">
        <v>22</v>
      </c>
      <c r="F258" s="3">
        <v>10.0142430281154</v>
      </c>
      <c r="G258" s="3">
        <v>20</v>
      </c>
      <c r="H258">
        <v>1</v>
      </c>
      <c r="I258" s="3">
        <v>70.827508458793204</v>
      </c>
      <c r="J258" s="3">
        <v>75.273411007435897</v>
      </c>
      <c r="K258" s="3">
        <v>246.87506484899299</v>
      </c>
      <c r="L258" s="3">
        <v>92.454310942191498</v>
      </c>
      <c r="M258" s="3">
        <v>5.2593605171570399</v>
      </c>
      <c r="N258" s="3">
        <v>70.260128411488793</v>
      </c>
      <c r="O258" s="3">
        <v>6.9455376430274498</v>
      </c>
      <c r="P258" s="3">
        <v>59.569085935852598</v>
      </c>
      <c r="Q258" s="3">
        <v>66.654159775908397</v>
      </c>
      <c r="R258" s="3" t="str">
        <f>IF(Table1[[#This Row],[Nutrition_Quality_Score]]&lt;60, "Poor Nutrition",IF(AND(Table1[[#This Row],[Nutrition_Quality_Score]]&gt;=60,Table1[[#This Row],[Nutrition_Quality_Score]]&lt;=80),"Average Nutrition", "Good Nutrition"))</f>
        <v>Average Nutrition</v>
      </c>
      <c r="S258">
        <v>1</v>
      </c>
      <c r="T258" t="str">
        <f>IF(Table1[[#This Row],[Warmup_Routine_Adherence]]=1, "Adherent","Non-Adherent")</f>
        <v>Adherent</v>
      </c>
      <c r="U258">
        <v>1</v>
      </c>
      <c r="V258" t="str">
        <f>IF(Table1[[#This Row],[Injury_Next_Season]]=1, "Injury","No Injury")</f>
        <v>Injury</v>
      </c>
      <c r="W258" s="3">
        <v>27.131411790992299</v>
      </c>
    </row>
    <row r="259" spans="1:23" x14ac:dyDescent="0.25">
      <c r="A259" s="6">
        <v>20</v>
      </c>
      <c r="B259" s="8" t="str">
        <f>CONCATENATE(Table1[[#This Row],[Age]]," ", "years")</f>
        <v>20 years</v>
      </c>
      <c r="C259">
        <v>171</v>
      </c>
      <c r="D259">
        <v>58</v>
      </c>
      <c r="E259" t="s">
        <v>21</v>
      </c>
      <c r="F259" s="3">
        <v>6.1257642246130004</v>
      </c>
      <c r="G259" s="3">
        <v>9</v>
      </c>
      <c r="H259">
        <v>1</v>
      </c>
      <c r="I259" s="3">
        <v>86.258926494094993</v>
      </c>
      <c r="J259" s="3">
        <v>95.377299834233597</v>
      </c>
      <c r="K259" s="3">
        <v>242.74867042893601</v>
      </c>
      <c r="L259" s="3">
        <v>83.383919516414593</v>
      </c>
      <c r="M259" s="3">
        <v>6.5699619147692703</v>
      </c>
      <c r="N259" s="3">
        <v>89.122561293195801</v>
      </c>
      <c r="O259" s="3">
        <v>8.4752888607775194</v>
      </c>
      <c r="P259" s="3">
        <v>34.915041129636897</v>
      </c>
      <c r="Q259" s="3">
        <v>70.735271785155106</v>
      </c>
      <c r="R259" s="3" t="str">
        <f>IF(Table1[[#This Row],[Nutrition_Quality_Score]]&lt;60, "Poor Nutrition",IF(AND(Table1[[#This Row],[Nutrition_Quality_Score]]&gt;=60,Table1[[#This Row],[Nutrition_Quality_Score]]&lt;=80),"Average Nutrition", "Good Nutrition"))</f>
        <v>Average Nutrition</v>
      </c>
      <c r="S259">
        <v>0</v>
      </c>
      <c r="T259" t="str">
        <f>IF(Table1[[#This Row],[Warmup_Routine_Adherence]]=1, "Adherent","Non-Adherent")</f>
        <v>Non-Adherent</v>
      </c>
      <c r="U259">
        <v>0</v>
      </c>
      <c r="V259" t="str">
        <f>IF(Table1[[#This Row],[Injury_Next_Season]]=1, "Injury","No Injury")</f>
        <v>No Injury</v>
      </c>
      <c r="W259" s="3">
        <v>19.835162956123199</v>
      </c>
    </row>
    <row r="260" spans="1:23" x14ac:dyDescent="0.25">
      <c r="A260" s="6">
        <v>24</v>
      </c>
      <c r="B260" s="8" t="str">
        <f>CONCATENATE(Table1[[#This Row],[Age]]," ", "years")</f>
        <v>24 years</v>
      </c>
      <c r="C260">
        <v>178</v>
      </c>
      <c r="D260">
        <v>76</v>
      </c>
      <c r="E260" t="s">
        <v>22</v>
      </c>
      <c r="F260" s="3">
        <v>9.8868387327815803</v>
      </c>
      <c r="G260" s="3">
        <v>10</v>
      </c>
      <c r="H260">
        <v>1</v>
      </c>
      <c r="I260" s="3">
        <v>71.273713497461202</v>
      </c>
      <c r="J260" s="3">
        <v>69.346958100937599</v>
      </c>
      <c r="K260" s="3">
        <v>249.82328646216999</v>
      </c>
      <c r="L260" s="3">
        <v>85.632365932312396</v>
      </c>
      <c r="M260" s="3">
        <v>5.4277857476434601</v>
      </c>
      <c r="N260" s="3">
        <v>71.111623352766301</v>
      </c>
      <c r="O260" s="3">
        <v>7.33836108241149</v>
      </c>
      <c r="P260" s="3">
        <v>46.305322991239102</v>
      </c>
      <c r="Q260" s="3">
        <v>60.123194897614901</v>
      </c>
      <c r="R260" s="3" t="str">
        <f>IF(Table1[[#This Row],[Nutrition_Quality_Score]]&lt;60, "Poor Nutrition",IF(AND(Table1[[#This Row],[Nutrition_Quality_Score]]&gt;=60,Table1[[#This Row],[Nutrition_Quality_Score]]&lt;=80),"Average Nutrition", "Good Nutrition"))</f>
        <v>Average Nutrition</v>
      </c>
      <c r="S260">
        <v>1</v>
      </c>
      <c r="T260" t="str">
        <f>IF(Table1[[#This Row],[Warmup_Routine_Adherence]]=1, "Adherent","Non-Adherent")</f>
        <v>Adherent</v>
      </c>
      <c r="U260">
        <v>1</v>
      </c>
      <c r="V260" t="str">
        <f>IF(Table1[[#This Row],[Injury_Next_Season]]=1, "Injury","No Injury")</f>
        <v>Injury</v>
      </c>
      <c r="W260" s="3">
        <v>23.986870344653401</v>
      </c>
    </row>
    <row r="261" spans="1:23" x14ac:dyDescent="0.25">
      <c r="A261" s="6">
        <v>18</v>
      </c>
      <c r="B261" s="8" t="str">
        <f>CONCATENATE(Table1[[#This Row],[Age]]," ", "years")</f>
        <v>18 years</v>
      </c>
      <c r="C261">
        <v>186</v>
      </c>
      <c r="D261">
        <v>79</v>
      </c>
      <c r="E261" t="s">
        <v>21</v>
      </c>
      <c r="F261" s="3">
        <v>13.1310815459449</v>
      </c>
      <c r="G261" s="3">
        <v>20</v>
      </c>
      <c r="H261">
        <v>5</v>
      </c>
      <c r="I261" s="3">
        <v>62.876994582313102</v>
      </c>
      <c r="J261" s="3">
        <v>76.662630769550404</v>
      </c>
      <c r="K261" s="3">
        <v>281.508269643088</v>
      </c>
      <c r="L261" s="3">
        <v>79.158311981802498</v>
      </c>
      <c r="M261" s="3">
        <v>5.7327812815897898</v>
      </c>
      <c r="N261" s="3">
        <v>82.135917917812606</v>
      </c>
      <c r="O261" s="3">
        <v>5.6762899031393701</v>
      </c>
      <c r="P261" s="3">
        <v>68.109196864864998</v>
      </c>
      <c r="Q261" s="3">
        <v>77.9886997608792</v>
      </c>
      <c r="R261" s="3" t="str">
        <f>IF(Table1[[#This Row],[Nutrition_Quality_Score]]&lt;60, "Poor Nutrition",IF(AND(Table1[[#This Row],[Nutrition_Quality_Score]]&gt;=60,Table1[[#This Row],[Nutrition_Quality_Score]]&lt;=80),"Average Nutrition", "Good Nutrition"))</f>
        <v>Average Nutrition</v>
      </c>
      <c r="S261">
        <v>0</v>
      </c>
      <c r="T261" t="str">
        <f>IF(Table1[[#This Row],[Warmup_Routine_Adherence]]=1, "Adherent","Non-Adherent")</f>
        <v>Non-Adherent</v>
      </c>
      <c r="U261">
        <v>1</v>
      </c>
      <c r="V261" t="str">
        <f>IF(Table1[[#This Row],[Injury_Next_Season]]=1, "Injury","No Injury")</f>
        <v>Injury</v>
      </c>
      <c r="W261" s="3">
        <v>22.835009827725699</v>
      </c>
    </row>
    <row r="262" spans="1:23" x14ac:dyDescent="0.25">
      <c r="A262" s="6">
        <v>22</v>
      </c>
      <c r="B262" s="8" t="str">
        <f>CONCATENATE(Table1[[#This Row],[Age]]," ", "years")</f>
        <v>22 years</v>
      </c>
      <c r="C262">
        <v>185</v>
      </c>
      <c r="D262">
        <v>81</v>
      </c>
      <c r="E262" t="s">
        <v>21</v>
      </c>
      <c r="F262" s="3">
        <v>5</v>
      </c>
      <c r="G262" s="3">
        <v>12</v>
      </c>
      <c r="H262">
        <v>1</v>
      </c>
      <c r="I262" s="3">
        <v>74.983406961414204</v>
      </c>
      <c r="J262" s="3">
        <v>72.670010483118205</v>
      </c>
      <c r="K262" s="3">
        <v>298.66647376501697</v>
      </c>
      <c r="L262" s="3">
        <v>84.465660012657395</v>
      </c>
      <c r="M262" s="3">
        <v>5.6383311200892896</v>
      </c>
      <c r="N262" s="3">
        <v>76.179352053948705</v>
      </c>
      <c r="O262" s="3">
        <v>8.6822696372211698</v>
      </c>
      <c r="P262" s="3">
        <v>63.174486110750799</v>
      </c>
      <c r="Q262" s="3">
        <v>73.427059689122999</v>
      </c>
      <c r="R262" s="3" t="str">
        <f>IF(Table1[[#This Row],[Nutrition_Quality_Score]]&lt;60, "Poor Nutrition",IF(AND(Table1[[#This Row],[Nutrition_Quality_Score]]&gt;=60,Table1[[#This Row],[Nutrition_Quality_Score]]&lt;=80),"Average Nutrition", "Good Nutrition"))</f>
        <v>Average Nutrition</v>
      </c>
      <c r="S262">
        <v>0</v>
      </c>
      <c r="T262" t="str">
        <f>IF(Table1[[#This Row],[Warmup_Routine_Adherence]]=1, "Adherent","Non-Adherent")</f>
        <v>Non-Adherent</v>
      </c>
      <c r="U262">
        <v>1</v>
      </c>
      <c r="V262" t="str">
        <f>IF(Table1[[#This Row],[Injury_Next_Season]]=1, "Injury","No Injury")</f>
        <v>Injury</v>
      </c>
      <c r="W262" s="3">
        <v>23.6669101533966</v>
      </c>
    </row>
    <row r="263" spans="1:23" x14ac:dyDescent="0.25">
      <c r="A263" s="6">
        <v>22</v>
      </c>
      <c r="B263" s="8" t="str">
        <f>CONCATENATE(Table1[[#This Row],[Age]]," ", "years")</f>
        <v>22 years</v>
      </c>
      <c r="C263">
        <v>180</v>
      </c>
      <c r="D263">
        <v>76</v>
      </c>
      <c r="E263" t="s">
        <v>21</v>
      </c>
      <c r="F263" s="3">
        <v>10.700781813413199</v>
      </c>
      <c r="G263" s="3">
        <v>9</v>
      </c>
      <c r="H263">
        <v>0</v>
      </c>
      <c r="I263" s="3">
        <v>70.265316177316706</v>
      </c>
      <c r="J263" s="3">
        <v>73.988600766716999</v>
      </c>
      <c r="K263" s="3">
        <v>240.16788199085701</v>
      </c>
      <c r="L263" s="3">
        <v>78.291563049999695</v>
      </c>
      <c r="M263" s="3">
        <v>5.7510851783075703</v>
      </c>
      <c r="N263" s="3">
        <v>76.416262582082794</v>
      </c>
      <c r="O263" s="3">
        <v>7.5346574952880196</v>
      </c>
      <c r="P263" s="3">
        <v>69.084702823657295</v>
      </c>
      <c r="Q263" s="3">
        <v>73.534352809323593</v>
      </c>
      <c r="R263" s="3" t="str">
        <f>IF(Table1[[#This Row],[Nutrition_Quality_Score]]&lt;60, "Poor Nutrition",IF(AND(Table1[[#This Row],[Nutrition_Quality_Score]]&gt;=60,Table1[[#This Row],[Nutrition_Quality_Score]]&lt;=80),"Average Nutrition", "Good Nutrition"))</f>
        <v>Average Nutrition</v>
      </c>
      <c r="S263">
        <v>0</v>
      </c>
      <c r="T263" t="str">
        <f>IF(Table1[[#This Row],[Warmup_Routine_Adherence]]=1, "Adherent","Non-Adherent")</f>
        <v>Non-Adherent</v>
      </c>
      <c r="U263">
        <v>1</v>
      </c>
      <c r="V263" t="str">
        <f>IF(Table1[[#This Row],[Injury_Next_Season]]=1, "Injury","No Injury")</f>
        <v>Injury</v>
      </c>
      <c r="W263" s="3">
        <v>23.456790123456699</v>
      </c>
    </row>
    <row r="264" spans="1:23" x14ac:dyDescent="0.25">
      <c r="A264" s="6">
        <v>23</v>
      </c>
      <c r="B264" s="8" t="str">
        <f>CONCATENATE(Table1[[#This Row],[Age]]," ", "years")</f>
        <v>23 years</v>
      </c>
      <c r="C264">
        <v>183</v>
      </c>
      <c r="D264">
        <v>69</v>
      </c>
      <c r="E264" t="s">
        <v>22</v>
      </c>
      <c r="F264" s="3">
        <v>14.7556196392984</v>
      </c>
      <c r="G264" s="3">
        <v>13</v>
      </c>
      <c r="H264">
        <v>0</v>
      </c>
      <c r="I264" s="3">
        <v>72.771062874003206</v>
      </c>
      <c r="J264" s="3">
        <v>76.576127976919594</v>
      </c>
      <c r="K264" s="3">
        <v>225.66298574272699</v>
      </c>
      <c r="L264" s="3">
        <v>80.429179407709995</v>
      </c>
      <c r="M264" s="3">
        <v>5.7123077226127004</v>
      </c>
      <c r="N264" s="3">
        <v>86.922043938718701</v>
      </c>
      <c r="O264" s="3">
        <v>6.7735462857574102</v>
      </c>
      <c r="P264" s="3">
        <v>55.851100587616003</v>
      </c>
      <c r="Q264" s="3">
        <v>74.154544825204496</v>
      </c>
      <c r="R264" s="3" t="str">
        <f>IF(Table1[[#This Row],[Nutrition_Quality_Score]]&lt;60, "Poor Nutrition",IF(AND(Table1[[#This Row],[Nutrition_Quality_Score]]&gt;=60,Table1[[#This Row],[Nutrition_Quality_Score]]&lt;=80),"Average Nutrition", "Good Nutrition"))</f>
        <v>Average Nutrition</v>
      </c>
      <c r="S264">
        <v>1</v>
      </c>
      <c r="T264" t="str">
        <f>IF(Table1[[#This Row],[Warmup_Routine_Adherence]]=1, "Adherent","Non-Adherent")</f>
        <v>Adherent</v>
      </c>
      <c r="U264">
        <v>0</v>
      </c>
      <c r="V264" t="str">
        <f>IF(Table1[[#This Row],[Injury_Next_Season]]=1, "Injury","No Injury")</f>
        <v>No Injury</v>
      </c>
      <c r="W264" s="3">
        <v>20.603780345785101</v>
      </c>
    </row>
    <row r="265" spans="1:23" x14ac:dyDescent="0.25">
      <c r="A265" s="6">
        <v>22</v>
      </c>
      <c r="B265" s="8" t="str">
        <f>CONCATENATE(Table1[[#This Row],[Age]]," ", "years")</f>
        <v>22 years</v>
      </c>
      <c r="C265">
        <v>180</v>
      </c>
      <c r="D265">
        <v>66</v>
      </c>
      <c r="E265" t="s">
        <v>19</v>
      </c>
      <c r="F265" s="3">
        <v>8.0355278174574991</v>
      </c>
      <c r="G265" s="3">
        <v>24</v>
      </c>
      <c r="H265">
        <v>1</v>
      </c>
      <c r="I265" s="3">
        <v>83.643289878514295</v>
      </c>
      <c r="J265" s="3">
        <v>85.025159194850403</v>
      </c>
      <c r="K265" s="3">
        <v>261.99392423760901</v>
      </c>
      <c r="L265" s="3">
        <v>83.658857249568101</v>
      </c>
      <c r="M265" s="3">
        <v>6.1924965515544796</v>
      </c>
      <c r="N265" s="3">
        <v>92.683221472844494</v>
      </c>
      <c r="O265" s="3">
        <v>6.9423248505528301</v>
      </c>
      <c r="P265" s="3">
        <v>39.045054113920102</v>
      </c>
      <c r="Q265" s="3">
        <v>93.931968053896995</v>
      </c>
      <c r="R265" s="3" t="str">
        <f>IF(Table1[[#This Row],[Nutrition_Quality_Score]]&lt;60, "Poor Nutrition",IF(AND(Table1[[#This Row],[Nutrition_Quality_Score]]&gt;=60,Table1[[#This Row],[Nutrition_Quality_Score]]&lt;=80),"Average Nutrition", "Good Nutrition"))</f>
        <v>Good Nutrition</v>
      </c>
      <c r="S265">
        <v>1</v>
      </c>
      <c r="T265" t="str">
        <f>IF(Table1[[#This Row],[Warmup_Routine_Adherence]]=1, "Adherent","Non-Adherent")</f>
        <v>Adherent</v>
      </c>
      <c r="U265">
        <v>0</v>
      </c>
      <c r="V265" t="str">
        <f>IF(Table1[[#This Row],[Injury_Next_Season]]=1, "Injury","No Injury")</f>
        <v>No Injury</v>
      </c>
      <c r="W265" s="3">
        <v>20.370370370370299</v>
      </c>
    </row>
    <row r="266" spans="1:23" x14ac:dyDescent="0.25">
      <c r="A266" s="6">
        <v>22</v>
      </c>
      <c r="B266" s="8" t="str">
        <f>CONCATENATE(Table1[[#This Row],[Age]]," ", "years")</f>
        <v>22 years</v>
      </c>
      <c r="C266">
        <v>189</v>
      </c>
      <c r="D266">
        <v>76</v>
      </c>
      <c r="E266" t="s">
        <v>21</v>
      </c>
      <c r="F266" s="3">
        <v>7.6182401491042802</v>
      </c>
      <c r="G266" s="3">
        <v>38</v>
      </c>
      <c r="H266">
        <v>1</v>
      </c>
      <c r="I266" s="3">
        <v>75.6055722313681</v>
      </c>
      <c r="J266" s="3">
        <v>76.660179245997398</v>
      </c>
      <c r="K266" s="3">
        <v>264.96636886711502</v>
      </c>
      <c r="L266" s="3">
        <v>83.352910404751995</v>
      </c>
      <c r="M266" s="3">
        <v>6.0339306166718796</v>
      </c>
      <c r="N266" s="3">
        <v>90.046896965726901</v>
      </c>
      <c r="O266" s="3">
        <v>7.3053138910756497</v>
      </c>
      <c r="P266" s="3">
        <v>48.388266877689503</v>
      </c>
      <c r="Q266" s="3">
        <v>86.025978026594103</v>
      </c>
      <c r="R266" s="3" t="str">
        <f>IF(Table1[[#This Row],[Nutrition_Quality_Score]]&lt;60, "Poor Nutrition",IF(AND(Table1[[#This Row],[Nutrition_Quality_Score]]&gt;=60,Table1[[#This Row],[Nutrition_Quality_Score]]&lt;=80),"Average Nutrition", "Good Nutrition"))</f>
        <v>Good Nutrition</v>
      </c>
      <c r="S266">
        <v>1</v>
      </c>
      <c r="T266" t="str">
        <f>IF(Table1[[#This Row],[Warmup_Routine_Adherence]]=1, "Adherent","Non-Adherent")</f>
        <v>Adherent</v>
      </c>
      <c r="U266">
        <v>0</v>
      </c>
      <c r="V266" t="str">
        <f>IF(Table1[[#This Row],[Injury_Next_Season]]=1, "Injury","No Injury")</f>
        <v>No Injury</v>
      </c>
      <c r="W266" s="3">
        <v>21.276000111978899</v>
      </c>
    </row>
    <row r="267" spans="1:23" x14ac:dyDescent="0.25">
      <c r="A267" s="6">
        <v>21</v>
      </c>
      <c r="B267" s="8" t="str">
        <f>CONCATENATE(Table1[[#This Row],[Age]]," ", "years")</f>
        <v>21 years</v>
      </c>
      <c r="C267">
        <v>172</v>
      </c>
      <c r="D267">
        <v>71</v>
      </c>
      <c r="E267" t="s">
        <v>22</v>
      </c>
      <c r="F267" s="3">
        <v>7.0954264218935297</v>
      </c>
      <c r="G267" s="3">
        <v>34</v>
      </c>
      <c r="H267">
        <v>2</v>
      </c>
      <c r="I267" s="3">
        <v>80.365864532669704</v>
      </c>
      <c r="J267" s="3">
        <v>69.974463848217496</v>
      </c>
      <c r="K267" s="3">
        <v>242.91280933444699</v>
      </c>
      <c r="L267" s="3">
        <v>79.088095766795604</v>
      </c>
      <c r="M267" s="3">
        <v>5.7621370363688804</v>
      </c>
      <c r="N267" s="3">
        <v>74.895291621694994</v>
      </c>
      <c r="O267" s="3">
        <v>7.4233402311948504</v>
      </c>
      <c r="P267" s="3">
        <v>71.676564172921005</v>
      </c>
      <c r="Q267" s="3">
        <v>55.200060329200497</v>
      </c>
      <c r="R267" s="3" t="str">
        <f>IF(Table1[[#This Row],[Nutrition_Quality_Score]]&lt;60, "Poor Nutrition",IF(AND(Table1[[#This Row],[Nutrition_Quality_Score]]&gt;=60,Table1[[#This Row],[Nutrition_Quality_Score]]&lt;=80),"Average Nutrition", "Good Nutrition"))</f>
        <v>Poor Nutrition</v>
      </c>
      <c r="S267">
        <v>1</v>
      </c>
      <c r="T267" t="str">
        <f>IF(Table1[[#This Row],[Warmup_Routine_Adherence]]=1, "Adherent","Non-Adherent")</f>
        <v>Adherent</v>
      </c>
      <c r="U267">
        <v>1</v>
      </c>
      <c r="V267" t="str">
        <f>IF(Table1[[#This Row],[Injury_Next_Season]]=1, "Injury","No Injury")</f>
        <v>Injury</v>
      </c>
      <c r="W267" s="3">
        <v>23.999459167117301</v>
      </c>
    </row>
    <row r="268" spans="1:23" x14ac:dyDescent="0.25">
      <c r="A268" s="6">
        <v>19</v>
      </c>
      <c r="B268" s="8" t="str">
        <f>CONCATENATE(Table1[[#This Row],[Age]]," ", "years")</f>
        <v>19 years</v>
      </c>
      <c r="C268">
        <v>181</v>
      </c>
      <c r="D268">
        <v>56</v>
      </c>
      <c r="E268" t="s">
        <v>21</v>
      </c>
      <c r="F268" s="3">
        <v>10.6422204244141</v>
      </c>
      <c r="G268" s="3">
        <v>39</v>
      </c>
      <c r="H268">
        <v>5</v>
      </c>
      <c r="I268" s="3">
        <v>81.257576317614607</v>
      </c>
      <c r="J268" s="3">
        <v>66.802015448360095</v>
      </c>
      <c r="K268" s="3">
        <v>237.44409399434599</v>
      </c>
      <c r="L268" s="3">
        <v>71.263303363097805</v>
      </c>
      <c r="M268" s="3">
        <v>5.6847822568549997</v>
      </c>
      <c r="N268" s="3">
        <v>74.789072049383293</v>
      </c>
      <c r="O268" s="3">
        <v>7.5086798788783504</v>
      </c>
      <c r="P268" s="3">
        <v>79.236906793102605</v>
      </c>
      <c r="Q268" s="3">
        <v>68.807818459661604</v>
      </c>
      <c r="R268" s="3" t="str">
        <f>IF(Table1[[#This Row],[Nutrition_Quality_Score]]&lt;60, "Poor Nutrition",IF(AND(Table1[[#This Row],[Nutrition_Quality_Score]]&gt;=60,Table1[[#This Row],[Nutrition_Quality_Score]]&lt;=80),"Average Nutrition", "Good Nutrition"))</f>
        <v>Average Nutrition</v>
      </c>
      <c r="S268">
        <v>1</v>
      </c>
      <c r="T268" t="str">
        <f>IF(Table1[[#This Row],[Warmup_Routine_Adherence]]=1, "Adherent","Non-Adherent")</f>
        <v>Adherent</v>
      </c>
      <c r="U268">
        <v>1</v>
      </c>
      <c r="V268" t="str">
        <f>IF(Table1[[#This Row],[Injury_Next_Season]]=1, "Injury","No Injury")</f>
        <v>Injury</v>
      </c>
      <c r="W268" s="3">
        <v>17.0934953145508</v>
      </c>
    </row>
    <row r="269" spans="1:23" x14ac:dyDescent="0.25">
      <c r="A269" s="6">
        <v>24</v>
      </c>
      <c r="B269" s="8" t="str">
        <f>CONCATENATE(Table1[[#This Row],[Age]]," ", "years")</f>
        <v>24 years</v>
      </c>
      <c r="C269">
        <v>180</v>
      </c>
      <c r="D269">
        <v>79</v>
      </c>
      <c r="E269" t="s">
        <v>22</v>
      </c>
      <c r="F269" s="3">
        <v>7.3663406711247204</v>
      </c>
      <c r="G269" s="3">
        <v>36</v>
      </c>
      <c r="H269">
        <v>3</v>
      </c>
      <c r="I269" s="3">
        <v>82.271683084035899</v>
      </c>
      <c r="J269" s="3">
        <v>80.428912758072698</v>
      </c>
      <c r="K269" s="3">
        <v>249.389075438991</v>
      </c>
      <c r="L269" s="3">
        <v>73.369869953878904</v>
      </c>
      <c r="M269" s="3">
        <v>5.5961078037791703</v>
      </c>
      <c r="N269" s="3">
        <v>63.328770993427803</v>
      </c>
      <c r="O269" s="3">
        <v>7.60635362988255</v>
      </c>
      <c r="P269" s="3">
        <v>59.861962531051098</v>
      </c>
      <c r="Q269" s="3">
        <v>70.295188430720501</v>
      </c>
      <c r="R269" s="3" t="str">
        <f>IF(Table1[[#This Row],[Nutrition_Quality_Score]]&lt;60, "Poor Nutrition",IF(AND(Table1[[#This Row],[Nutrition_Quality_Score]]&gt;=60,Table1[[#This Row],[Nutrition_Quality_Score]]&lt;=80),"Average Nutrition", "Good Nutrition"))</f>
        <v>Average Nutrition</v>
      </c>
      <c r="S269">
        <v>0</v>
      </c>
      <c r="T269" t="str">
        <f>IF(Table1[[#This Row],[Warmup_Routine_Adherence]]=1, "Adherent","Non-Adherent")</f>
        <v>Non-Adherent</v>
      </c>
      <c r="U269">
        <v>1</v>
      </c>
      <c r="V269" t="str">
        <f>IF(Table1[[#This Row],[Injury_Next_Season]]=1, "Injury","No Injury")</f>
        <v>Injury</v>
      </c>
      <c r="W269" s="3">
        <v>24.382716049382701</v>
      </c>
    </row>
    <row r="270" spans="1:23" x14ac:dyDescent="0.25">
      <c r="A270" s="6">
        <v>22</v>
      </c>
      <c r="B270" s="8" t="str">
        <f>CONCATENATE(Table1[[#This Row],[Age]]," ", "years")</f>
        <v>22 years</v>
      </c>
      <c r="C270">
        <v>177</v>
      </c>
      <c r="D270">
        <v>61</v>
      </c>
      <c r="E270" t="s">
        <v>19</v>
      </c>
      <c r="F270" s="3">
        <v>10.821386818376499</v>
      </c>
      <c r="G270" s="3">
        <v>32</v>
      </c>
      <c r="H270">
        <v>0</v>
      </c>
      <c r="I270" s="3">
        <v>72.909605360756004</v>
      </c>
      <c r="J270" s="3">
        <v>80.805674714949802</v>
      </c>
      <c r="K270" s="3">
        <v>227.485276011715</v>
      </c>
      <c r="L270" s="3">
        <v>81.966583602963993</v>
      </c>
      <c r="M270" s="3">
        <v>6.1074784733435603</v>
      </c>
      <c r="N270" s="3">
        <v>93.323430625899505</v>
      </c>
      <c r="O270" s="3">
        <v>7.5881991752491498</v>
      </c>
      <c r="P270" s="3">
        <v>50.333317652205899</v>
      </c>
      <c r="Q270" s="3">
        <v>87.786772387760607</v>
      </c>
      <c r="R270" s="3" t="str">
        <f>IF(Table1[[#This Row],[Nutrition_Quality_Score]]&lt;60, "Poor Nutrition",IF(AND(Table1[[#This Row],[Nutrition_Quality_Score]]&gt;=60,Table1[[#This Row],[Nutrition_Quality_Score]]&lt;=80),"Average Nutrition", "Good Nutrition"))</f>
        <v>Good Nutrition</v>
      </c>
      <c r="S270">
        <v>0</v>
      </c>
      <c r="T270" t="str">
        <f>IF(Table1[[#This Row],[Warmup_Routine_Adherence]]=1, "Adherent","Non-Adherent")</f>
        <v>Non-Adherent</v>
      </c>
      <c r="U270">
        <v>0</v>
      </c>
      <c r="V270" t="str">
        <f>IF(Table1[[#This Row],[Injury_Next_Season]]=1, "Injury","No Injury")</f>
        <v>No Injury</v>
      </c>
      <c r="W270" s="3">
        <v>19.470777873535699</v>
      </c>
    </row>
    <row r="271" spans="1:23" x14ac:dyDescent="0.25">
      <c r="A271" s="6">
        <v>23</v>
      </c>
      <c r="B271" s="8" t="str">
        <f>CONCATENATE(Table1[[#This Row],[Age]]," ", "years")</f>
        <v>23 years</v>
      </c>
      <c r="C271">
        <v>181</v>
      </c>
      <c r="D271">
        <v>78</v>
      </c>
      <c r="E271" t="s">
        <v>21</v>
      </c>
      <c r="F271" s="3">
        <v>15.277757286016101</v>
      </c>
      <c r="G271" s="3">
        <v>37</v>
      </c>
      <c r="H271">
        <v>1</v>
      </c>
      <c r="I271" s="3">
        <v>77.574150210609105</v>
      </c>
      <c r="J271" s="3">
        <v>81.041261136560706</v>
      </c>
      <c r="K271" s="3">
        <v>238.59369208574299</v>
      </c>
      <c r="L271" s="3">
        <v>88.726802555938207</v>
      </c>
      <c r="M271" s="3">
        <v>6.3070205151350498</v>
      </c>
      <c r="N271" s="3">
        <v>85.267911759723901</v>
      </c>
      <c r="O271" s="3">
        <v>8.7584871138327998</v>
      </c>
      <c r="P271" s="3">
        <v>56.578609401937797</v>
      </c>
      <c r="Q271" s="3">
        <v>73.216900301504893</v>
      </c>
      <c r="R271" s="3" t="str">
        <f>IF(Table1[[#This Row],[Nutrition_Quality_Score]]&lt;60, "Poor Nutrition",IF(AND(Table1[[#This Row],[Nutrition_Quality_Score]]&gt;=60,Table1[[#This Row],[Nutrition_Quality_Score]]&lt;=80),"Average Nutrition", "Good Nutrition"))</f>
        <v>Average Nutrition</v>
      </c>
      <c r="S271">
        <v>0</v>
      </c>
      <c r="T271" t="str">
        <f>IF(Table1[[#This Row],[Warmup_Routine_Adherence]]=1, "Adherent","Non-Adherent")</f>
        <v>Non-Adherent</v>
      </c>
      <c r="U271">
        <v>0</v>
      </c>
      <c r="V271" t="str">
        <f>IF(Table1[[#This Row],[Injury_Next_Season]]=1, "Injury","No Injury")</f>
        <v>No Injury</v>
      </c>
      <c r="W271" s="3">
        <v>23.808797045267202</v>
      </c>
    </row>
    <row r="272" spans="1:23" x14ac:dyDescent="0.25">
      <c r="A272" s="6">
        <v>21</v>
      </c>
      <c r="B272" s="8" t="str">
        <f>CONCATENATE(Table1[[#This Row],[Age]]," ", "years")</f>
        <v>21 years</v>
      </c>
      <c r="C272">
        <v>176</v>
      </c>
      <c r="D272">
        <v>88</v>
      </c>
      <c r="E272" t="s">
        <v>22</v>
      </c>
      <c r="F272" s="3">
        <v>10.723172227418701</v>
      </c>
      <c r="G272" s="3">
        <v>26</v>
      </c>
      <c r="H272">
        <v>2</v>
      </c>
      <c r="I272" s="3">
        <v>74.600881683285394</v>
      </c>
      <c r="J272" s="3">
        <v>73.673692006812999</v>
      </c>
      <c r="K272" s="3">
        <v>267.10605483725197</v>
      </c>
      <c r="L272" s="3">
        <v>77.968837905170005</v>
      </c>
      <c r="M272" s="3">
        <v>5.8117776187917602</v>
      </c>
      <c r="N272" s="3">
        <v>83.763174047813195</v>
      </c>
      <c r="O272" s="3">
        <v>7.1290820762156297</v>
      </c>
      <c r="P272" s="3">
        <v>80.426577627917695</v>
      </c>
      <c r="Q272" s="3">
        <v>61.935552841276703</v>
      </c>
      <c r="R272" s="3" t="str">
        <f>IF(Table1[[#This Row],[Nutrition_Quality_Score]]&lt;60, "Poor Nutrition",IF(AND(Table1[[#This Row],[Nutrition_Quality_Score]]&gt;=60,Table1[[#This Row],[Nutrition_Quality_Score]]&lt;=80),"Average Nutrition", "Good Nutrition"))</f>
        <v>Average Nutrition</v>
      </c>
      <c r="S272">
        <v>1</v>
      </c>
      <c r="T272" t="str">
        <f>IF(Table1[[#This Row],[Warmup_Routine_Adherence]]=1, "Adherent","Non-Adherent")</f>
        <v>Adherent</v>
      </c>
      <c r="U272">
        <v>1</v>
      </c>
      <c r="V272" t="str">
        <f>IF(Table1[[#This Row],[Injury_Next_Season]]=1, "Injury","No Injury")</f>
        <v>Injury</v>
      </c>
      <c r="W272" s="3">
        <v>28.409090909090899</v>
      </c>
    </row>
    <row r="273" spans="1:23" x14ac:dyDescent="0.25">
      <c r="A273" s="6">
        <v>23</v>
      </c>
      <c r="B273" s="8" t="str">
        <f>CONCATENATE(Table1[[#This Row],[Age]]," ", "years")</f>
        <v>23 years</v>
      </c>
      <c r="C273">
        <v>174</v>
      </c>
      <c r="D273">
        <v>58</v>
      </c>
      <c r="E273" t="s">
        <v>20</v>
      </c>
      <c r="F273" s="3">
        <v>10.8287176895962</v>
      </c>
      <c r="G273" s="3">
        <v>15</v>
      </c>
      <c r="H273">
        <v>1</v>
      </c>
      <c r="I273" s="3">
        <v>88.216998714976597</v>
      </c>
      <c r="J273" s="3">
        <v>82.129972057235193</v>
      </c>
      <c r="K273" s="3">
        <v>283.43264008035601</v>
      </c>
      <c r="L273" s="3">
        <v>68.499237352727505</v>
      </c>
      <c r="M273" s="3">
        <v>6.1132845582474102</v>
      </c>
      <c r="N273" s="3">
        <v>79.394894159032305</v>
      </c>
      <c r="O273" s="3">
        <v>8.0411404737841892</v>
      </c>
      <c r="P273" s="3">
        <v>71.391733717883696</v>
      </c>
      <c r="Q273" s="3">
        <v>63.531468617843601</v>
      </c>
      <c r="R273" s="3" t="str">
        <f>IF(Table1[[#This Row],[Nutrition_Quality_Score]]&lt;60, "Poor Nutrition",IF(AND(Table1[[#This Row],[Nutrition_Quality_Score]]&gt;=60,Table1[[#This Row],[Nutrition_Quality_Score]]&lt;=80),"Average Nutrition", "Good Nutrition"))</f>
        <v>Average Nutrition</v>
      </c>
      <c r="S273">
        <v>1</v>
      </c>
      <c r="T273" t="str">
        <f>IF(Table1[[#This Row],[Warmup_Routine_Adherence]]=1, "Adherent","Non-Adherent")</f>
        <v>Adherent</v>
      </c>
      <c r="U273">
        <v>1</v>
      </c>
      <c r="V273" t="str">
        <f>IF(Table1[[#This Row],[Injury_Next_Season]]=1, "Injury","No Injury")</f>
        <v>Injury</v>
      </c>
      <c r="W273" s="3">
        <v>19.157088122605298</v>
      </c>
    </row>
    <row r="274" spans="1:23" x14ac:dyDescent="0.25">
      <c r="A274" s="6">
        <v>19</v>
      </c>
      <c r="B274" s="8" t="str">
        <f>CONCATENATE(Table1[[#This Row],[Age]]," ", "years")</f>
        <v>19 years</v>
      </c>
      <c r="C274">
        <v>184</v>
      </c>
      <c r="D274">
        <v>68</v>
      </c>
      <c r="E274" t="s">
        <v>22</v>
      </c>
      <c r="F274" s="3">
        <v>13.3665402215941</v>
      </c>
      <c r="G274" s="3">
        <v>6</v>
      </c>
      <c r="H274">
        <v>2</v>
      </c>
      <c r="I274" s="3">
        <v>74.827148827686798</v>
      </c>
      <c r="J274" s="3">
        <v>84.638513729617003</v>
      </c>
      <c r="K274" s="3">
        <v>253.34599746360399</v>
      </c>
      <c r="L274" s="3">
        <v>85.725996195058698</v>
      </c>
      <c r="M274" s="3">
        <v>5.8693182877708798</v>
      </c>
      <c r="N274" s="3">
        <v>99.552821285117304</v>
      </c>
      <c r="O274" s="3">
        <v>6.8267267145133497</v>
      </c>
      <c r="P274" s="3">
        <v>46.571367718584497</v>
      </c>
      <c r="Q274" s="3">
        <v>75.855961174668806</v>
      </c>
      <c r="R274" s="3" t="str">
        <f>IF(Table1[[#This Row],[Nutrition_Quality_Score]]&lt;60, "Poor Nutrition",IF(AND(Table1[[#This Row],[Nutrition_Quality_Score]]&gt;=60,Table1[[#This Row],[Nutrition_Quality_Score]]&lt;=80),"Average Nutrition", "Good Nutrition"))</f>
        <v>Average Nutrition</v>
      </c>
      <c r="S274">
        <v>1</v>
      </c>
      <c r="T274" t="str">
        <f>IF(Table1[[#This Row],[Warmup_Routine_Adherence]]=1, "Adherent","Non-Adherent")</f>
        <v>Adherent</v>
      </c>
      <c r="U274">
        <v>0</v>
      </c>
      <c r="V274" t="str">
        <f>IF(Table1[[#This Row],[Injury_Next_Season]]=1, "Injury","No Injury")</f>
        <v>No Injury</v>
      </c>
      <c r="W274" s="3">
        <v>20.085066162570801</v>
      </c>
    </row>
    <row r="275" spans="1:23" x14ac:dyDescent="0.25">
      <c r="A275" s="6">
        <v>24</v>
      </c>
      <c r="B275" s="8" t="str">
        <f>CONCATENATE(Table1[[#This Row],[Age]]," ", "years")</f>
        <v>24 years</v>
      </c>
      <c r="C275">
        <v>182</v>
      </c>
      <c r="D275">
        <v>81</v>
      </c>
      <c r="E275" t="s">
        <v>21</v>
      </c>
      <c r="F275" s="3">
        <v>11.871356568126499</v>
      </c>
      <c r="G275" s="3">
        <v>15</v>
      </c>
      <c r="H275">
        <v>1</v>
      </c>
      <c r="I275" s="3">
        <v>75.703249995121396</v>
      </c>
      <c r="J275" s="3">
        <v>70.692745022499196</v>
      </c>
      <c r="K275" s="3">
        <v>265.032759074095</v>
      </c>
      <c r="L275" s="3">
        <v>76.186685957820103</v>
      </c>
      <c r="M275" s="3">
        <v>5.9580170027988801</v>
      </c>
      <c r="N275" s="3">
        <v>71.477245092467797</v>
      </c>
      <c r="O275" s="3">
        <v>6.8474123773431401</v>
      </c>
      <c r="P275" s="3">
        <v>48.366684240150903</v>
      </c>
      <c r="Q275" s="3">
        <v>68.335340260253204</v>
      </c>
      <c r="R275" s="3" t="str">
        <f>IF(Table1[[#This Row],[Nutrition_Quality_Score]]&lt;60, "Poor Nutrition",IF(AND(Table1[[#This Row],[Nutrition_Quality_Score]]&gt;=60,Table1[[#This Row],[Nutrition_Quality_Score]]&lt;=80),"Average Nutrition", "Good Nutrition"))</f>
        <v>Average Nutrition</v>
      </c>
      <c r="S275">
        <v>0</v>
      </c>
      <c r="T275" t="str">
        <f>IF(Table1[[#This Row],[Warmup_Routine_Adherence]]=1, "Adherent","Non-Adherent")</f>
        <v>Non-Adherent</v>
      </c>
      <c r="U275">
        <v>1</v>
      </c>
      <c r="V275" t="str">
        <f>IF(Table1[[#This Row],[Injury_Next_Season]]=1, "Injury","No Injury")</f>
        <v>Injury</v>
      </c>
      <c r="W275" s="3">
        <v>24.453568409612298</v>
      </c>
    </row>
    <row r="276" spans="1:23" x14ac:dyDescent="0.25">
      <c r="A276" s="6">
        <v>20</v>
      </c>
      <c r="B276" s="8" t="str">
        <f>CONCATENATE(Table1[[#This Row],[Age]]," ", "years")</f>
        <v>20 years</v>
      </c>
      <c r="C276">
        <v>185</v>
      </c>
      <c r="D276">
        <v>69</v>
      </c>
      <c r="E276" t="s">
        <v>21</v>
      </c>
      <c r="F276" s="3">
        <v>9.3681410237640801</v>
      </c>
      <c r="G276" s="3">
        <v>34</v>
      </c>
      <c r="H276">
        <v>2</v>
      </c>
      <c r="I276" s="3">
        <v>74.919268093102204</v>
      </c>
      <c r="J276" s="3">
        <v>83.883472965174306</v>
      </c>
      <c r="K276" s="3">
        <v>242.53417376943</v>
      </c>
      <c r="L276" s="3">
        <v>88.396692826934199</v>
      </c>
      <c r="M276" s="3">
        <v>5.7793159263426803</v>
      </c>
      <c r="N276" s="3">
        <v>85.054837046624897</v>
      </c>
      <c r="O276" s="3">
        <v>7.5800991918672596</v>
      </c>
      <c r="P276" s="3">
        <v>58.448929344199797</v>
      </c>
      <c r="Q276" s="3">
        <v>78.863013999106897</v>
      </c>
      <c r="R276" s="3" t="str">
        <f>IF(Table1[[#This Row],[Nutrition_Quality_Score]]&lt;60, "Poor Nutrition",IF(AND(Table1[[#This Row],[Nutrition_Quality_Score]]&gt;=60,Table1[[#This Row],[Nutrition_Quality_Score]]&lt;=80),"Average Nutrition", "Good Nutrition"))</f>
        <v>Average Nutrition</v>
      </c>
      <c r="S276">
        <v>1</v>
      </c>
      <c r="T276" t="str">
        <f>IF(Table1[[#This Row],[Warmup_Routine_Adherence]]=1, "Adherent","Non-Adherent")</f>
        <v>Adherent</v>
      </c>
      <c r="U276">
        <v>0</v>
      </c>
      <c r="V276" t="str">
        <f>IF(Table1[[#This Row],[Injury_Next_Season]]=1, "Injury","No Injury")</f>
        <v>No Injury</v>
      </c>
      <c r="W276" s="3">
        <v>20.160701241782299</v>
      </c>
    </row>
    <row r="277" spans="1:23" x14ac:dyDescent="0.25">
      <c r="A277" s="6">
        <v>21</v>
      </c>
      <c r="B277" s="8" t="str">
        <f>CONCATENATE(Table1[[#This Row],[Age]]," ", "years")</f>
        <v>21 years</v>
      </c>
      <c r="C277">
        <v>163</v>
      </c>
      <c r="D277">
        <v>69</v>
      </c>
      <c r="E277" t="s">
        <v>20</v>
      </c>
      <c r="F277" s="3">
        <v>8.4348943955324902</v>
      </c>
      <c r="G277" s="3">
        <v>18</v>
      </c>
      <c r="H277">
        <v>1</v>
      </c>
      <c r="I277" s="3">
        <v>66.302354226874797</v>
      </c>
      <c r="J277" s="3">
        <v>76.825858099956505</v>
      </c>
      <c r="K277" s="3">
        <v>251.56387838052501</v>
      </c>
      <c r="L277" s="3">
        <v>89.061054182714699</v>
      </c>
      <c r="M277" s="3">
        <v>5.6598321758240902</v>
      </c>
      <c r="N277" s="3">
        <v>75.900121605081907</v>
      </c>
      <c r="O277" s="3">
        <v>8.4551167610110198</v>
      </c>
      <c r="P277" s="3">
        <v>59.673611215691999</v>
      </c>
      <c r="Q277" s="3">
        <v>71.711979617587502</v>
      </c>
      <c r="R277" s="3" t="str">
        <f>IF(Table1[[#This Row],[Nutrition_Quality_Score]]&lt;60, "Poor Nutrition",IF(AND(Table1[[#This Row],[Nutrition_Quality_Score]]&gt;=60,Table1[[#This Row],[Nutrition_Quality_Score]]&lt;=80),"Average Nutrition", "Good Nutrition"))</f>
        <v>Average Nutrition</v>
      </c>
      <c r="S277">
        <v>1</v>
      </c>
      <c r="T277" t="str">
        <f>IF(Table1[[#This Row],[Warmup_Routine_Adherence]]=1, "Adherent","Non-Adherent")</f>
        <v>Adherent</v>
      </c>
      <c r="U277">
        <v>1</v>
      </c>
      <c r="V277" t="str">
        <f>IF(Table1[[#This Row],[Injury_Next_Season]]=1, "Injury","No Injury")</f>
        <v>Injury</v>
      </c>
      <c r="W277" s="3">
        <v>25.970115548195199</v>
      </c>
    </row>
    <row r="278" spans="1:23" x14ac:dyDescent="0.25">
      <c r="A278" s="6">
        <v>19</v>
      </c>
      <c r="B278" s="8" t="str">
        <f>CONCATENATE(Table1[[#This Row],[Age]]," ", "years")</f>
        <v>19 years</v>
      </c>
      <c r="C278">
        <v>183</v>
      </c>
      <c r="D278">
        <v>63</v>
      </c>
      <c r="E278" t="s">
        <v>19</v>
      </c>
      <c r="F278" s="3">
        <v>6.8524750364985998</v>
      </c>
      <c r="G278" s="3">
        <v>38</v>
      </c>
      <c r="H278">
        <v>0</v>
      </c>
      <c r="I278" s="3">
        <v>77.822579787151398</v>
      </c>
      <c r="J278" s="3">
        <v>74.7820217664772</v>
      </c>
      <c r="K278" s="3">
        <v>225.77339592059801</v>
      </c>
      <c r="L278" s="3">
        <v>87.975373859680801</v>
      </c>
      <c r="M278" s="3">
        <v>6.1149780660154196</v>
      </c>
      <c r="N278" s="3">
        <v>75.198460603193595</v>
      </c>
      <c r="O278" s="3">
        <v>7.4979192886448303</v>
      </c>
      <c r="P278" s="3">
        <v>41.125533275108999</v>
      </c>
      <c r="Q278" s="3">
        <v>83.986876580460105</v>
      </c>
      <c r="R278" s="3" t="str">
        <f>IF(Table1[[#This Row],[Nutrition_Quality_Score]]&lt;60, "Poor Nutrition",IF(AND(Table1[[#This Row],[Nutrition_Quality_Score]]&gt;=60,Table1[[#This Row],[Nutrition_Quality_Score]]&lt;=80),"Average Nutrition", "Good Nutrition"))</f>
        <v>Good Nutrition</v>
      </c>
      <c r="S278">
        <v>1</v>
      </c>
      <c r="T278" t="str">
        <f>IF(Table1[[#This Row],[Warmup_Routine_Adherence]]=1, "Adherent","Non-Adherent")</f>
        <v>Adherent</v>
      </c>
      <c r="U278">
        <v>0</v>
      </c>
      <c r="V278" t="str">
        <f>IF(Table1[[#This Row],[Injury_Next_Season]]=1, "Injury","No Injury")</f>
        <v>No Injury</v>
      </c>
      <c r="W278" s="3">
        <v>18.812147272238601</v>
      </c>
    </row>
    <row r="279" spans="1:23" x14ac:dyDescent="0.25">
      <c r="A279" s="6">
        <v>20</v>
      </c>
      <c r="B279" s="8" t="str">
        <f>CONCATENATE(Table1[[#This Row],[Age]]," ", "years")</f>
        <v>20 years</v>
      </c>
      <c r="C279">
        <v>179</v>
      </c>
      <c r="D279">
        <v>61</v>
      </c>
      <c r="E279" t="s">
        <v>22</v>
      </c>
      <c r="F279" s="3">
        <v>9.3238669923100499</v>
      </c>
      <c r="G279" s="3">
        <v>14</v>
      </c>
      <c r="H279">
        <v>1</v>
      </c>
      <c r="I279" s="3">
        <v>85.615269955461798</v>
      </c>
      <c r="J279" s="3">
        <v>76.811309424765597</v>
      </c>
      <c r="K279" s="3">
        <v>223.33779476382301</v>
      </c>
      <c r="L279" s="3">
        <v>92.276937907821505</v>
      </c>
      <c r="M279" s="3">
        <v>6.6910517795054298</v>
      </c>
      <c r="N279" s="3">
        <v>100</v>
      </c>
      <c r="O279" s="3">
        <v>8.2086753178910303</v>
      </c>
      <c r="P279" s="3">
        <v>50.9899765822787</v>
      </c>
      <c r="Q279" s="3">
        <v>75.323590917547605</v>
      </c>
      <c r="R279" s="3" t="str">
        <f>IF(Table1[[#This Row],[Nutrition_Quality_Score]]&lt;60, "Poor Nutrition",IF(AND(Table1[[#This Row],[Nutrition_Quality_Score]]&gt;=60,Table1[[#This Row],[Nutrition_Quality_Score]]&lt;=80),"Average Nutrition", "Good Nutrition"))</f>
        <v>Average Nutrition</v>
      </c>
      <c r="S279">
        <v>0</v>
      </c>
      <c r="T279" t="str">
        <f>IF(Table1[[#This Row],[Warmup_Routine_Adherence]]=1, "Adherent","Non-Adherent")</f>
        <v>Non-Adherent</v>
      </c>
      <c r="U279">
        <v>0</v>
      </c>
      <c r="V279" t="str">
        <f>IF(Table1[[#This Row],[Injury_Next_Season]]=1, "Injury","No Injury")</f>
        <v>No Injury</v>
      </c>
      <c r="W279" s="3">
        <v>19.038107424861799</v>
      </c>
    </row>
    <row r="280" spans="1:23" x14ac:dyDescent="0.25">
      <c r="A280" s="6">
        <v>18</v>
      </c>
      <c r="B280" s="8" t="str">
        <f>CONCATENATE(Table1[[#This Row],[Age]]," ", "years")</f>
        <v>18 years</v>
      </c>
      <c r="C280">
        <v>171</v>
      </c>
      <c r="D280">
        <v>75</v>
      </c>
      <c r="E280" t="s">
        <v>22</v>
      </c>
      <c r="F280" s="3">
        <v>8.0483261888716893</v>
      </c>
      <c r="G280" s="3">
        <v>19</v>
      </c>
      <c r="H280">
        <v>3</v>
      </c>
      <c r="I280" s="3">
        <v>78.835376158663394</v>
      </c>
      <c r="J280" s="3">
        <v>74.2299247197071</v>
      </c>
      <c r="K280" s="3">
        <v>267.081668666209</v>
      </c>
      <c r="L280" s="3">
        <v>86.919462502464199</v>
      </c>
      <c r="M280" s="3">
        <v>5.86271390738208</v>
      </c>
      <c r="N280" s="3">
        <v>71.763241138684094</v>
      </c>
      <c r="O280" s="3">
        <v>7.2756620603537501</v>
      </c>
      <c r="P280" s="3">
        <v>62.382453807378198</v>
      </c>
      <c r="Q280" s="3">
        <v>68.633951168372604</v>
      </c>
      <c r="R280" s="3" t="str">
        <f>IF(Table1[[#This Row],[Nutrition_Quality_Score]]&lt;60, "Poor Nutrition",IF(AND(Table1[[#This Row],[Nutrition_Quality_Score]]&gt;=60,Table1[[#This Row],[Nutrition_Quality_Score]]&lt;=80),"Average Nutrition", "Good Nutrition"))</f>
        <v>Average Nutrition</v>
      </c>
      <c r="S280">
        <v>1</v>
      </c>
      <c r="T280" t="str">
        <f>IF(Table1[[#This Row],[Warmup_Routine_Adherence]]=1, "Adherent","Non-Adherent")</f>
        <v>Adherent</v>
      </c>
      <c r="U280">
        <v>1</v>
      </c>
      <c r="V280" t="str">
        <f>IF(Table1[[#This Row],[Injury_Next_Season]]=1, "Injury","No Injury")</f>
        <v>Injury</v>
      </c>
      <c r="W280" s="3">
        <v>25.648917615676599</v>
      </c>
    </row>
    <row r="281" spans="1:23" x14ac:dyDescent="0.25">
      <c r="A281" s="6">
        <v>22</v>
      </c>
      <c r="B281" s="8" t="str">
        <f>CONCATENATE(Table1[[#This Row],[Age]]," ", "years")</f>
        <v>22 years</v>
      </c>
      <c r="C281">
        <v>164</v>
      </c>
      <c r="D281">
        <v>82</v>
      </c>
      <c r="E281" t="s">
        <v>22</v>
      </c>
      <c r="F281" s="3">
        <v>5.71181933746821</v>
      </c>
      <c r="G281" s="3">
        <v>22</v>
      </c>
      <c r="H281">
        <v>0</v>
      </c>
      <c r="I281" s="3">
        <v>79.852150969432202</v>
      </c>
      <c r="J281" s="3">
        <v>79.070871392030796</v>
      </c>
      <c r="K281" s="3">
        <v>226.93288707866</v>
      </c>
      <c r="L281" s="3">
        <v>72.6469140490954</v>
      </c>
      <c r="M281" s="3">
        <v>5.9343272541482204</v>
      </c>
      <c r="N281" s="3">
        <v>80.165339056544298</v>
      </c>
      <c r="O281" s="3">
        <v>8.3858549623052898</v>
      </c>
      <c r="P281" s="3">
        <v>47.273588440249</v>
      </c>
      <c r="Q281" s="3">
        <v>80.255237281777497</v>
      </c>
      <c r="R281" s="3" t="str">
        <f>IF(Table1[[#This Row],[Nutrition_Quality_Score]]&lt;60, "Poor Nutrition",IF(AND(Table1[[#This Row],[Nutrition_Quality_Score]]&gt;=60,Table1[[#This Row],[Nutrition_Quality_Score]]&lt;=80),"Average Nutrition", "Good Nutrition"))</f>
        <v>Good Nutrition</v>
      </c>
      <c r="S281">
        <v>0</v>
      </c>
      <c r="T281" t="str">
        <f>IF(Table1[[#This Row],[Warmup_Routine_Adherence]]=1, "Adherent","Non-Adherent")</f>
        <v>Non-Adherent</v>
      </c>
      <c r="U281">
        <v>0</v>
      </c>
      <c r="V281" t="str">
        <f>IF(Table1[[#This Row],[Injury_Next_Season]]=1, "Injury","No Injury")</f>
        <v>No Injury</v>
      </c>
      <c r="W281" s="3">
        <v>30.487804878048699</v>
      </c>
    </row>
    <row r="282" spans="1:23" x14ac:dyDescent="0.25">
      <c r="A282" s="6">
        <v>20</v>
      </c>
      <c r="B282" s="8" t="str">
        <f>CONCATENATE(Table1[[#This Row],[Age]]," ", "years")</f>
        <v>20 years</v>
      </c>
      <c r="C282">
        <v>172</v>
      </c>
      <c r="D282">
        <v>75</v>
      </c>
      <c r="E282" t="s">
        <v>22</v>
      </c>
      <c r="F282" s="3">
        <v>6.41618766230446</v>
      </c>
      <c r="G282" s="3">
        <v>10</v>
      </c>
      <c r="H282">
        <v>0</v>
      </c>
      <c r="I282" s="3">
        <v>87.388477143387405</v>
      </c>
      <c r="J282" s="3">
        <v>77.571253070052705</v>
      </c>
      <c r="K282" s="3">
        <v>221.81609266431801</v>
      </c>
      <c r="L282" s="3">
        <v>82.645357970152503</v>
      </c>
      <c r="M282" s="3">
        <v>6.1134721126002596</v>
      </c>
      <c r="N282" s="3">
        <v>75.304396495864907</v>
      </c>
      <c r="O282" s="3">
        <v>8.1716178875255299</v>
      </c>
      <c r="P282" s="3">
        <v>51.182690899049597</v>
      </c>
      <c r="Q282" s="3">
        <v>83.367448971283096</v>
      </c>
      <c r="R282" s="3" t="str">
        <f>IF(Table1[[#This Row],[Nutrition_Quality_Score]]&lt;60, "Poor Nutrition",IF(AND(Table1[[#This Row],[Nutrition_Quality_Score]]&gt;=60,Table1[[#This Row],[Nutrition_Quality_Score]]&lt;=80),"Average Nutrition", "Good Nutrition"))</f>
        <v>Good Nutrition</v>
      </c>
      <c r="S282">
        <v>0</v>
      </c>
      <c r="T282" t="str">
        <f>IF(Table1[[#This Row],[Warmup_Routine_Adherence]]=1, "Adherent","Non-Adherent")</f>
        <v>Non-Adherent</v>
      </c>
      <c r="U282">
        <v>0</v>
      </c>
      <c r="V282" t="str">
        <f>IF(Table1[[#This Row],[Injury_Next_Season]]=1, "Injury","No Injury")</f>
        <v>No Injury</v>
      </c>
      <c r="W282" s="3">
        <v>25.351541373715499</v>
      </c>
    </row>
    <row r="283" spans="1:23" x14ac:dyDescent="0.25">
      <c r="A283" s="6">
        <v>21</v>
      </c>
      <c r="B283" s="8" t="str">
        <f>CONCATENATE(Table1[[#This Row],[Age]]," ", "years")</f>
        <v>21 years</v>
      </c>
      <c r="C283">
        <v>193</v>
      </c>
      <c r="D283">
        <v>77</v>
      </c>
      <c r="E283" t="s">
        <v>20</v>
      </c>
      <c r="F283" s="3">
        <v>8.4679480305272694</v>
      </c>
      <c r="G283" s="3">
        <v>19</v>
      </c>
      <c r="H283">
        <v>2</v>
      </c>
      <c r="I283" s="3">
        <v>71.255750793161297</v>
      </c>
      <c r="J283" s="3">
        <v>70.288468671925202</v>
      </c>
      <c r="K283" s="3">
        <v>245.727864316726</v>
      </c>
      <c r="L283" s="3">
        <v>72.081505332613602</v>
      </c>
      <c r="M283" s="3">
        <v>5.9493711565421297</v>
      </c>
      <c r="N283" s="3">
        <v>73.208144323936693</v>
      </c>
      <c r="O283" s="3">
        <v>5.1853114665158797</v>
      </c>
      <c r="P283" s="3">
        <v>55.716034077544698</v>
      </c>
      <c r="Q283" s="3">
        <v>76.580367143515204</v>
      </c>
      <c r="R283" s="3" t="str">
        <f>IF(Table1[[#This Row],[Nutrition_Quality_Score]]&lt;60, "Poor Nutrition",IF(AND(Table1[[#This Row],[Nutrition_Quality_Score]]&gt;=60,Table1[[#This Row],[Nutrition_Quality_Score]]&lt;=80),"Average Nutrition", "Good Nutrition"))</f>
        <v>Average Nutrition</v>
      </c>
      <c r="S283">
        <v>0</v>
      </c>
      <c r="T283" t="str">
        <f>IF(Table1[[#This Row],[Warmup_Routine_Adherence]]=1, "Adherent","Non-Adherent")</f>
        <v>Non-Adherent</v>
      </c>
      <c r="U283">
        <v>1</v>
      </c>
      <c r="V283" t="str">
        <f>IF(Table1[[#This Row],[Injury_Next_Season]]=1, "Injury","No Injury")</f>
        <v>Injury</v>
      </c>
      <c r="W283" s="3">
        <v>20.6716958844532</v>
      </c>
    </row>
    <row r="284" spans="1:23" x14ac:dyDescent="0.25">
      <c r="A284" s="6">
        <v>20</v>
      </c>
      <c r="B284" s="8" t="str">
        <f>CONCATENATE(Table1[[#This Row],[Age]]," ", "years")</f>
        <v>20 years</v>
      </c>
      <c r="C284">
        <v>170</v>
      </c>
      <c r="D284">
        <v>79</v>
      </c>
      <c r="E284" t="s">
        <v>22</v>
      </c>
      <c r="F284" s="3">
        <v>7.1722429593876198</v>
      </c>
      <c r="G284" s="3">
        <v>36</v>
      </c>
      <c r="H284">
        <v>2</v>
      </c>
      <c r="I284" s="3">
        <v>61.371971656055599</v>
      </c>
      <c r="J284" s="3">
        <v>79.509752788133099</v>
      </c>
      <c r="K284" s="3">
        <v>259.22435628388098</v>
      </c>
      <c r="L284" s="3">
        <v>61.3659360267485</v>
      </c>
      <c r="M284" s="3">
        <v>6.1752752608881503</v>
      </c>
      <c r="N284" s="3">
        <v>69.1004184531498</v>
      </c>
      <c r="O284" s="3">
        <v>7.1941502801651396</v>
      </c>
      <c r="P284" s="3">
        <v>65.491733968877298</v>
      </c>
      <c r="Q284" s="3">
        <v>77.634741492295802</v>
      </c>
      <c r="R284" s="3" t="str">
        <f>IF(Table1[[#This Row],[Nutrition_Quality_Score]]&lt;60, "Poor Nutrition",IF(AND(Table1[[#This Row],[Nutrition_Quality_Score]]&gt;=60,Table1[[#This Row],[Nutrition_Quality_Score]]&lt;=80),"Average Nutrition", "Good Nutrition"))</f>
        <v>Average Nutrition</v>
      </c>
      <c r="S284">
        <v>0</v>
      </c>
      <c r="T284" t="str">
        <f>IF(Table1[[#This Row],[Warmup_Routine_Adherence]]=1, "Adherent","Non-Adherent")</f>
        <v>Non-Adherent</v>
      </c>
      <c r="U284">
        <v>1</v>
      </c>
      <c r="V284" t="str">
        <f>IF(Table1[[#This Row],[Injury_Next_Season]]=1, "Injury","No Injury")</f>
        <v>Injury</v>
      </c>
      <c r="W284" s="3">
        <v>27.335640138408301</v>
      </c>
    </row>
    <row r="285" spans="1:23" x14ac:dyDescent="0.25">
      <c r="A285" s="6">
        <v>21</v>
      </c>
      <c r="B285" s="8" t="str">
        <f>CONCATENATE(Table1[[#This Row],[Age]]," ", "years")</f>
        <v>21 years</v>
      </c>
      <c r="C285">
        <v>177</v>
      </c>
      <c r="D285">
        <v>71</v>
      </c>
      <c r="E285" t="s">
        <v>21</v>
      </c>
      <c r="F285" s="3">
        <v>7.6204608339989699</v>
      </c>
      <c r="G285" s="3">
        <v>5</v>
      </c>
      <c r="H285">
        <v>3</v>
      </c>
      <c r="I285" s="3">
        <v>70.311793021682902</v>
      </c>
      <c r="J285" s="3">
        <v>82.008946842403702</v>
      </c>
      <c r="K285" s="3">
        <v>236.92137619831499</v>
      </c>
      <c r="L285" s="3">
        <v>87.371556806962701</v>
      </c>
      <c r="M285" s="3">
        <v>6.3833801563187</v>
      </c>
      <c r="N285" s="3">
        <v>68.674083701074906</v>
      </c>
      <c r="O285" s="3">
        <v>7.0143745859356796</v>
      </c>
      <c r="P285" s="3">
        <v>36.430290182237201</v>
      </c>
      <c r="Q285" s="3">
        <v>83.362032678674595</v>
      </c>
      <c r="R285" s="3" t="str">
        <f>IF(Table1[[#This Row],[Nutrition_Quality_Score]]&lt;60, "Poor Nutrition",IF(AND(Table1[[#This Row],[Nutrition_Quality_Score]]&gt;=60,Table1[[#This Row],[Nutrition_Quality_Score]]&lt;=80),"Average Nutrition", "Good Nutrition"))</f>
        <v>Good Nutrition</v>
      </c>
      <c r="S285">
        <v>1</v>
      </c>
      <c r="T285" t="str">
        <f>IF(Table1[[#This Row],[Warmup_Routine_Adherence]]=1, "Adherent","Non-Adherent")</f>
        <v>Adherent</v>
      </c>
      <c r="U285">
        <v>0</v>
      </c>
      <c r="V285" t="str">
        <f>IF(Table1[[#This Row],[Injury_Next_Season]]=1, "Injury","No Injury")</f>
        <v>No Injury</v>
      </c>
      <c r="W285" s="3">
        <v>22.662708672475901</v>
      </c>
    </row>
    <row r="286" spans="1:23" x14ac:dyDescent="0.25">
      <c r="A286" s="6">
        <v>24</v>
      </c>
      <c r="B286" s="8" t="str">
        <f>CONCATENATE(Table1[[#This Row],[Age]]," ", "years")</f>
        <v>24 years</v>
      </c>
      <c r="C286">
        <v>175</v>
      </c>
      <c r="D286">
        <v>69</v>
      </c>
      <c r="E286" t="s">
        <v>20</v>
      </c>
      <c r="F286" s="3">
        <v>9.6510454409243494</v>
      </c>
      <c r="G286" s="3">
        <v>30</v>
      </c>
      <c r="H286">
        <v>2</v>
      </c>
      <c r="I286" s="3">
        <v>80.399809155370306</v>
      </c>
      <c r="J286" s="3">
        <v>81.606784911377702</v>
      </c>
      <c r="K286" s="3">
        <v>250.805325165569</v>
      </c>
      <c r="L286" s="3">
        <v>77.718237230064204</v>
      </c>
      <c r="M286" s="3">
        <v>5.9297861524800402</v>
      </c>
      <c r="N286" s="3">
        <v>69.072331129067095</v>
      </c>
      <c r="O286" s="3">
        <v>7.68908374029506</v>
      </c>
      <c r="P286" s="3">
        <v>34.398711740440199</v>
      </c>
      <c r="Q286" s="3">
        <v>72.968328451159607</v>
      </c>
      <c r="R286" s="3" t="str">
        <f>IF(Table1[[#This Row],[Nutrition_Quality_Score]]&lt;60, "Poor Nutrition",IF(AND(Table1[[#This Row],[Nutrition_Quality_Score]]&gt;=60,Table1[[#This Row],[Nutrition_Quality_Score]]&lt;=80),"Average Nutrition", "Good Nutrition"))</f>
        <v>Average Nutrition</v>
      </c>
      <c r="S286">
        <v>1</v>
      </c>
      <c r="T286" t="str">
        <f>IF(Table1[[#This Row],[Warmup_Routine_Adherence]]=1, "Adherent","Non-Adherent")</f>
        <v>Adherent</v>
      </c>
      <c r="U286">
        <v>0</v>
      </c>
      <c r="V286" t="str">
        <f>IF(Table1[[#This Row],[Injury_Next_Season]]=1, "Injury","No Injury")</f>
        <v>No Injury</v>
      </c>
      <c r="W286" s="3">
        <v>22.530612244897899</v>
      </c>
    </row>
    <row r="287" spans="1:23" x14ac:dyDescent="0.25">
      <c r="A287" s="6">
        <v>23</v>
      </c>
      <c r="B287" s="8" t="str">
        <f>CONCATENATE(Table1[[#This Row],[Age]]," ", "years")</f>
        <v>23 years</v>
      </c>
      <c r="C287">
        <v>165</v>
      </c>
      <c r="D287">
        <v>60</v>
      </c>
      <c r="E287" t="s">
        <v>20</v>
      </c>
      <c r="F287" s="3">
        <v>10.5895386991454</v>
      </c>
      <c r="G287" s="3">
        <v>13</v>
      </c>
      <c r="H287">
        <v>4</v>
      </c>
      <c r="I287" s="3">
        <v>74.906822360607094</v>
      </c>
      <c r="J287" s="3">
        <v>66.543258407293806</v>
      </c>
      <c r="K287" s="3">
        <v>247.910310483187</v>
      </c>
      <c r="L287" s="3">
        <v>70.333294331868899</v>
      </c>
      <c r="M287" s="3">
        <v>6.0839206113288302</v>
      </c>
      <c r="N287" s="3">
        <v>71.231931657522907</v>
      </c>
      <c r="O287" s="3">
        <v>6.7286293608366696</v>
      </c>
      <c r="P287" s="3">
        <v>45.062572723542203</v>
      </c>
      <c r="Q287" s="3">
        <v>56.666411595642302</v>
      </c>
      <c r="R287" s="3" t="str">
        <f>IF(Table1[[#This Row],[Nutrition_Quality_Score]]&lt;60, "Poor Nutrition",IF(AND(Table1[[#This Row],[Nutrition_Quality_Score]]&gt;=60,Table1[[#This Row],[Nutrition_Quality_Score]]&lt;=80),"Average Nutrition", "Good Nutrition"))</f>
        <v>Poor Nutrition</v>
      </c>
      <c r="S287">
        <v>0</v>
      </c>
      <c r="T287" t="str">
        <f>IF(Table1[[#This Row],[Warmup_Routine_Adherence]]=1, "Adherent","Non-Adherent")</f>
        <v>Non-Adherent</v>
      </c>
      <c r="U287">
        <v>1</v>
      </c>
      <c r="V287" t="str">
        <f>IF(Table1[[#This Row],[Injury_Next_Season]]=1, "Injury","No Injury")</f>
        <v>Injury</v>
      </c>
      <c r="W287" s="3">
        <v>22.0385674931129</v>
      </c>
    </row>
    <row r="288" spans="1:23" x14ac:dyDescent="0.25">
      <c r="A288" s="6">
        <v>19</v>
      </c>
      <c r="B288" s="8" t="str">
        <f>CONCATENATE(Table1[[#This Row],[Age]]," ", "years")</f>
        <v>19 years</v>
      </c>
      <c r="C288">
        <v>174</v>
      </c>
      <c r="D288">
        <v>87</v>
      </c>
      <c r="E288" t="s">
        <v>20</v>
      </c>
      <c r="F288" s="3">
        <v>6.7758036141894102</v>
      </c>
      <c r="G288" s="3">
        <v>10</v>
      </c>
      <c r="H288">
        <v>1</v>
      </c>
      <c r="I288" s="3">
        <v>75.565914734831793</v>
      </c>
      <c r="J288" s="3">
        <v>83.083867185977894</v>
      </c>
      <c r="K288" s="3">
        <v>242.759176425433</v>
      </c>
      <c r="L288" s="3">
        <v>86.502787469183801</v>
      </c>
      <c r="M288" s="3">
        <v>6.4317913759141199</v>
      </c>
      <c r="N288" s="3">
        <v>77.118311562956293</v>
      </c>
      <c r="O288" s="3">
        <v>7.7156231749777398</v>
      </c>
      <c r="P288" s="3">
        <v>56.600916985626299</v>
      </c>
      <c r="Q288" s="3">
        <v>88.7418770045972</v>
      </c>
      <c r="R288" s="3" t="str">
        <f>IF(Table1[[#This Row],[Nutrition_Quality_Score]]&lt;60, "Poor Nutrition",IF(AND(Table1[[#This Row],[Nutrition_Quality_Score]]&gt;=60,Table1[[#This Row],[Nutrition_Quality_Score]]&lt;=80),"Average Nutrition", "Good Nutrition"))</f>
        <v>Good Nutrition</v>
      </c>
      <c r="S288">
        <v>0</v>
      </c>
      <c r="T288" t="str">
        <f>IF(Table1[[#This Row],[Warmup_Routine_Adherence]]=1, "Adherent","Non-Adherent")</f>
        <v>Non-Adherent</v>
      </c>
      <c r="U288">
        <v>0</v>
      </c>
      <c r="V288" t="str">
        <f>IF(Table1[[#This Row],[Injury_Next_Season]]=1, "Injury","No Injury")</f>
        <v>No Injury</v>
      </c>
      <c r="W288" s="3">
        <v>28.735632183907999</v>
      </c>
    </row>
    <row r="289" spans="1:23" x14ac:dyDescent="0.25">
      <c r="A289" s="6">
        <v>24</v>
      </c>
      <c r="B289" s="8" t="str">
        <f>CONCATENATE(Table1[[#This Row],[Age]]," ", "years")</f>
        <v>24 years</v>
      </c>
      <c r="C289">
        <v>181</v>
      </c>
      <c r="D289">
        <v>82</v>
      </c>
      <c r="E289" t="s">
        <v>22</v>
      </c>
      <c r="F289" s="3">
        <v>8.8380656546268792</v>
      </c>
      <c r="G289" s="3">
        <v>14</v>
      </c>
      <c r="H289">
        <v>0</v>
      </c>
      <c r="I289" s="3">
        <v>64.915423637132093</v>
      </c>
      <c r="J289" s="3">
        <v>75.582143634811104</v>
      </c>
      <c r="K289" s="3">
        <v>255.53624838497399</v>
      </c>
      <c r="L289" s="3">
        <v>79.664840796660798</v>
      </c>
      <c r="M289" s="3">
        <v>5.8016741941432803</v>
      </c>
      <c r="N289" s="3">
        <v>56.625998304472802</v>
      </c>
      <c r="O289" s="3">
        <v>7.1897737291686301</v>
      </c>
      <c r="P289" s="3">
        <v>53.107495537002301</v>
      </c>
      <c r="Q289" s="3">
        <v>75.290234640894795</v>
      </c>
      <c r="R289" s="3" t="str">
        <f>IF(Table1[[#This Row],[Nutrition_Quality_Score]]&lt;60, "Poor Nutrition",IF(AND(Table1[[#This Row],[Nutrition_Quality_Score]]&gt;=60,Table1[[#This Row],[Nutrition_Quality_Score]]&lt;=80),"Average Nutrition", "Good Nutrition"))</f>
        <v>Average Nutrition</v>
      </c>
      <c r="S289">
        <v>1</v>
      </c>
      <c r="T289" t="str">
        <f>IF(Table1[[#This Row],[Warmup_Routine_Adherence]]=1, "Adherent","Non-Adherent")</f>
        <v>Adherent</v>
      </c>
      <c r="U289">
        <v>1</v>
      </c>
      <c r="V289" t="str">
        <f>IF(Table1[[#This Row],[Injury_Next_Season]]=1, "Injury","No Injury")</f>
        <v>Injury</v>
      </c>
      <c r="W289" s="3">
        <v>25.0297609963065</v>
      </c>
    </row>
    <row r="290" spans="1:23" x14ac:dyDescent="0.25">
      <c r="A290" s="6">
        <v>21</v>
      </c>
      <c r="B290" s="8" t="str">
        <f>CONCATENATE(Table1[[#This Row],[Age]]," ", "years")</f>
        <v>21 years</v>
      </c>
      <c r="C290">
        <v>187</v>
      </c>
      <c r="D290">
        <v>76</v>
      </c>
      <c r="E290" t="s">
        <v>19</v>
      </c>
      <c r="F290" s="3">
        <v>5.3966067038232204</v>
      </c>
      <c r="G290" s="3">
        <v>13</v>
      </c>
      <c r="H290">
        <v>4</v>
      </c>
      <c r="I290" s="3">
        <v>74.976140705017301</v>
      </c>
      <c r="J290" s="3">
        <v>74.862672096011806</v>
      </c>
      <c r="K290" s="3">
        <v>245.37201029352599</v>
      </c>
      <c r="L290" s="3">
        <v>74.699187234009898</v>
      </c>
      <c r="M290" s="3">
        <v>5.7899603426323196</v>
      </c>
      <c r="N290" s="3">
        <v>67.057373035677998</v>
      </c>
      <c r="O290" s="3">
        <v>6.1830425082222096</v>
      </c>
      <c r="P290" s="3">
        <v>56.178577654079398</v>
      </c>
      <c r="Q290" s="3">
        <v>69.3924933354876</v>
      </c>
      <c r="R290" s="3" t="str">
        <f>IF(Table1[[#This Row],[Nutrition_Quality_Score]]&lt;60, "Poor Nutrition",IF(AND(Table1[[#This Row],[Nutrition_Quality_Score]]&gt;=60,Table1[[#This Row],[Nutrition_Quality_Score]]&lt;=80),"Average Nutrition", "Good Nutrition"))</f>
        <v>Average Nutrition</v>
      </c>
      <c r="S290">
        <v>0</v>
      </c>
      <c r="T290" t="str">
        <f>IF(Table1[[#This Row],[Warmup_Routine_Adherence]]=1, "Adherent","Non-Adherent")</f>
        <v>Non-Adherent</v>
      </c>
      <c r="U290">
        <v>1</v>
      </c>
      <c r="V290" t="str">
        <f>IF(Table1[[#This Row],[Injury_Next_Season]]=1, "Injury","No Injury")</f>
        <v>Injury</v>
      </c>
      <c r="W290" s="3">
        <v>21.733535417083701</v>
      </c>
    </row>
    <row r="291" spans="1:23" x14ac:dyDescent="0.25">
      <c r="A291" s="6">
        <v>21</v>
      </c>
      <c r="B291" s="8" t="str">
        <f>CONCATENATE(Table1[[#This Row],[Age]]," ", "years")</f>
        <v>21 years</v>
      </c>
      <c r="C291">
        <v>178</v>
      </c>
      <c r="D291">
        <v>65</v>
      </c>
      <c r="E291" t="s">
        <v>19</v>
      </c>
      <c r="F291" s="3">
        <v>13.307166901219301</v>
      </c>
      <c r="G291" s="3">
        <v>18</v>
      </c>
      <c r="H291">
        <v>5</v>
      </c>
      <c r="I291" s="3">
        <v>78.044684396058301</v>
      </c>
      <c r="J291" s="3">
        <v>64.868637608054399</v>
      </c>
      <c r="K291" s="3">
        <v>249.74370957560399</v>
      </c>
      <c r="L291" s="3">
        <v>74.012032173830093</v>
      </c>
      <c r="M291" s="3">
        <v>5.6249825429623899</v>
      </c>
      <c r="N291" s="3">
        <v>79.185268090363707</v>
      </c>
      <c r="O291" s="3">
        <v>8.0698806979510795</v>
      </c>
      <c r="P291" s="3">
        <v>54.116665249738503</v>
      </c>
      <c r="Q291" s="3">
        <v>79.796230922877498</v>
      </c>
      <c r="R291" s="3" t="str">
        <f>IF(Table1[[#This Row],[Nutrition_Quality_Score]]&lt;60, "Poor Nutrition",IF(AND(Table1[[#This Row],[Nutrition_Quality_Score]]&gt;=60,Table1[[#This Row],[Nutrition_Quality_Score]]&lt;=80),"Average Nutrition", "Good Nutrition"))</f>
        <v>Average Nutrition</v>
      </c>
      <c r="S291">
        <v>0</v>
      </c>
      <c r="T291" t="str">
        <f>IF(Table1[[#This Row],[Warmup_Routine_Adherence]]=1, "Adherent","Non-Adherent")</f>
        <v>Non-Adherent</v>
      </c>
      <c r="U291">
        <v>1</v>
      </c>
      <c r="V291" t="str">
        <f>IF(Table1[[#This Row],[Injury_Next_Season]]=1, "Injury","No Injury")</f>
        <v>Injury</v>
      </c>
      <c r="W291" s="3">
        <v>20.515086478979899</v>
      </c>
    </row>
    <row r="292" spans="1:23" x14ac:dyDescent="0.25">
      <c r="A292" s="6">
        <v>20</v>
      </c>
      <c r="B292" s="8" t="str">
        <f>CONCATENATE(Table1[[#This Row],[Age]]," ", "years")</f>
        <v>20 years</v>
      </c>
      <c r="C292">
        <v>172</v>
      </c>
      <c r="D292">
        <v>67</v>
      </c>
      <c r="E292" t="s">
        <v>22</v>
      </c>
      <c r="F292" s="3">
        <v>10.175688015930101</v>
      </c>
      <c r="G292" s="3">
        <v>22</v>
      </c>
      <c r="H292">
        <v>1</v>
      </c>
      <c r="I292" s="3">
        <v>78.136460998569106</v>
      </c>
      <c r="J292" s="3">
        <v>73.071840012365897</v>
      </c>
      <c r="K292" s="3">
        <v>231.86188368329601</v>
      </c>
      <c r="L292" s="3">
        <v>90.443764905737595</v>
      </c>
      <c r="M292" s="3">
        <v>6.1091523789275097</v>
      </c>
      <c r="N292" s="3">
        <v>69.679130214604399</v>
      </c>
      <c r="O292" s="3">
        <v>8.1981866122251201</v>
      </c>
      <c r="P292" s="3">
        <v>77.993895723750299</v>
      </c>
      <c r="Q292" s="3">
        <v>83.341715316743603</v>
      </c>
      <c r="R292" s="3" t="str">
        <f>IF(Table1[[#This Row],[Nutrition_Quality_Score]]&lt;60, "Poor Nutrition",IF(AND(Table1[[#This Row],[Nutrition_Quality_Score]]&gt;=60,Table1[[#This Row],[Nutrition_Quality_Score]]&lt;=80),"Average Nutrition", "Good Nutrition"))</f>
        <v>Good Nutrition</v>
      </c>
      <c r="S292">
        <v>1</v>
      </c>
      <c r="T292" t="str">
        <f>IF(Table1[[#This Row],[Warmup_Routine_Adherence]]=1, "Adherent","Non-Adherent")</f>
        <v>Adherent</v>
      </c>
      <c r="U292">
        <v>0</v>
      </c>
      <c r="V292" t="str">
        <f>IF(Table1[[#This Row],[Injury_Next_Season]]=1, "Injury","No Injury")</f>
        <v>No Injury</v>
      </c>
      <c r="W292" s="3">
        <v>22.6473769605192</v>
      </c>
    </row>
    <row r="293" spans="1:23" x14ac:dyDescent="0.25">
      <c r="A293" s="6">
        <v>21</v>
      </c>
      <c r="B293" s="8" t="str">
        <f>CONCATENATE(Table1[[#This Row],[Age]]," ", "years")</f>
        <v>21 years</v>
      </c>
      <c r="C293">
        <v>171</v>
      </c>
      <c r="D293">
        <v>60</v>
      </c>
      <c r="E293" t="s">
        <v>21</v>
      </c>
      <c r="F293" s="3">
        <v>9.1078974250244897</v>
      </c>
      <c r="G293" s="3">
        <v>29</v>
      </c>
      <c r="H293">
        <v>0</v>
      </c>
      <c r="I293" s="3">
        <v>81.382544155244204</v>
      </c>
      <c r="J293" s="3">
        <v>78.823340662737394</v>
      </c>
      <c r="K293" s="3">
        <v>287.63869462195902</v>
      </c>
      <c r="L293" s="3">
        <v>92.190609372982195</v>
      </c>
      <c r="M293" s="3">
        <v>6.2836476105089298</v>
      </c>
      <c r="N293" s="3">
        <v>77.964576855434402</v>
      </c>
      <c r="O293" s="3">
        <v>7.5624659755656003</v>
      </c>
      <c r="P293" s="3">
        <v>40.910962460268003</v>
      </c>
      <c r="Q293" s="3">
        <v>80.343560732043201</v>
      </c>
      <c r="R293" s="3" t="str">
        <f>IF(Table1[[#This Row],[Nutrition_Quality_Score]]&lt;60, "Poor Nutrition",IF(AND(Table1[[#This Row],[Nutrition_Quality_Score]]&gt;=60,Table1[[#This Row],[Nutrition_Quality_Score]]&lt;=80),"Average Nutrition", "Good Nutrition"))</f>
        <v>Good Nutrition</v>
      </c>
      <c r="S293">
        <v>0</v>
      </c>
      <c r="T293" t="str">
        <f>IF(Table1[[#This Row],[Warmup_Routine_Adherence]]=1, "Adherent","Non-Adherent")</f>
        <v>Non-Adherent</v>
      </c>
      <c r="U293">
        <v>0</v>
      </c>
      <c r="V293" t="str">
        <f>IF(Table1[[#This Row],[Injury_Next_Season]]=1, "Injury","No Injury")</f>
        <v>No Injury</v>
      </c>
      <c r="W293" s="3">
        <v>20.519134092541201</v>
      </c>
    </row>
    <row r="294" spans="1:23" x14ac:dyDescent="0.25">
      <c r="A294" s="6">
        <v>18</v>
      </c>
      <c r="B294" s="8" t="str">
        <f>CONCATENATE(Table1[[#This Row],[Age]]," ", "years")</f>
        <v>18 years</v>
      </c>
      <c r="C294">
        <v>178</v>
      </c>
      <c r="D294">
        <v>75</v>
      </c>
      <c r="E294" t="s">
        <v>20</v>
      </c>
      <c r="F294" s="3">
        <v>10.938383623524199</v>
      </c>
      <c r="G294" s="3">
        <v>10</v>
      </c>
      <c r="H294">
        <v>3</v>
      </c>
      <c r="I294" s="3">
        <v>66.353274076710704</v>
      </c>
      <c r="J294" s="3">
        <v>77.266636870341799</v>
      </c>
      <c r="K294" s="3">
        <v>188.377190636226</v>
      </c>
      <c r="L294" s="3">
        <v>85.423297072921301</v>
      </c>
      <c r="M294" s="3">
        <v>5.1719993946791103</v>
      </c>
      <c r="N294" s="3">
        <v>75.095788187169504</v>
      </c>
      <c r="O294" s="3">
        <v>6.5425169020629701</v>
      </c>
      <c r="P294" s="3">
        <v>67.706618376057307</v>
      </c>
      <c r="Q294" s="3">
        <v>68.742705983568896</v>
      </c>
      <c r="R294" s="3" t="str">
        <f>IF(Table1[[#This Row],[Nutrition_Quality_Score]]&lt;60, "Poor Nutrition",IF(AND(Table1[[#This Row],[Nutrition_Quality_Score]]&gt;=60,Table1[[#This Row],[Nutrition_Quality_Score]]&lt;=80),"Average Nutrition", "Good Nutrition"))</f>
        <v>Average Nutrition</v>
      </c>
      <c r="S294">
        <v>1</v>
      </c>
      <c r="T294" t="str">
        <f>IF(Table1[[#This Row],[Warmup_Routine_Adherence]]=1, "Adherent","Non-Adherent")</f>
        <v>Adherent</v>
      </c>
      <c r="U294">
        <v>1</v>
      </c>
      <c r="V294" t="str">
        <f>IF(Table1[[#This Row],[Injury_Next_Season]]=1, "Injury","No Injury")</f>
        <v>Injury</v>
      </c>
      <c r="W294" s="3">
        <v>23.671253629592201</v>
      </c>
    </row>
    <row r="295" spans="1:23" x14ac:dyDescent="0.25">
      <c r="A295" s="6">
        <v>22</v>
      </c>
      <c r="B295" s="8" t="str">
        <f>CONCATENATE(Table1[[#This Row],[Age]]," ", "years")</f>
        <v>22 years</v>
      </c>
      <c r="C295">
        <v>181</v>
      </c>
      <c r="D295">
        <v>79</v>
      </c>
      <c r="E295" t="s">
        <v>22</v>
      </c>
      <c r="F295" s="3">
        <v>9.5573631972652002</v>
      </c>
      <c r="G295" s="3">
        <v>34</v>
      </c>
      <c r="H295">
        <v>2</v>
      </c>
      <c r="I295" s="3">
        <v>84.744045403219801</v>
      </c>
      <c r="J295" s="3">
        <v>85.752228234044907</v>
      </c>
      <c r="K295" s="3">
        <v>264.36432822430697</v>
      </c>
      <c r="L295" s="3">
        <v>94.4980611142676</v>
      </c>
      <c r="M295" s="3">
        <v>6.6561609533399002</v>
      </c>
      <c r="N295" s="3">
        <v>89.381860611592103</v>
      </c>
      <c r="O295" s="3">
        <v>8.8485875231089697</v>
      </c>
      <c r="P295" s="3">
        <v>72.819316431777395</v>
      </c>
      <c r="Q295" s="3">
        <v>84.203663851816998</v>
      </c>
      <c r="R295" s="3" t="str">
        <f>IF(Table1[[#This Row],[Nutrition_Quality_Score]]&lt;60, "Poor Nutrition",IF(AND(Table1[[#This Row],[Nutrition_Quality_Score]]&gt;=60,Table1[[#This Row],[Nutrition_Quality_Score]]&lt;=80),"Average Nutrition", "Good Nutrition"))</f>
        <v>Good Nutrition</v>
      </c>
      <c r="S295">
        <v>1</v>
      </c>
      <c r="T295" t="str">
        <f>IF(Table1[[#This Row],[Warmup_Routine_Adherence]]=1, "Adherent","Non-Adherent")</f>
        <v>Adherent</v>
      </c>
      <c r="U295">
        <v>0</v>
      </c>
      <c r="V295" t="str">
        <f>IF(Table1[[#This Row],[Injury_Next_Season]]=1, "Injury","No Injury")</f>
        <v>No Injury</v>
      </c>
      <c r="W295" s="3">
        <v>24.114038033027001</v>
      </c>
    </row>
    <row r="296" spans="1:23" x14ac:dyDescent="0.25">
      <c r="A296" s="6">
        <v>20</v>
      </c>
      <c r="B296" s="8" t="str">
        <f>CONCATENATE(Table1[[#This Row],[Age]]," ", "years")</f>
        <v>20 years</v>
      </c>
      <c r="C296">
        <v>180</v>
      </c>
      <c r="D296">
        <v>92</v>
      </c>
      <c r="E296" t="s">
        <v>21</v>
      </c>
      <c r="F296" s="3">
        <v>5</v>
      </c>
      <c r="G296" s="3">
        <v>38</v>
      </c>
      <c r="H296">
        <v>1</v>
      </c>
      <c r="I296" s="3">
        <v>81.199881335777803</v>
      </c>
      <c r="J296" s="3">
        <v>83.890489063787996</v>
      </c>
      <c r="K296" s="3">
        <v>226.61658869711599</v>
      </c>
      <c r="L296" s="3">
        <v>90.132654762391894</v>
      </c>
      <c r="M296" s="3">
        <v>6.26966937893412</v>
      </c>
      <c r="N296" s="3">
        <v>91.888969578243405</v>
      </c>
      <c r="O296" s="3">
        <v>8.2884619483314506</v>
      </c>
      <c r="P296" s="3">
        <v>57.707838844686002</v>
      </c>
      <c r="Q296" s="3">
        <v>75.560091488897001</v>
      </c>
      <c r="R296" s="3" t="str">
        <f>IF(Table1[[#This Row],[Nutrition_Quality_Score]]&lt;60, "Poor Nutrition",IF(AND(Table1[[#This Row],[Nutrition_Quality_Score]]&gt;=60,Table1[[#This Row],[Nutrition_Quality_Score]]&lt;=80),"Average Nutrition", "Good Nutrition"))</f>
        <v>Average Nutrition</v>
      </c>
      <c r="S296">
        <v>1</v>
      </c>
      <c r="T296" t="str">
        <f>IF(Table1[[#This Row],[Warmup_Routine_Adherence]]=1, "Adherent","Non-Adherent")</f>
        <v>Adherent</v>
      </c>
      <c r="U296">
        <v>0</v>
      </c>
      <c r="V296" t="str">
        <f>IF(Table1[[#This Row],[Injury_Next_Season]]=1, "Injury","No Injury")</f>
        <v>No Injury</v>
      </c>
      <c r="W296" s="3">
        <v>28.395061728395</v>
      </c>
    </row>
    <row r="297" spans="1:23" x14ac:dyDescent="0.25">
      <c r="A297" s="6">
        <v>19</v>
      </c>
      <c r="B297" s="8" t="str">
        <f>CONCATENATE(Table1[[#This Row],[Age]]," ", "years")</f>
        <v>19 years</v>
      </c>
      <c r="C297">
        <v>181</v>
      </c>
      <c r="D297">
        <v>74</v>
      </c>
      <c r="E297" t="s">
        <v>21</v>
      </c>
      <c r="F297" s="3">
        <v>11.6805838492097</v>
      </c>
      <c r="G297" s="3">
        <v>27</v>
      </c>
      <c r="H297">
        <v>2</v>
      </c>
      <c r="I297" s="3">
        <v>71.303955256446798</v>
      </c>
      <c r="J297" s="3">
        <v>69.776174756677705</v>
      </c>
      <c r="K297" s="3">
        <v>250.770711184829</v>
      </c>
      <c r="L297" s="3">
        <v>88.060436615220397</v>
      </c>
      <c r="M297" s="3">
        <v>6.52391059630044</v>
      </c>
      <c r="N297" s="3">
        <v>86.421080891377301</v>
      </c>
      <c r="O297" s="3">
        <v>5.8844347506626598</v>
      </c>
      <c r="P297" s="3">
        <v>65.884761753990304</v>
      </c>
      <c r="Q297" s="3">
        <v>54.311707797334897</v>
      </c>
      <c r="R297" s="3" t="str">
        <f>IF(Table1[[#This Row],[Nutrition_Quality_Score]]&lt;60, "Poor Nutrition",IF(AND(Table1[[#This Row],[Nutrition_Quality_Score]]&gt;=60,Table1[[#This Row],[Nutrition_Quality_Score]]&lt;=80),"Average Nutrition", "Good Nutrition"))</f>
        <v>Poor Nutrition</v>
      </c>
      <c r="S297">
        <v>0</v>
      </c>
      <c r="T297" t="str">
        <f>IF(Table1[[#This Row],[Warmup_Routine_Adherence]]=1, "Adherent","Non-Adherent")</f>
        <v>Non-Adherent</v>
      </c>
      <c r="U297">
        <v>1</v>
      </c>
      <c r="V297" t="str">
        <f>IF(Table1[[#This Row],[Injury_Next_Season]]=1, "Injury","No Injury")</f>
        <v>Injury</v>
      </c>
      <c r="W297" s="3">
        <v>22.587833094227801</v>
      </c>
    </row>
    <row r="298" spans="1:23" x14ac:dyDescent="0.25">
      <c r="A298" s="6">
        <v>23</v>
      </c>
      <c r="B298" s="8" t="str">
        <f>CONCATENATE(Table1[[#This Row],[Age]]," ", "years")</f>
        <v>23 years</v>
      </c>
      <c r="C298">
        <v>173</v>
      </c>
      <c r="D298">
        <v>82</v>
      </c>
      <c r="E298" t="s">
        <v>19</v>
      </c>
      <c r="F298" s="3">
        <v>7.5852641569053096</v>
      </c>
      <c r="G298" s="3">
        <v>30</v>
      </c>
      <c r="H298">
        <v>1</v>
      </c>
      <c r="I298" s="3">
        <v>65.443824836603397</v>
      </c>
      <c r="J298" s="3">
        <v>80.049705717915799</v>
      </c>
      <c r="K298" s="3">
        <v>258.68848876916798</v>
      </c>
      <c r="L298" s="3">
        <v>79.496955537979801</v>
      </c>
      <c r="M298" s="3">
        <v>5.5977135296760503</v>
      </c>
      <c r="N298" s="3">
        <v>71.796743325916594</v>
      </c>
      <c r="O298" s="3">
        <v>7.1304184620894597</v>
      </c>
      <c r="P298" s="3">
        <v>59.818533180691801</v>
      </c>
      <c r="Q298" s="3">
        <v>68.883079156758697</v>
      </c>
      <c r="R298" s="3" t="str">
        <f>IF(Table1[[#This Row],[Nutrition_Quality_Score]]&lt;60, "Poor Nutrition",IF(AND(Table1[[#This Row],[Nutrition_Quality_Score]]&gt;=60,Table1[[#This Row],[Nutrition_Quality_Score]]&lt;=80),"Average Nutrition", "Good Nutrition"))</f>
        <v>Average Nutrition</v>
      </c>
      <c r="S298">
        <v>0</v>
      </c>
      <c r="T298" t="str">
        <f>IF(Table1[[#This Row],[Warmup_Routine_Adherence]]=1, "Adherent","Non-Adherent")</f>
        <v>Non-Adherent</v>
      </c>
      <c r="U298">
        <v>1</v>
      </c>
      <c r="V298" t="str">
        <f>IF(Table1[[#This Row],[Injury_Next_Season]]=1, "Injury","No Injury")</f>
        <v>Injury</v>
      </c>
      <c r="W298" s="3">
        <v>27.3981756824484</v>
      </c>
    </row>
    <row r="299" spans="1:23" x14ac:dyDescent="0.25">
      <c r="A299" s="6">
        <v>21</v>
      </c>
      <c r="B299" s="8" t="str">
        <f>CONCATENATE(Table1[[#This Row],[Age]]," ", "years")</f>
        <v>21 years</v>
      </c>
      <c r="C299">
        <v>168</v>
      </c>
      <c r="D299">
        <v>78</v>
      </c>
      <c r="E299" t="s">
        <v>19</v>
      </c>
      <c r="F299" s="3">
        <v>7.9568500722248698</v>
      </c>
      <c r="G299" s="3">
        <v>28</v>
      </c>
      <c r="H299">
        <v>2</v>
      </c>
      <c r="I299" s="3">
        <v>71.602239887945601</v>
      </c>
      <c r="J299" s="3">
        <v>87.588998733229502</v>
      </c>
      <c r="K299" s="3">
        <v>258.618759571792</v>
      </c>
      <c r="L299" s="3">
        <v>83.319166749028994</v>
      </c>
      <c r="M299" s="3">
        <v>5.7035414683192602</v>
      </c>
      <c r="N299" s="3">
        <v>80.495578352701003</v>
      </c>
      <c r="O299" s="3">
        <v>7.8184376070378701</v>
      </c>
      <c r="P299" s="3">
        <v>76.719686508842202</v>
      </c>
      <c r="Q299" s="3">
        <v>71.559763415985103</v>
      </c>
      <c r="R299" s="3" t="str">
        <f>IF(Table1[[#This Row],[Nutrition_Quality_Score]]&lt;60, "Poor Nutrition",IF(AND(Table1[[#This Row],[Nutrition_Quality_Score]]&gt;=60,Table1[[#This Row],[Nutrition_Quality_Score]]&lt;=80),"Average Nutrition", "Good Nutrition"))</f>
        <v>Average Nutrition</v>
      </c>
      <c r="S299">
        <v>0</v>
      </c>
      <c r="T299" t="str">
        <f>IF(Table1[[#This Row],[Warmup_Routine_Adherence]]=1, "Adherent","Non-Adherent")</f>
        <v>Non-Adherent</v>
      </c>
      <c r="U299">
        <v>1</v>
      </c>
      <c r="V299" t="str">
        <f>IF(Table1[[#This Row],[Injury_Next_Season]]=1, "Injury","No Injury")</f>
        <v>Injury</v>
      </c>
      <c r="W299" s="3">
        <v>27.636054421768701</v>
      </c>
    </row>
    <row r="300" spans="1:23" x14ac:dyDescent="0.25">
      <c r="A300" s="6">
        <v>23</v>
      </c>
      <c r="B300" s="8" t="str">
        <f>CONCATENATE(Table1[[#This Row],[Age]]," ", "years")</f>
        <v>23 years</v>
      </c>
      <c r="C300">
        <v>182</v>
      </c>
      <c r="D300">
        <v>86</v>
      </c>
      <c r="E300" t="s">
        <v>19</v>
      </c>
      <c r="F300" s="3">
        <v>7.9919519078673096</v>
      </c>
      <c r="G300" s="3">
        <v>37</v>
      </c>
      <c r="H300">
        <v>0</v>
      </c>
      <c r="I300" s="3">
        <v>61.525433266040601</v>
      </c>
      <c r="J300" s="3">
        <v>69.4652894144877</v>
      </c>
      <c r="K300" s="3">
        <v>279.51858300090902</v>
      </c>
      <c r="L300" s="3">
        <v>77.148754316523593</v>
      </c>
      <c r="M300" s="3">
        <v>5.8319139823982296</v>
      </c>
      <c r="N300" s="3">
        <v>67.584402246405304</v>
      </c>
      <c r="O300" s="3">
        <v>7.9515184575763804</v>
      </c>
      <c r="P300" s="3">
        <v>61.714511526989597</v>
      </c>
      <c r="Q300" s="3">
        <v>63.107177041411198</v>
      </c>
      <c r="R300" s="3" t="str">
        <f>IF(Table1[[#This Row],[Nutrition_Quality_Score]]&lt;60, "Poor Nutrition",IF(AND(Table1[[#This Row],[Nutrition_Quality_Score]]&gt;=60,Table1[[#This Row],[Nutrition_Quality_Score]]&lt;=80),"Average Nutrition", "Good Nutrition"))</f>
        <v>Average Nutrition</v>
      </c>
      <c r="S300">
        <v>1</v>
      </c>
      <c r="T300" t="str">
        <f>IF(Table1[[#This Row],[Warmup_Routine_Adherence]]=1, "Adherent","Non-Adherent")</f>
        <v>Adherent</v>
      </c>
      <c r="U300">
        <v>1</v>
      </c>
      <c r="V300" t="str">
        <f>IF(Table1[[#This Row],[Injury_Next_Season]]=1, "Injury","No Injury")</f>
        <v>Injury</v>
      </c>
      <c r="W300" s="3">
        <v>25.963047941069899</v>
      </c>
    </row>
    <row r="301" spans="1:23" x14ac:dyDescent="0.25">
      <c r="A301" s="6">
        <v>24</v>
      </c>
      <c r="B301" s="8" t="str">
        <f>CONCATENATE(Table1[[#This Row],[Age]]," ", "years")</f>
        <v>24 years</v>
      </c>
      <c r="C301">
        <v>180</v>
      </c>
      <c r="D301">
        <v>80</v>
      </c>
      <c r="E301" t="s">
        <v>19</v>
      </c>
      <c r="F301" s="3">
        <v>10.736387447770401</v>
      </c>
      <c r="G301" s="3">
        <v>31</v>
      </c>
      <c r="H301">
        <v>1</v>
      </c>
      <c r="I301" s="3">
        <v>89.074722974574001</v>
      </c>
      <c r="J301" s="3">
        <v>79.915550801354698</v>
      </c>
      <c r="K301" s="3">
        <v>242.374915008583</v>
      </c>
      <c r="L301" s="3">
        <v>86.3886500467883</v>
      </c>
      <c r="M301" s="3">
        <v>6.2475898537004904</v>
      </c>
      <c r="N301" s="3">
        <v>85.931639439687103</v>
      </c>
      <c r="O301" s="3">
        <v>7.2512519439394199</v>
      </c>
      <c r="P301" s="3">
        <v>57.854187797952498</v>
      </c>
      <c r="Q301" s="3">
        <v>79.414940015733293</v>
      </c>
      <c r="R301" s="3" t="str">
        <f>IF(Table1[[#This Row],[Nutrition_Quality_Score]]&lt;60, "Poor Nutrition",IF(AND(Table1[[#This Row],[Nutrition_Quality_Score]]&gt;=60,Table1[[#This Row],[Nutrition_Quality_Score]]&lt;=80),"Average Nutrition", "Good Nutrition"))</f>
        <v>Average Nutrition</v>
      </c>
      <c r="S301">
        <v>1</v>
      </c>
      <c r="T301" t="str">
        <f>IF(Table1[[#This Row],[Warmup_Routine_Adherence]]=1, "Adherent","Non-Adherent")</f>
        <v>Adherent</v>
      </c>
      <c r="U301">
        <v>0</v>
      </c>
      <c r="V301" t="str">
        <f>IF(Table1[[#This Row],[Injury_Next_Season]]=1, "Injury","No Injury")</f>
        <v>No Injury</v>
      </c>
      <c r="W301" s="3">
        <v>24.691358024691301</v>
      </c>
    </row>
    <row r="302" spans="1:23" x14ac:dyDescent="0.25">
      <c r="A302" s="6">
        <v>20</v>
      </c>
      <c r="B302" s="8" t="str">
        <f>CONCATENATE(Table1[[#This Row],[Age]]," ", "years")</f>
        <v>20 years</v>
      </c>
      <c r="C302">
        <v>183</v>
      </c>
      <c r="D302">
        <v>60</v>
      </c>
      <c r="E302" t="s">
        <v>22</v>
      </c>
      <c r="F302" s="3">
        <v>8.6363642423974607</v>
      </c>
      <c r="G302" s="3">
        <v>33</v>
      </c>
      <c r="H302">
        <v>4</v>
      </c>
      <c r="I302" s="3">
        <v>66.138999638082097</v>
      </c>
      <c r="J302" s="3">
        <v>85.717781408882701</v>
      </c>
      <c r="K302" s="3">
        <v>290.98782273840499</v>
      </c>
      <c r="L302" s="3">
        <v>77.819106264364606</v>
      </c>
      <c r="M302" s="3">
        <v>6.0479758926185001</v>
      </c>
      <c r="N302" s="3">
        <v>70.7137181569272</v>
      </c>
      <c r="O302" s="3">
        <v>8.7980452976185894</v>
      </c>
      <c r="P302" s="3">
        <v>55.634289022010698</v>
      </c>
      <c r="Q302" s="3">
        <v>95.265867421723698</v>
      </c>
      <c r="R302" s="3" t="str">
        <f>IF(Table1[[#This Row],[Nutrition_Quality_Score]]&lt;60, "Poor Nutrition",IF(AND(Table1[[#This Row],[Nutrition_Quality_Score]]&gt;=60,Table1[[#This Row],[Nutrition_Quality_Score]]&lt;=80),"Average Nutrition", "Good Nutrition"))</f>
        <v>Good Nutrition</v>
      </c>
      <c r="S302">
        <v>0</v>
      </c>
      <c r="T302" t="str">
        <f>IF(Table1[[#This Row],[Warmup_Routine_Adherence]]=1, "Adherent","Non-Adherent")</f>
        <v>Non-Adherent</v>
      </c>
      <c r="U302">
        <v>1</v>
      </c>
      <c r="V302" t="str">
        <f>IF(Table1[[#This Row],[Injury_Next_Season]]=1, "Injury","No Injury")</f>
        <v>Injury</v>
      </c>
      <c r="W302" s="3">
        <v>17.916330735465301</v>
      </c>
    </row>
    <row r="303" spans="1:23" x14ac:dyDescent="0.25">
      <c r="A303" s="6">
        <v>19</v>
      </c>
      <c r="B303" s="8" t="str">
        <f>CONCATENATE(Table1[[#This Row],[Age]]," ", "years")</f>
        <v>19 years</v>
      </c>
      <c r="C303">
        <v>177</v>
      </c>
      <c r="D303">
        <v>82</v>
      </c>
      <c r="E303" t="s">
        <v>22</v>
      </c>
      <c r="F303" s="3">
        <v>6.8139298564111597</v>
      </c>
      <c r="G303" s="3">
        <v>5</v>
      </c>
      <c r="H303">
        <v>1</v>
      </c>
      <c r="I303" s="3">
        <v>77.466647807585005</v>
      </c>
      <c r="J303" s="3">
        <v>77.443791972208501</v>
      </c>
      <c r="K303" s="3">
        <v>233.432795478477</v>
      </c>
      <c r="L303" s="3">
        <v>72.951579703917304</v>
      </c>
      <c r="M303" s="3">
        <v>6.1993280746256598</v>
      </c>
      <c r="N303" s="3">
        <v>74.291385470546999</v>
      </c>
      <c r="O303" s="3">
        <v>6.8393768920211899</v>
      </c>
      <c r="P303" s="3">
        <v>66.919864723029605</v>
      </c>
      <c r="Q303" s="3">
        <v>70.629583799019301</v>
      </c>
      <c r="R303" s="3" t="str">
        <f>IF(Table1[[#This Row],[Nutrition_Quality_Score]]&lt;60, "Poor Nutrition",IF(AND(Table1[[#This Row],[Nutrition_Quality_Score]]&gt;=60,Table1[[#This Row],[Nutrition_Quality_Score]]&lt;=80),"Average Nutrition", "Good Nutrition"))</f>
        <v>Average Nutrition</v>
      </c>
      <c r="S303">
        <v>0</v>
      </c>
      <c r="T303" t="str">
        <f>IF(Table1[[#This Row],[Warmup_Routine_Adherence]]=1, "Adherent","Non-Adherent")</f>
        <v>Non-Adherent</v>
      </c>
      <c r="U303">
        <v>0</v>
      </c>
      <c r="V303" t="str">
        <f>IF(Table1[[#This Row],[Injury_Next_Season]]=1, "Injury","No Injury")</f>
        <v>No Injury</v>
      </c>
      <c r="W303" s="3">
        <v>26.173832551310198</v>
      </c>
    </row>
    <row r="304" spans="1:23" x14ac:dyDescent="0.25">
      <c r="A304" s="6">
        <v>20</v>
      </c>
      <c r="B304" s="8" t="str">
        <f>CONCATENATE(Table1[[#This Row],[Age]]," ", "years")</f>
        <v>20 years</v>
      </c>
      <c r="C304">
        <v>184</v>
      </c>
      <c r="D304">
        <v>80</v>
      </c>
      <c r="E304" t="s">
        <v>20</v>
      </c>
      <c r="F304" s="3">
        <v>11.960885538849899</v>
      </c>
      <c r="G304" s="3">
        <v>16</v>
      </c>
      <c r="H304">
        <v>2</v>
      </c>
      <c r="I304" s="3">
        <v>84.521479695962299</v>
      </c>
      <c r="J304" s="3">
        <v>72.564895682023007</v>
      </c>
      <c r="K304" s="3">
        <v>202.79276302696201</v>
      </c>
      <c r="L304" s="3">
        <v>91.915074311784295</v>
      </c>
      <c r="M304" s="3">
        <v>6.0561366469455704</v>
      </c>
      <c r="N304" s="3">
        <v>87.7081943109945</v>
      </c>
      <c r="O304" s="3">
        <v>7.8990634904483903</v>
      </c>
      <c r="P304" s="3">
        <v>44.978540240160001</v>
      </c>
      <c r="Q304" s="3">
        <v>61.029943491271197</v>
      </c>
      <c r="R304" s="3" t="str">
        <f>IF(Table1[[#This Row],[Nutrition_Quality_Score]]&lt;60, "Poor Nutrition",IF(AND(Table1[[#This Row],[Nutrition_Quality_Score]]&gt;=60,Table1[[#This Row],[Nutrition_Quality_Score]]&lt;=80),"Average Nutrition", "Good Nutrition"))</f>
        <v>Average Nutrition</v>
      </c>
      <c r="S304">
        <v>1</v>
      </c>
      <c r="T304" t="str">
        <f>IF(Table1[[#This Row],[Warmup_Routine_Adherence]]=1, "Adherent","Non-Adherent")</f>
        <v>Adherent</v>
      </c>
      <c r="U304">
        <v>0</v>
      </c>
      <c r="V304" t="str">
        <f>IF(Table1[[#This Row],[Injury_Next_Season]]=1, "Injury","No Injury")</f>
        <v>No Injury</v>
      </c>
      <c r="W304" s="3">
        <v>23.629489603024499</v>
      </c>
    </row>
    <row r="305" spans="1:23" x14ac:dyDescent="0.25">
      <c r="A305" s="6">
        <v>19</v>
      </c>
      <c r="B305" s="8" t="str">
        <f>CONCATENATE(Table1[[#This Row],[Age]]," ", "years")</f>
        <v>19 years</v>
      </c>
      <c r="C305">
        <v>180</v>
      </c>
      <c r="D305">
        <v>72</v>
      </c>
      <c r="E305" t="s">
        <v>22</v>
      </c>
      <c r="F305" s="3">
        <v>10.6716671140488</v>
      </c>
      <c r="G305" s="3">
        <v>7</v>
      </c>
      <c r="H305">
        <v>2</v>
      </c>
      <c r="I305" s="3">
        <v>83.339645143831206</v>
      </c>
      <c r="J305" s="3">
        <v>84.748132423089103</v>
      </c>
      <c r="K305" s="3">
        <v>251.87886988576599</v>
      </c>
      <c r="L305" s="3">
        <v>86.738352163254902</v>
      </c>
      <c r="M305" s="3">
        <v>6.3801471686756797</v>
      </c>
      <c r="N305" s="3">
        <v>73.126321435834896</v>
      </c>
      <c r="O305" s="3">
        <v>7.5747600514712898</v>
      </c>
      <c r="P305" s="3">
        <v>50.586653913604302</v>
      </c>
      <c r="Q305" s="3">
        <v>77.636949193849503</v>
      </c>
      <c r="R305" s="3" t="str">
        <f>IF(Table1[[#This Row],[Nutrition_Quality_Score]]&lt;60, "Poor Nutrition",IF(AND(Table1[[#This Row],[Nutrition_Quality_Score]]&gt;=60,Table1[[#This Row],[Nutrition_Quality_Score]]&lt;=80),"Average Nutrition", "Good Nutrition"))</f>
        <v>Average Nutrition</v>
      </c>
      <c r="S305">
        <v>0</v>
      </c>
      <c r="T305" t="str">
        <f>IF(Table1[[#This Row],[Warmup_Routine_Adherence]]=1, "Adherent","Non-Adherent")</f>
        <v>Non-Adherent</v>
      </c>
      <c r="U305">
        <v>0</v>
      </c>
      <c r="V305" t="str">
        <f>IF(Table1[[#This Row],[Injury_Next_Season]]=1, "Injury","No Injury")</f>
        <v>No Injury</v>
      </c>
      <c r="W305" s="3">
        <v>22.2222222222222</v>
      </c>
    </row>
    <row r="306" spans="1:23" x14ac:dyDescent="0.25">
      <c r="A306" s="6">
        <v>23</v>
      </c>
      <c r="B306" s="8" t="str">
        <f>CONCATENATE(Table1[[#This Row],[Age]]," ", "years")</f>
        <v>23 years</v>
      </c>
      <c r="C306">
        <v>177</v>
      </c>
      <c r="D306">
        <v>71</v>
      </c>
      <c r="E306" t="s">
        <v>22</v>
      </c>
      <c r="F306" s="3">
        <v>7.9617595346401204</v>
      </c>
      <c r="G306" s="3">
        <v>34</v>
      </c>
      <c r="H306">
        <v>2</v>
      </c>
      <c r="I306" s="3">
        <v>81.488427591419196</v>
      </c>
      <c r="J306" s="3">
        <v>92.634969709407898</v>
      </c>
      <c r="K306" s="3">
        <v>232.903777783924</v>
      </c>
      <c r="L306" s="3">
        <v>83.934678327953904</v>
      </c>
      <c r="M306" s="3">
        <v>6.6547561786437699</v>
      </c>
      <c r="N306" s="3">
        <v>77.813572086428806</v>
      </c>
      <c r="O306" s="3">
        <v>7.6272905621559204</v>
      </c>
      <c r="P306" s="3">
        <v>39.923693252320703</v>
      </c>
      <c r="Q306" s="3">
        <v>50.628963030266199</v>
      </c>
      <c r="R306" s="3" t="str">
        <f>IF(Table1[[#This Row],[Nutrition_Quality_Score]]&lt;60, "Poor Nutrition",IF(AND(Table1[[#This Row],[Nutrition_Quality_Score]]&gt;=60,Table1[[#This Row],[Nutrition_Quality_Score]]&lt;=80),"Average Nutrition", "Good Nutrition"))</f>
        <v>Poor Nutrition</v>
      </c>
      <c r="S306">
        <v>1</v>
      </c>
      <c r="T306" t="str">
        <f>IF(Table1[[#This Row],[Warmup_Routine_Adherence]]=1, "Adherent","Non-Adherent")</f>
        <v>Adherent</v>
      </c>
      <c r="U306">
        <v>0</v>
      </c>
      <c r="V306" t="str">
        <f>IF(Table1[[#This Row],[Injury_Next_Season]]=1, "Injury","No Injury")</f>
        <v>No Injury</v>
      </c>
      <c r="W306" s="3">
        <v>22.662708672475901</v>
      </c>
    </row>
    <row r="307" spans="1:23" x14ac:dyDescent="0.25">
      <c r="A307" s="6">
        <v>21</v>
      </c>
      <c r="B307" s="8" t="str">
        <f>CONCATENATE(Table1[[#This Row],[Age]]," ", "years")</f>
        <v>21 years</v>
      </c>
      <c r="C307">
        <v>177</v>
      </c>
      <c r="D307">
        <v>72</v>
      </c>
      <c r="E307" t="s">
        <v>19</v>
      </c>
      <c r="F307" s="3">
        <v>5</v>
      </c>
      <c r="G307" s="3">
        <v>26</v>
      </c>
      <c r="H307">
        <v>0</v>
      </c>
      <c r="I307" s="3">
        <v>80.606712697442504</v>
      </c>
      <c r="J307" s="3">
        <v>77.110052173788901</v>
      </c>
      <c r="K307" s="3">
        <v>299.41870407455298</v>
      </c>
      <c r="L307" s="3">
        <v>84.654034816683094</v>
      </c>
      <c r="M307" s="3">
        <v>5.9092701360379998</v>
      </c>
      <c r="N307" s="3">
        <v>74.741944771666496</v>
      </c>
      <c r="O307" s="3">
        <v>8.1357057961515693</v>
      </c>
      <c r="P307" s="3">
        <v>48.310604723591297</v>
      </c>
      <c r="Q307" s="3">
        <v>73.428110093621797</v>
      </c>
      <c r="R307" s="3" t="str">
        <f>IF(Table1[[#This Row],[Nutrition_Quality_Score]]&lt;60, "Poor Nutrition",IF(AND(Table1[[#This Row],[Nutrition_Quality_Score]]&gt;=60,Table1[[#This Row],[Nutrition_Quality_Score]]&lt;=80),"Average Nutrition", "Good Nutrition"))</f>
        <v>Average Nutrition</v>
      </c>
      <c r="S307">
        <v>0</v>
      </c>
      <c r="T307" t="str">
        <f>IF(Table1[[#This Row],[Warmup_Routine_Adherence]]=1, "Adherent","Non-Adherent")</f>
        <v>Non-Adherent</v>
      </c>
      <c r="U307">
        <v>0</v>
      </c>
      <c r="V307" t="str">
        <f>IF(Table1[[#This Row],[Injury_Next_Season]]=1, "Injury","No Injury")</f>
        <v>No Injury</v>
      </c>
      <c r="W307" s="3">
        <v>22.98190175237</v>
      </c>
    </row>
    <row r="308" spans="1:23" x14ac:dyDescent="0.25">
      <c r="A308" s="6">
        <v>23</v>
      </c>
      <c r="B308" s="8" t="str">
        <f>CONCATENATE(Table1[[#This Row],[Age]]," ", "years")</f>
        <v>23 years</v>
      </c>
      <c r="C308">
        <v>177</v>
      </c>
      <c r="D308">
        <v>73</v>
      </c>
      <c r="E308" t="s">
        <v>20</v>
      </c>
      <c r="F308" s="3">
        <v>9.4632300417536008</v>
      </c>
      <c r="G308" s="3">
        <v>34</v>
      </c>
      <c r="H308">
        <v>3</v>
      </c>
      <c r="I308" s="3">
        <v>78.835327065098397</v>
      </c>
      <c r="J308" s="3">
        <v>89.981847702584204</v>
      </c>
      <c r="K308" s="3">
        <v>229.05151440145701</v>
      </c>
      <c r="L308" s="3">
        <v>92.2841907407267</v>
      </c>
      <c r="M308" s="3">
        <v>5.9029465896037703</v>
      </c>
      <c r="N308" s="3">
        <v>86.8404422381833</v>
      </c>
      <c r="O308" s="3">
        <v>7.5350897185395596</v>
      </c>
      <c r="P308" s="3">
        <v>52.776479818904903</v>
      </c>
      <c r="Q308" s="3">
        <v>85.890581507801798</v>
      </c>
      <c r="R308" s="3" t="str">
        <f>IF(Table1[[#This Row],[Nutrition_Quality_Score]]&lt;60, "Poor Nutrition",IF(AND(Table1[[#This Row],[Nutrition_Quality_Score]]&gt;=60,Table1[[#This Row],[Nutrition_Quality_Score]]&lt;=80),"Average Nutrition", "Good Nutrition"))</f>
        <v>Good Nutrition</v>
      </c>
      <c r="S308">
        <v>1</v>
      </c>
      <c r="T308" t="str">
        <f>IF(Table1[[#This Row],[Warmup_Routine_Adherence]]=1, "Adherent","Non-Adherent")</f>
        <v>Adherent</v>
      </c>
      <c r="U308">
        <v>0</v>
      </c>
      <c r="V308" t="str">
        <f>IF(Table1[[#This Row],[Injury_Next_Season]]=1, "Injury","No Injury")</f>
        <v>No Injury</v>
      </c>
      <c r="W308" s="3">
        <v>23.301094832263999</v>
      </c>
    </row>
    <row r="309" spans="1:23" x14ac:dyDescent="0.25">
      <c r="A309" s="6">
        <v>19</v>
      </c>
      <c r="B309" s="8" t="str">
        <f>CONCATENATE(Table1[[#This Row],[Age]]," ", "years")</f>
        <v>19 years</v>
      </c>
      <c r="C309">
        <v>200</v>
      </c>
      <c r="D309">
        <v>60</v>
      </c>
      <c r="E309" t="s">
        <v>22</v>
      </c>
      <c r="F309" s="3">
        <v>6.8810168482771301</v>
      </c>
      <c r="G309" s="3">
        <v>33</v>
      </c>
      <c r="H309">
        <v>1</v>
      </c>
      <c r="I309" s="3">
        <v>75.317210837048293</v>
      </c>
      <c r="J309" s="3">
        <v>72.839552095816998</v>
      </c>
      <c r="K309" s="3">
        <v>262.70113296966798</v>
      </c>
      <c r="L309" s="3">
        <v>73.910289390368206</v>
      </c>
      <c r="M309" s="3">
        <v>5.68574087957413</v>
      </c>
      <c r="N309" s="3">
        <v>71.671750921165597</v>
      </c>
      <c r="O309" s="3">
        <v>6.8307464502120396</v>
      </c>
      <c r="P309" s="3">
        <v>70.168750001885499</v>
      </c>
      <c r="Q309" s="3">
        <v>56.063908876170302</v>
      </c>
      <c r="R309" s="3" t="str">
        <f>IF(Table1[[#This Row],[Nutrition_Quality_Score]]&lt;60, "Poor Nutrition",IF(AND(Table1[[#This Row],[Nutrition_Quality_Score]]&gt;=60,Table1[[#This Row],[Nutrition_Quality_Score]]&lt;=80),"Average Nutrition", "Good Nutrition"))</f>
        <v>Poor Nutrition</v>
      </c>
      <c r="S309">
        <v>1</v>
      </c>
      <c r="T309" t="str">
        <f>IF(Table1[[#This Row],[Warmup_Routine_Adherence]]=1, "Adherent","Non-Adherent")</f>
        <v>Adherent</v>
      </c>
      <c r="U309">
        <v>1</v>
      </c>
      <c r="V309" t="str">
        <f>IF(Table1[[#This Row],[Injury_Next_Season]]=1, "Injury","No Injury")</f>
        <v>Injury</v>
      </c>
      <c r="W309" s="3">
        <v>15</v>
      </c>
    </row>
    <row r="310" spans="1:23" x14ac:dyDescent="0.25">
      <c r="A310" s="6">
        <v>24</v>
      </c>
      <c r="B310" s="8" t="str">
        <f>CONCATENATE(Table1[[#This Row],[Age]]," ", "years")</f>
        <v>24 years</v>
      </c>
      <c r="C310">
        <v>188</v>
      </c>
      <c r="D310">
        <v>62</v>
      </c>
      <c r="E310" t="s">
        <v>22</v>
      </c>
      <c r="F310" s="3">
        <v>9.4365173823570494</v>
      </c>
      <c r="G310" s="3">
        <v>26</v>
      </c>
      <c r="H310">
        <v>1</v>
      </c>
      <c r="I310" s="3">
        <v>71.039359794385106</v>
      </c>
      <c r="J310" s="3">
        <v>82.278910870489</v>
      </c>
      <c r="K310" s="3">
        <v>218.40518719365201</v>
      </c>
      <c r="L310" s="3">
        <v>79.3191613033122</v>
      </c>
      <c r="M310" s="3">
        <v>5.7094807417622704</v>
      </c>
      <c r="N310" s="3">
        <v>69.1999500980194</v>
      </c>
      <c r="O310" s="3">
        <v>7.5689469905201801</v>
      </c>
      <c r="P310" s="3">
        <v>39.864946473394397</v>
      </c>
      <c r="Q310" s="3">
        <v>64.659393695879004</v>
      </c>
      <c r="R310" s="3" t="str">
        <f>IF(Table1[[#This Row],[Nutrition_Quality_Score]]&lt;60, "Poor Nutrition",IF(AND(Table1[[#This Row],[Nutrition_Quality_Score]]&gt;=60,Table1[[#This Row],[Nutrition_Quality_Score]]&lt;=80),"Average Nutrition", "Good Nutrition"))</f>
        <v>Average Nutrition</v>
      </c>
      <c r="S310">
        <v>1</v>
      </c>
      <c r="T310" t="str">
        <f>IF(Table1[[#This Row],[Warmup_Routine_Adherence]]=1, "Adherent","Non-Adherent")</f>
        <v>Adherent</v>
      </c>
      <c r="U310">
        <v>0</v>
      </c>
      <c r="V310" t="str">
        <f>IF(Table1[[#This Row],[Injury_Next_Season]]=1, "Injury","No Injury")</f>
        <v>No Injury</v>
      </c>
      <c r="W310" s="3">
        <v>17.5418741511996</v>
      </c>
    </row>
    <row r="311" spans="1:23" x14ac:dyDescent="0.25">
      <c r="A311" s="6">
        <v>21</v>
      </c>
      <c r="B311" s="8" t="str">
        <f>CONCATENATE(Table1[[#This Row],[Age]]," ", "years")</f>
        <v>21 years</v>
      </c>
      <c r="C311">
        <v>185</v>
      </c>
      <c r="D311">
        <v>78</v>
      </c>
      <c r="E311" t="s">
        <v>22</v>
      </c>
      <c r="F311" s="3">
        <v>10.513509852604001</v>
      </c>
      <c r="G311" s="3">
        <v>13</v>
      </c>
      <c r="H311">
        <v>2</v>
      </c>
      <c r="I311" s="3">
        <v>70.342065727020596</v>
      </c>
      <c r="J311" s="3">
        <v>73.425482873702705</v>
      </c>
      <c r="K311" s="3">
        <v>256.85059435879998</v>
      </c>
      <c r="L311" s="3">
        <v>85.4327340208593</v>
      </c>
      <c r="M311" s="3">
        <v>5.4386429027686303</v>
      </c>
      <c r="N311" s="3">
        <v>79.237971733399505</v>
      </c>
      <c r="O311" s="3">
        <v>5.8995664653650701</v>
      </c>
      <c r="P311" s="3">
        <v>75.928005191403798</v>
      </c>
      <c r="Q311" s="3">
        <v>63.636832337105297</v>
      </c>
      <c r="R311" s="3" t="str">
        <f>IF(Table1[[#This Row],[Nutrition_Quality_Score]]&lt;60, "Poor Nutrition",IF(AND(Table1[[#This Row],[Nutrition_Quality_Score]]&gt;=60,Table1[[#This Row],[Nutrition_Quality_Score]]&lt;=80),"Average Nutrition", "Good Nutrition"))</f>
        <v>Average Nutrition</v>
      </c>
      <c r="S311">
        <v>0</v>
      </c>
      <c r="T311" t="str">
        <f>IF(Table1[[#This Row],[Warmup_Routine_Adherence]]=1, "Adherent","Non-Adherent")</f>
        <v>Non-Adherent</v>
      </c>
      <c r="U311">
        <v>1</v>
      </c>
      <c r="V311" t="str">
        <f>IF(Table1[[#This Row],[Injury_Next_Season]]=1, "Injury","No Injury")</f>
        <v>Injury</v>
      </c>
      <c r="W311" s="3">
        <v>22.790357925493002</v>
      </c>
    </row>
    <row r="312" spans="1:23" x14ac:dyDescent="0.25">
      <c r="A312" s="6">
        <v>24</v>
      </c>
      <c r="B312" s="8" t="str">
        <f>CONCATENATE(Table1[[#This Row],[Age]]," ", "years")</f>
        <v>24 years</v>
      </c>
      <c r="C312">
        <v>189</v>
      </c>
      <c r="D312">
        <v>75</v>
      </c>
      <c r="E312" t="s">
        <v>22</v>
      </c>
      <c r="F312" s="3">
        <v>6.8102112111256297</v>
      </c>
      <c r="G312" s="3">
        <v>32</v>
      </c>
      <c r="H312">
        <v>2</v>
      </c>
      <c r="I312" s="3">
        <v>71.592754287943393</v>
      </c>
      <c r="J312" s="3">
        <v>68.137814728091001</v>
      </c>
      <c r="K312" s="3">
        <v>252.851246569137</v>
      </c>
      <c r="L312" s="3">
        <v>75.735189172564105</v>
      </c>
      <c r="M312" s="3">
        <v>5.44798169969983</v>
      </c>
      <c r="N312" s="3">
        <v>92.840673125408898</v>
      </c>
      <c r="O312" s="3">
        <v>5.7063589995355901</v>
      </c>
      <c r="P312" s="3">
        <v>63.545760589286701</v>
      </c>
      <c r="Q312" s="3">
        <v>64.602468064446697</v>
      </c>
      <c r="R312" s="3" t="str">
        <f>IF(Table1[[#This Row],[Nutrition_Quality_Score]]&lt;60, "Poor Nutrition",IF(AND(Table1[[#This Row],[Nutrition_Quality_Score]]&gt;=60,Table1[[#This Row],[Nutrition_Quality_Score]]&lt;=80),"Average Nutrition", "Good Nutrition"))</f>
        <v>Average Nutrition</v>
      </c>
      <c r="S312">
        <v>1</v>
      </c>
      <c r="T312" t="str">
        <f>IF(Table1[[#This Row],[Warmup_Routine_Adherence]]=1, "Adherent","Non-Adherent")</f>
        <v>Adherent</v>
      </c>
      <c r="U312">
        <v>1</v>
      </c>
      <c r="V312" t="str">
        <f>IF(Table1[[#This Row],[Injury_Next_Season]]=1, "Injury","No Injury")</f>
        <v>Injury</v>
      </c>
      <c r="W312" s="3">
        <v>20.996052742084402</v>
      </c>
    </row>
    <row r="313" spans="1:23" x14ac:dyDescent="0.25">
      <c r="A313" s="6">
        <v>19</v>
      </c>
      <c r="B313" s="8" t="str">
        <f>CONCATENATE(Table1[[#This Row],[Age]]," ", "years")</f>
        <v>19 years</v>
      </c>
      <c r="C313">
        <v>168</v>
      </c>
      <c r="D313">
        <v>81</v>
      </c>
      <c r="E313" t="s">
        <v>22</v>
      </c>
      <c r="F313" s="3">
        <v>10.588042872779001</v>
      </c>
      <c r="G313" s="3">
        <v>21</v>
      </c>
      <c r="H313">
        <v>2</v>
      </c>
      <c r="I313" s="3">
        <v>75.002701395967094</v>
      </c>
      <c r="J313" s="3">
        <v>79.267726775971099</v>
      </c>
      <c r="K313" s="3">
        <v>244.965382258582</v>
      </c>
      <c r="L313" s="3">
        <v>78.360563291400595</v>
      </c>
      <c r="M313" s="3">
        <v>5.9769632848152998</v>
      </c>
      <c r="N313" s="3">
        <v>66.477721643936505</v>
      </c>
      <c r="O313" s="3">
        <v>6.7079998895716502</v>
      </c>
      <c r="P313" s="3">
        <v>55.7989279654008</v>
      </c>
      <c r="Q313" s="3">
        <v>64.397470639681899</v>
      </c>
      <c r="R313" s="3" t="str">
        <f>IF(Table1[[#This Row],[Nutrition_Quality_Score]]&lt;60, "Poor Nutrition",IF(AND(Table1[[#This Row],[Nutrition_Quality_Score]]&gt;=60,Table1[[#This Row],[Nutrition_Quality_Score]]&lt;=80),"Average Nutrition", "Good Nutrition"))</f>
        <v>Average Nutrition</v>
      </c>
      <c r="S313">
        <v>0</v>
      </c>
      <c r="T313" t="str">
        <f>IF(Table1[[#This Row],[Warmup_Routine_Adherence]]=1, "Adherent","Non-Adherent")</f>
        <v>Non-Adherent</v>
      </c>
      <c r="U313">
        <v>1</v>
      </c>
      <c r="V313" t="str">
        <f>IF(Table1[[#This Row],[Injury_Next_Season]]=1, "Injury","No Injury")</f>
        <v>Injury</v>
      </c>
      <c r="W313" s="3">
        <v>28.6989795918367</v>
      </c>
    </row>
    <row r="314" spans="1:23" x14ac:dyDescent="0.25">
      <c r="A314" s="6">
        <v>19</v>
      </c>
      <c r="B314" s="8" t="str">
        <f>CONCATENATE(Table1[[#This Row],[Age]]," ", "years")</f>
        <v>19 years</v>
      </c>
      <c r="C314">
        <v>165</v>
      </c>
      <c r="D314">
        <v>55</v>
      </c>
      <c r="E314" t="s">
        <v>21</v>
      </c>
      <c r="F314" s="3">
        <v>7.6549688832168901</v>
      </c>
      <c r="G314" s="3">
        <v>28</v>
      </c>
      <c r="H314">
        <v>3</v>
      </c>
      <c r="I314" s="3">
        <v>76.648141914937099</v>
      </c>
      <c r="J314" s="3">
        <v>80.572839656671604</v>
      </c>
      <c r="K314" s="3">
        <v>223.953602319944</v>
      </c>
      <c r="L314" s="3">
        <v>83.622085702280998</v>
      </c>
      <c r="M314" s="3">
        <v>6.1527652772897898</v>
      </c>
      <c r="N314" s="3">
        <v>81.557828531586395</v>
      </c>
      <c r="O314" s="3">
        <v>8.1451005815370898</v>
      </c>
      <c r="P314" s="3">
        <v>27.669353032265299</v>
      </c>
      <c r="Q314" s="3">
        <v>87.656469442309003</v>
      </c>
      <c r="R314" s="3" t="str">
        <f>IF(Table1[[#This Row],[Nutrition_Quality_Score]]&lt;60, "Poor Nutrition",IF(AND(Table1[[#This Row],[Nutrition_Quality_Score]]&gt;=60,Table1[[#This Row],[Nutrition_Quality_Score]]&lt;=80),"Average Nutrition", "Good Nutrition"))</f>
        <v>Good Nutrition</v>
      </c>
      <c r="S314">
        <v>1</v>
      </c>
      <c r="T314" t="str">
        <f>IF(Table1[[#This Row],[Warmup_Routine_Adherence]]=1, "Adherent","Non-Adherent")</f>
        <v>Adherent</v>
      </c>
      <c r="U314">
        <v>0</v>
      </c>
      <c r="V314" t="str">
        <f>IF(Table1[[#This Row],[Injury_Next_Season]]=1, "Injury","No Injury")</f>
        <v>No Injury</v>
      </c>
      <c r="W314" s="3">
        <v>20.202020202020201</v>
      </c>
    </row>
    <row r="315" spans="1:23" x14ac:dyDescent="0.25">
      <c r="A315" s="6">
        <v>20</v>
      </c>
      <c r="B315" s="8" t="str">
        <f>CONCATENATE(Table1[[#This Row],[Age]]," ", "years")</f>
        <v>20 years</v>
      </c>
      <c r="C315">
        <v>179</v>
      </c>
      <c r="D315">
        <v>46</v>
      </c>
      <c r="E315" t="s">
        <v>22</v>
      </c>
      <c r="F315" s="3">
        <v>12.713236805739299</v>
      </c>
      <c r="G315" s="3">
        <v>39</v>
      </c>
      <c r="H315">
        <v>0</v>
      </c>
      <c r="I315" s="3">
        <v>65.052012499034902</v>
      </c>
      <c r="J315" s="3">
        <v>88.897157576124201</v>
      </c>
      <c r="K315" s="3">
        <v>230.600784635341</v>
      </c>
      <c r="L315" s="3">
        <v>92.463354155204797</v>
      </c>
      <c r="M315" s="3">
        <v>6.0250293272403503</v>
      </c>
      <c r="N315" s="3">
        <v>72.302567265089294</v>
      </c>
      <c r="O315" s="3">
        <v>7.6158964609651401</v>
      </c>
      <c r="P315" s="3">
        <v>47.246797009278197</v>
      </c>
      <c r="Q315" s="3">
        <v>71.1096905316803</v>
      </c>
      <c r="R315" s="3" t="str">
        <f>IF(Table1[[#This Row],[Nutrition_Quality_Score]]&lt;60, "Poor Nutrition",IF(AND(Table1[[#This Row],[Nutrition_Quality_Score]]&gt;=60,Table1[[#This Row],[Nutrition_Quality_Score]]&lt;=80),"Average Nutrition", "Good Nutrition"))</f>
        <v>Average Nutrition</v>
      </c>
      <c r="S315">
        <v>1</v>
      </c>
      <c r="T315" t="str">
        <f>IF(Table1[[#This Row],[Warmup_Routine_Adherence]]=1, "Adherent","Non-Adherent")</f>
        <v>Adherent</v>
      </c>
      <c r="U315">
        <v>0</v>
      </c>
      <c r="V315" t="str">
        <f>IF(Table1[[#This Row],[Injury_Next_Season]]=1, "Injury","No Injury")</f>
        <v>No Injury</v>
      </c>
      <c r="W315" s="3">
        <v>14.356605599076101</v>
      </c>
    </row>
    <row r="316" spans="1:23" x14ac:dyDescent="0.25">
      <c r="A316" s="6">
        <v>19</v>
      </c>
      <c r="B316" s="8" t="str">
        <f>CONCATENATE(Table1[[#This Row],[Age]]," ", "years")</f>
        <v>19 years</v>
      </c>
      <c r="C316">
        <v>173</v>
      </c>
      <c r="D316">
        <v>63</v>
      </c>
      <c r="E316" t="s">
        <v>19</v>
      </c>
      <c r="F316" s="3">
        <v>7.5230754401147202</v>
      </c>
      <c r="G316" s="3">
        <v>23</v>
      </c>
      <c r="H316">
        <v>1</v>
      </c>
      <c r="I316" s="3">
        <v>70.774313296463305</v>
      </c>
      <c r="J316" s="3">
        <v>82.362370193408097</v>
      </c>
      <c r="K316" s="3">
        <v>219.27288046905801</v>
      </c>
      <c r="L316" s="3">
        <v>87.349863171571101</v>
      </c>
      <c r="M316" s="3">
        <v>5.7799032428992696</v>
      </c>
      <c r="N316" s="3">
        <v>82.632259289266102</v>
      </c>
      <c r="O316" s="3">
        <v>8.6159882575212201</v>
      </c>
      <c r="P316" s="3">
        <v>45.113986534560297</v>
      </c>
      <c r="Q316" s="3">
        <v>78.864559022133193</v>
      </c>
      <c r="R316" s="3" t="str">
        <f>IF(Table1[[#This Row],[Nutrition_Quality_Score]]&lt;60, "Poor Nutrition",IF(AND(Table1[[#This Row],[Nutrition_Quality_Score]]&gt;=60,Table1[[#This Row],[Nutrition_Quality_Score]]&lt;=80),"Average Nutrition", "Good Nutrition"))</f>
        <v>Average Nutrition</v>
      </c>
      <c r="S316">
        <v>1</v>
      </c>
      <c r="T316" t="str">
        <f>IF(Table1[[#This Row],[Warmup_Routine_Adherence]]=1, "Adherent","Non-Adherent")</f>
        <v>Adherent</v>
      </c>
      <c r="U316">
        <v>0</v>
      </c>
      <c r="V316" t="str">
        <f>IF(Table1[[#This Row],[Injury_Next_Season]]=1, "Injury","No Injury")</f>
        <v>No Injury</v>
      </c>
      <c r="W316" s="3">
        <v>21.0498179023689</v>
      </c>
    </row>
    <row r="317" spans="1:23" x14ac:dyDescent="0.25">
      <c r="A317" s="6">
        <v>18</v>
      </c>
      <c r="B317" s="8" t="str">
        <f>CONCATENATE(Table1[[#This Row],[Age]]," ", "years")</f>
        <v>18 years</v>
      </c>
      <c r="C317">
        <v>183</v>
      </c>
      <c r="D317">
        <v>64</v>
      </c>
      <c r="E317" t="s">
        <v>20</v>
      </c>
      <c r="F317" s="3">
        <v>7.2974927310739597</v>
      </c>
      <c r="G317" s="3">
        <v>12</v>
      </c>
      <c r="H317">
        <v>1</v>
      </c>
      <c r="I317" s="3">
        <v>68.572188213458105</v>
      </c>
      <c r="J317" s="3">
        <v>78.1819097721188</v>
      </c>
      <c r="K317" s="3">
        <v>243.96797687916001</v>
      </c>
      <c r="L317" s="3">
        <v>77.632294085799899</v>
      </c>
      <c r="M317" s="3">
        <v>5.9600410876407999</v>
      </c>
      <c r="N317" s="3">
        <v>93.941864852208099</v>
      </c>
      <c r="O317" s="3">
        <v>7.2112006062223504</v>
      </c>
      <c r="P317" s="3">
        <v>58.367036042947603</v>
      </c>
      <c r="Q317" s="3">
        <v>60.452262113245901</v>
      </c>
      <c r="R317" s="3" t="str">
        <f>IF(Table1[[#This Row],[Nutrition_Quality_Score]]&lt;60, "Poor Nutrition",IF(AND(Table1[[#This Row],[Nutrition_Quality_Score]]&gt;=60,Table1[[#This Row],[Nutrition_Quality_Score]]&lt;=80),"Average Nutrition", "Good Nutrition"))</f>
        <v>Average Nutrition</v>
      </c>
      <c r="S317">
        <v>1</v>
      </c>
      <c r="T317" t="str">
        <f>IF(Table1[[#This Row],[Warmup_Routine_Adherence]]=1, "Adherent","Non-Adherent")</f>
        <v>Adherent</v>
      </c>
      <c r="U317">
        <v>1</v>
      </c>
      <c r="V317" t="str">
        <f>IF(Table1[[#This Row],[Injury_Next_Season]]=1, "Injury","No Injury")</f>
        <v>Injury</v>
      </c>
      <c r="W317" s="3">
        <v>19.110752784496398</v>
      </c>
    </row>
    <row r="318" spans="1:23" x14ac:dyDescent="0.25">
      <c r="A318" s="6">
        <v>20</v>
      </c>
      <c r="B318" s="8" t="str">
        <f>CONCATENATE(Table1[[#This Row],[Age]]," ", "years")</f>
        <v>20 years</v>
      </c>
      <c r="C318">
        <v>181</v>
      </c>
      <c r="D318">
        <v>70</v>
      </c>
      <c r="E318" t="s">
        <v>21</v>
      </c>
      <c r="F318" s="3">
        <v>13.244275138805</v>
      </c>
      <c r="G318" s="3">
        <v>5</v>
      </c>
      <c r="H318">
        <v>1</v>
      </c>
      <c r="I318" s="3">
        <v>73.038091823358599</v>
      </c>
      <c r="J318" s="3">
        <v>77.348437319809406</v>
      </c>
      <c r="K318" s="3">
        <v>246.68044020880501</v>
      </c>
      <c r="L318" s="3">
        <v>87.627341891672401</v>
      </c>
      <c r="M318" s="3">
        <v>5.8508881399759796</v>
      </c>
      <c r="N318" s="3">
        <v>74.772593416006004</v>
      </c>
      <c r="O318" s="3">
        <v>7.6092799192327103</v>
      </c>
      <c r="P318" s="3">
        <v>52.807855095085401</v>
      </c>
      <c r="Q318" s="3">
        <v>67.601906357705403</v>
      </c>
      <c r="R318" s="3" t="str">
        <f>IF(Table1[[#This Row],[Nutrition_Quality_Score]]&lt;60, "Poor Nutrition",IF(AND(Table1[[#This Row],[Nutrition_Quality_Score]]&gt;=60,Table1[[#This Row],[Nutrition_Quality_Score]]&lt;=80),"Average Nutrition", "Good Nutrition"))</f>
        <v>Average Nutrition</v>
      </c>
      <c r="S318">
        <v>0</v>
      </c>
      <c r="T318" t="str">
        <f>IF(Table1[[#This Row],[Warmup_Routine_Adherence]]=1, "Adherent","Non-Adherent")</f>
        <v>Non-Adherent</v>
      </c>
      <c r="U318">
        <v>0</v>
      </c>
      <c r="V318" t="str">
        <f>IF(Table1[[#This Row],[Injury_Next_Season]]=1, "Injury","No Injury")</f>
        <v>No Injury</v>
      </c>
      <c r="W318" s="3">
        <v>21.366869143188499</v>
      </c>
    </row>
    <row r="319" spans="1:23" x14ac:dyDescent="0.25">
      <c r="A319" s="6">
        <v>23</v>
      </c>
      <c r="B319" s="8" t="str">
        <f>CONCATENATE(Table1[[#This Row],[Age]]," ", "years")</f>
        <v>23 years</v>
      </c>
      <c r="C319">
        <v>184</v>
      </c>
      <c r="D319">
        <v>78</v>
      </c>
      <c r="E319" t="s">
        <v>22</v>
      </c>
      <c r="F319" s="3">
        <v>11.931220260141901</v>
      </c>
      <c r="G319" s="3">
        <v>18</v>
      </c>
      <c r="H319">
        <v>0</v>
      </c>
      <c r="I319" s="3">
        <v>66.320867022348096</v>
      </c>
      <c r="J319" s="3">
        <v>79.220699636174999</v>
      </c>
      <c r="K319" s="3">
        <v>270.67833178637102</v>
      </c>
      <c r="L319" s="3">
        <v>81.943917826931994</v>
      </c>
      <c r="M319" s="3">
        <v>6.0367505260321899</v>
      </c>
      <c r="N319" s="3">
        <v>87.103191048075601</v>
      </c>
      <c r="O319" s="3">
        <v>8.4276850654259299</v>
      </c>
      <c r="P319" s="3">
        <v>52.201630524330199</v>
      </c>
      <c r="Q319" s="3">
        <v>77.796803487389099</v>
      </c>
      <c r="R319" s="3" t="str">
        <f>IF(Table1[[#This Row],[Nutrition_Quality_Score]]&lt;60, "Poor Nutrition",IF(AND(Table1[[#This Row],[Nutrition_Quality_Score]]&gt;=60,Table1[[#This Row],[Nutrition_Quality_Score]]&lt;=80),"Average Nutrition", "Good Nutrition"))</f>
        <v>Average Nutrition</v>
      </c>
      <c r="S319">
        <v>1</v>
      </c>
      <c r="T319" t="str">
        <f>IF(Table1[[#This Row],[Warmup_Routine_Adherence]]=1, "Adherent","Non-Adherent")</f>
        <v>Adherent</v>
      </c>
      <c r="U319">
        <v>0</v>
      </c>
      <c r="V319" t="str">
        <f>IF(Table1[[#This Row],[Injury_Next_Season]]=1, "Injury","No Injury")</f>
        <v>No Injury</v>
      </c>
      <c r="W319" s="3">
        <v>23.038752362948902</v>
      </c>
    </row>
    <row r="320" spans="1:23" x14ac:dyDescent="0.25">
      <c r="A320" s="6">
        <v>24</v>
      </c>
      <c r="B320" s="8" t="str">
        <f>CONCATENATE(Table1[[#This Row],[Age]]," ", "years")</f>
        <v>24 years</v>
      </c>
      <c r="C320">
        <v>172</v>
      </c>
      <c r="D320">
        <v>64</v>
      </c>
      <c r="E320" t="s">
        <v>20</v>
      </c>
      <c r="F320" s="3">
        <v>7.5520366776984504</v>
      </c>
      <c r="G320" s="3">
        <v>19</v>
      </c>
      <c r="H320">
        <v>4</v>
      </c>
      <c r="I320" s="3">
        <v>71.550229113915407</v>
      </c>
      <c r="J320" s="3">
        <v>70.569239619813104</v>
      </c>
      <c r="K320" s="3">
        <v>241.47181426361601</v>
      </c>
      <c r="L320" s="3">
        <v>74.206796833422302</v>
      </c>
      <c r="M320" s="3">
        <v>5.92055416764354</v>
      </c>
      <c r="N320" s="3">
        <v>73.603648283608706</v>
      </c>
      <c r="O320" s="3">
        <v>7.9551619340707997</v>
      </c>
      <c r="P320" s="3">
        <v>68.6899592207713</v>
      </c>
      <c r="Q320" s="3">
        <v>64.171705378989003</v>
      </c>
      <c r="R320" s="3" t="str">
        <f>IF(Table1[[#This Row],[Nutrition_Quality_Score]]&lt;60, "Poor Nutrition",IF(AND(Table1[[#This Row],[Nutrition_Quality_Score]]&gt;=60,Table1[[#This Row],[Nutrition_Quality_Score]]&lt;=80),"Average Nutrition", "Good Nutrition"))</f>
        <v>Average Nutrition</v>
      </c>
      <c r="S320">
        <v>0</v>
      </c>
      <c r="T320" t="str">
        <f>IF(Table1[[#This Row],[Warmup_Routine_Adherence]]=1, "Adherent","Non-Adherent")</f>
        <v>Non-Adherent</v>
      </c>
      <c r="U320">
        <v>1</v>
      </c>
      <c r="V320" t="str">
        <f>IF(Table1[[#This Row],[Injury_Next_Season]]=1, "Injury","No Injury")</f>
        <v>Injury</v>
      </c>
      <c r="W320" s="3">
        <v>21.633315305570498</v>
      </c>
    </row>
    <row r="321" spans="1:23" x14ac:dyDescent="0.25">
      <c r="A321" s="6">
        <v>24</v>
      </c>
      <c r="B321" s="8" t="str">
        <f>CONCATENATE(Table1[[#This Row],[Age]]," ", "years")</f>
        <v>24 years</v>
      </c>
      <c r="C321">
        <v>178</v>
      </c>
      <c r="D321">
        <v>53</v>
      </c>
      <c r="E321" t="s">
        <v>22</v>
      </c>
      <c r="F321" s="3">
        <v>6.1887977301119399</v>
      </c>
      <c r="G321" s="3">
        <v>11</v>
      </c>
      <c r="H321">
        <v>1</v>
      </c>
      <c r="I321" s="3">
        <v>66.735453284245395</v>
      </c>
      <c r="J321" s="3">
        <v>70.550361015534705</v>
      </c>
      <c r="K321" s="3">
        <v>249.742087467223</v>
      </c>
      <c r="L321" s="3">
        <v>88.063126671459997</v>
      </c>
      <c r="M321" s="3">
        <v>6.2047878044750098</v>
      </c>
      <c r="N321" s="3">
        <v>89.808598447434306</v>
      </c>
      <c r="O321" s="3">
        <v>7.76265150474633</v>
      </c>
      <c r="P321" s="3">
        <v>45.001819213928201</v>
      </c>
      <c r="Q321" s="3">
        <v>69.464324859787297</v>
      </c>
      <c r="R321" s="3" t="str">
        <f>IF(Table1[[#This Row],[Nutrition_Quality_Score]]&lt;60, "Poor Nutrition",IF(AND(Table1[[#This Row],[Nutrition_Quality_Score]]&gt;=60,Table1[[#This Row],[Nutrition_Quality_Score]]&lt;=80),"Average Nutrition", "Good Nutrition"))</f>
        <v>Average Nutrition</v>
      </c>
      <c r="S321">
        <v>1</v>
      </c>
      <c r="T321" t="str">
        <f>IF(Table1[[#This Row],[Warmup_Routine_Adherence]]=1, "Adherent","Non-Adherent")</f>
        <v>Adherent</v>
      </c>
      <c r="U321">
        <v>0</v>
      </c>
      <c r="V321" t="str">
        <f>IF(Table1[[#This Row],[Injury_Next_Season]]=1, "Injury","No Injury")</f>
        <v>No Injury</v>
      </c>
      <c r="W321" s="3">
        <v>16.727685898245099</v>
      </c>
    </row>
    <row r="322" spans="1:23" x14ac:dyDescent="0.25">
      <c r="A322" s="6">
        <v>21</v>
      </c>
      <c r="B322" s="8" t="str">
        <f>CONCATENATE(Table1[[#This Row],[Age]]," ", "years")</f>
        <v>21 years</v>
      </c>
      <c r="C322">
        <v>191</v>
      </c>
      <c r="D322">
        <v>83</v>
      </c>
      <c r="E322" t="s">
        <v>20</v>
      </c>
      <c r="F322" s="3">
        <v>8.5390548434647293</v>
      </c>
      <c r="G322" s="3">
        <v>17</v>
      </c>
      <c r="H322">
        <v>0</v>
      </c>
      <c r="I322" s="3">
        <v>69.926713704995095</v>
      </c>
      <c r="J322" s="3">
        <v>86.040617376470806</v>
      </c>
      <c r="K322" s="3">
        <v>281.86776528477901</v>
      </c>
      <c r="L322" s="3">
        <v>78.082512343984803</v>
      </c>
      <c r="M322" s="3">
        <v>5.4578798325492901</v>
      </c>
      <c r="N322" s="3">
        <v>82.846695135929195</v>
      </c>
      <c r="O322" s="3">
        <v>6.5130302903523898</v>
      </c>
      <c r="P322" s="3">
        <v>49.101157020552897</v>
      </c>
      <c r="Q322" s="3">
        <v>69.286106631851098</v>
      </c>
      <c r="R322" s="3" t="str">
        <f>IF(Table1[[#This Row],[Nutrition_Quality_Score]]&lt;60, "Poor Nutrition",IF(AND(Table1[[#This Row],[Nutrition_Quality_Score]]&gt;=60,Table1[[#This Row],[Nutrition_Quality_Score]]&lt;=80),"Average Nutrition", "Good Nutrition"))</f>
        <v>Average Nutrition</v>
      </c>
      <c r="S322">
        <v>1</v>
      </c>
      <c r="T322" t="str">
        <f>IF(Table1[[#This Row],[Warmup_Routine_Adherence]]=1, "Adherent","Non-Adherent")</f>
        <v>Adherent</v>
      </c>
      <c r="U322">
        <v>0</v>
      </c>
      <c r="V322" t="str">
        <f>IF(Table1[[#This Row],[Injury_Next_Season]]=1, "Injury","No Injury")</f>
        <v>No Injury</v>
      </c>
      <c r="W322" s="3">
        <v>22.751569310051799</v>
      </c>
    </row>
    <row r="323" spans="1:23" x14ac:dyDescent="0.25">
      <c r="A323" s="6">
        <v>24</v>
      </c>
      <c r="B323" s="8" t="str">
        <f>CONCATENATE(Table1[[#This Row],[Age]]," ", "years")</f>
        <v>24 years</v>
      </c>
      <c r="C323">
        <v>176</v>
      </c>
      <c r="D323">
        <v>67</v>
      </c>
      <c r="E323" t="s">
        <v>19</v>
      </c>
      <c r="F323" s="3">
        <v>6.3540371332575498</v>
      </c>
      <c r="G323" s="3">
        <v>17</v>
      </c>
      <c r="H323">
        <v>0</v>
      </c>
      <c r="I323" s="3">
        <v>64.301371282212102</v>
      </c>
      <c r="J323" s="3">
        <v>69.348344894742695</v>
      </c>
      <c r="K323" s="3">
        <v>248.06136350052401</v>
      </c>
      <c r="L323" s="3">
        <v>78.414399089834802</v>
      </c>
      <c r="M323" s="3">
        <v>5.9088843717871997</v>
      </c>
      <c r="N323" s="3">
        <v>79.896846257140595</v>
      </c>
      <c r="O323" s="3">
        <v>6.4093199211707503</v>
      </c>
      <c r="P323" s="3">
        <v>55.158350119735999</v>
      </c>
      <c r="Q323" s="3">
        <v>77.263593007659793</v>
      </c>
      <c r="R323" s="3" t="str">
        <f>IF(Table1[[#This Row],[Nutrition_Quality_Score]]&lt;60, "Poor Nutrition",IF(AND(Table1[[#This Row],[Nutrition_Quality_Score]]&gt;=60,Table1[[#This Row],[Nutrition_Quality_Score]]&lt;=80),"Average Nutrition", "Good Nutrition"))</f>
        <v>Average Nutrition</v>
      </c>
      <c r="S323">
        <v>1</v>
      </c>
      <c r="T323" t="str">
        <f>IF(Table1[[#This Row],[Warmup_Routine_Adherence]]=1, "Adherent","Non-Adherent")</f>
        <v>Adherent</v>
      </c>
      <c r="U323">
        <v>1</v>
      </c>
      <c r="V323" t="str">
        <f>IF(Table1[[#This Row],[Injury_Next_Season]]=1, "Injury","No Injury")</f>
        <v>Injury</v>
      </c>
      <c r="W323" s="3">
        <v>21.6296487603305</v>
      </c>
    </row>
    <row r="324" spans="1:23" x14ac:dyDescent="0.25">
      <c r="A324" s="6">
        <v>19</v>
      </c>
      <c r="B324" s="8" t="str">
        <f>CONCATENATE(Table1[[#This Row],[Age]]," ", "years")</f>
        <v>19 years</v>
      </c>
      <c r="C324">
        <v>179</v>
      </c>
      <c r="D324">
        <v>69</v>
      </c>
      <c r="E324" t="s">
        <v>22</v>
      </c>
      <c r="F324" s="3">
        <v>13.2752043335173</v>
      </c>
      <c r="G324" s="3">
        <v>18</v>
      </c>
      <c r="H324">
        <v>1</v>
      </c>
      <c r="I324" s="3">
        <v>63.0234487959342</v>
      </c>
      <c r="J324" s="3">
        <v>83.063915176490497</v>
      </c>
      <c r="K324" s="3">
        <v>247.631863529089</v>
      </c>
      <c r="L324" s="3">
        <v>91.101118062564595</v>
      </c>
      <c r="M324" s="3">
        <v>5.8446552497019102</v>
      </c>
      <c r="N324" s="3">
        <v>79.446097922970694</v>
      </c>
      <c r="O324" s="3">
        <v>8.5617136416228892</v>
      </c>
      <c r="P324" s="3">
        <v>45.440641122216697</v>
      </c>
      <c r="Q324" s="3">
        <v>86.665026508320807</v>
      </c>
      <c r="R324" s="3" t="str">
        <f>IF(Table1[[#This Row],[Nutrition_Quality_Score]]&lt;60, "Poor Nutrition",IF(AND(Table1[[#This Row],[Nutrition_Quality_Score]]&gt;=60,Table1[[#This Row],[Nutrition_Quality_Score]]&lt;=80),"Average Nutrition", "Good Nutrition"))</f>
        <v>Good Nutrition</v>
      </c>
      <c r="S324">
        <v>1</v>
      </c>
      <c r="T324" t="str">
        <f>IF(Table1[[#This Row],[Warmup_Routine_Adherence]]=1, "Adherent","Non-Adherent")</f>
        <v>Adherent</v>
      </c>
      <c r="U324">
        <v>0</v>
      </c>
      <c r="V324" t="str">
        <f>IF(Table1[[#This Row],[Injury_Next_Season]]=1, "Injury","No Injury")</f>
        <v>No Injury</v>
      </c>
      <c r="W324" s="3">
        <v>21.534908398614199</v>
      </c>
    </row>
    <row r="325" spans="1:23" x14ac:dyDescent="0.25">
      <c r="A325" s="6">
        <v>23</v>
      </c>
      <c r="B325" s="8" t="str">
        <f>CONCATENATE(Table1[[#This Row],[Age]]," ", "years")</f>
        <v>23 years</v>
      </c>
      <c r="C325">
        <v>170</v>
      </c>
      <c r="D325">
        <v>83</v>
      </c>
      <c r="E325" t="s">
        <v>21</v>
      </c>
      <c r="F325" s="3">
        <v>10.9916356357285</v>
      </c>
      <c r="G325" s="3">
        <v>10</v>
      </c>
      <c r="H325">
        <v>1</v>
      </c>
      <c r="I325" s="3">
        <v>70.5243467838241</v>
      </c>
      <c r="J325" s="3">
        <v>74.778417543542005</v>
      </c>
      <c r="K325" s="3">
        <v>221.13854249914499</v>
      </c>
      <c r="L325" s="3">
        <v>85.233491490590296</v>
      </c>
      <c r="M325" s="3">
        <v>6.0544926711607401</v>
      </c>
      <c r="N325" s="3">
        <v>86.141796796381996</v>
      </c>
      <c r="O325" s="3">
        <v>7.3580802328382298</v>
      </c>
      <c r="P325" s="3">
        <v>64.774612721436796</v>
      </c>
      <c r="Q325" s="3">
        <v>78.618421411731404</v>
      </c>
      <c r="R325" s="3" t="str">
        <f>IF(Table1[[#This Row],[Nutrition_Quality_Score]]&lt;60, "Poor Nutrition",IF(AND(Table1[[#This Row],[Nutrition_Quality_Score]]&gt;=60,Table1[[#This Row],[Nutrition_Quality_Score]]&lt;=80),"Average Nutrition", "Good Nutrition"))</f>
        <v>Average Nutrition</v>
      </c>
      <c r="S325">
        <v>1</v>
      </c>
      <c r="T325" t="str">
        <f>IF(Table1[[#This Row],[Warmup_Routine_Adherence]]=1, "Adherent","Non-Adherent")</f>
        <v>Adherent</v>
      </c>
      <c r="U325">
        <v>0</v>
      </c>
      <c r="V325" t="str">
        <f>IF(Table1[[#This Row],[Injury_Next_Season]]=1, "Injury","No Injury")</f>
        <v>No Injury</v>
      </c>
      <c r="W325" s="3">
        <v>28.719723183391</v>
      </c>
    </row>
    <row r="326" spans="1:23" x14ac:dyDescent="0.25">
      <c r="A326" s="6">
        <v>19</v>
      </c>
      <c r="B326" s="8" t="str">
        <f>CONCATENATE(Table1[[#This Row],[Age]]," ", "years")</f>
        <v>19 years</v>
      </c>
      <c r="C326">
        <v>166</v>
      </c>
      <c r="D326">
        <v>70</v>
      </c>
      <c r="E326" t="s">
        <v>20</v>
      </c>
      <c r="F326" s="3">
        <v>11.4573509271557</v>
      </c>
      <c r="G326" s="3">
        <v>11</v>
      </c>
      <c r="H326">
        <v>2</v>
      </c>
      <c r="I326" s="3">
        <v>69.818900839537804</v>
      </c>
      <c r="J326" s="3">
        <v>85.555561767028806</v>
      </c>
      <c r="K326" s="3">
        <v>263.26730014901</v>
      </c>
      <c r="L326" s="3">
        <v>68.477831162706295</v>
      </c>
      <c r="M326" s="3">
        <v>5.1839626141682098</v>
      </c>
      <c r="N326" s="3">
        <v>74.717544038507299</v>
      </c>
      <c r="O326" s="3">
        <v>6.3703743527318801</v>
      </c>
      <c r="P326" s="3">
        <v>57.204568922741203</v>
      </c>
      <c r="Q326" s="3">
        <v>62.262638509751199</v>
      </c>
      <c r="R326" s="3" t="str">
        <f>IF(Table1[[#This Row],[Nutrition_Quality_Score]]&lt;60, "Poor Nutrition",IF(AND(Table1[[#This Row],[Nutrition_Quality_Score]]&gt;=60,Table1[[#This Row],[Nutrition_Quality_Score]]&lt;=80),"Average Nutrition", "Good Nutrition"))</f>
        <v>Average Nutrition</v>
      </c>
      <c r="S326">
        <v>0</v>
      </c>
      <c r="T326" t="str">
        <f>IF(Table1[[#This Row],[Warmup_Routine_Adherence]]=1, "Adherent","Non-Adherent")</f>
        <v>Non-Adherent</v>
      </c>
      <c r="U326">
        <v>1</v>
      </c>
      <c r="V326" t="str">
        <f>IF(Table1[[#This Row],[Injury_Next_Season]]=1, "Injury","No Injury")</f>
        <v>Injury</v>
      </c>
      <c r="W326" s="3">
        <v>25.402816083611501</v>
      </c>
    </row>
    <row r="327" spans="1:23" x14ac:dyDescent="0.25">
      <c r="A327" s="6">
        <v>19</v>
      </c>
      <c r="B327" s="8" t="str">
        <f>CONCATENATE(Table1[[#This Row],[Age]]," ", "years")</f>
        <v>19 years</v>
      </c>
      <c r="C327">
        <v>182</v>
      </c>
      <c r="D327">
        <v>66</v>
      </c>
      <c r="E327" t="s">
        <v>19</v>
      </c>
      <c r="F327" s="3">
        <v>12.2921823538507</v>
      </c>
      <c r="G327" s="3">
        <v>22</v>
      </c>
      <c r="H327">
        <v>3</v>
      </c>
      <c r="I327" s="3">
        <v>62.8892606118728</v>
      </c>
      <c r="J327" s="3">
        <v>83.388795398637797</v>
      </c>
      <c r="K327" s="3">
        <v>262.475021904909</v>
      </c>
      <c r="L327" s="3">
        <v>81.683369916069694</v>
      </c>
      <c r="M327" s="3">
        <v>5.9008977802509603</v>
      </c>
      <c r="N327" s="3">
        <v>77.520025076065807</v>
      </c>
      <c r="O327" s="3">
        <v>6.7417284807753299</v>
      </c>
      <c r="P327" s="3">
        <v>59.719523992762397</v>
      </c>
      <c r="Q327" s="3">
        <v>77.183088532480596</v>
      </c>
      <c r="R327" s="3" t="str">
        <f>IF(Table1[[#This Row],[Nutrition_Quality_Score]]&lt;60, "Poor Nutrition",IF(AND(Table1[[#This Row],[Nutrition_Quality_Score]]&gt;=60,Table1[[#This Row],[Nutrition_Quality_Score]]&lt;=80),"Average Nutrition", "Good Nutrition"))</f>
        <v>Average Nutrition</v>
      </c>
      <c r="S327">
        <v>0</v>
      </c>
      <c r="T327" t="str">
        <f>IF(Table1[[#This Row],[Warmup_Routine_Adherence]]=1, "Adherent","Non-Adherent")</f>
        <v>Non-Adherent</v>
      </c>
      <c r="U327">
        <v>1</v>
      </c>
      <c r="V327" t="str">
        <f>IF(Table1[[#This Row],[Injury_Next_Season]]=1, "Injury","No Injury")</f>
        <v>Injury</v>
      </c>
      <c r="W327" s="3">
        <v>19.9251298152397</v>
      </c>
    </row>
    <row r="328" spans="1:23" x14ac:dyDescent="0.25">
      <c r="A328" s="6">
        <v>22</v>
      </c>
      <c r="B328" s="8" t="str">
        <f>CONCATENATE(Table1[[#This Row],[Age]]," ", "years")</f>
        <v>22 years</v>
      </c>
      <c r="C328">
        <v>179</v>
      </c>
      <c r="D328">
        <v>85</v>
      </c>
      <c r="E328" t="s">
        <v>19</v>
      </c>
      <c r="F328" s="3">
        <v>12.018801152745899</v>
      </c>
      <c r="G328" s="3">
        <v>16</v>
      </c>
      <c r="H328">
        <v>0</v>
      </c>
      <c r="I328" s="3">
        <v>74.873318566815499</v>
      </c>
      <c r="J328" s="3">
        <v>75.253201467834302</v>
      </c>
      <c r="K328" s="3">
        <v>271.48327535157</v>
      </c>
      <c r="L328" s="3">
        <v>83.3716942196274</v>
      </c>
      <c r="M328" s="3">
        <v>6.17127465050861</v>
      </c>
      <c r="N328" s="3">
        <v>78.044968653735197</v>
      </c>
      <c r="O328" s="3">
        <v>5.83445491563098</v>
      </c>
      <c r="P328" s="3">
        <v>58.575453799162098</v>
      </c>
      <c r="Q328" s="3">
        <v>69.359364237970198</v>
      </c>
      <c r="R328" s="3" t="str">
        <f>IF(Table1[[#This Row],[Nutrition_Quality_Score]]&lt;60, "Poor Nutrition",IF(AND(Table1[[#This Row],[Nutrition_Quality_Score]]&gt;=60,Table1[[#This Row],[Nutrition_Quality_Score]]&lt;=80),"Average Nutrition", "Good Nutrition"))</f>
        <v>Average Nutrition</v>
      </c>
      <c r="S328">
        <v>0</v>
      </c>
      <c r="T328" t="str">
        <f>IF(Table1[[#This Row],[Warmup_Routine_Adherence]]=1, "Adherent","Non-Adherent")</f>
        <v>Non-Adherent</v>
      </c>
      <c r="U328">
        <v>1</v>
      </c>
      <c r="V328" t="str">
        <f>IF(Table1[[#This Row],[Injury_Next_Season]]=1, "Injury","No Injury")</f>
        <v>Injury</v>
      </c>
      <c r="W328" s="3">
        <v>26.528510346118999</v>
      </c>
    </row>
    <row r="329" spans="1:23" x14ac:dyDescent="0.25">
      <c r="A329" s="6">
        <v>23</v>
      </c>
      <c r="B329" s="8" t="str">
        <f>CONCATENATE(Table1[[#This Row],[Age]]," ", "years")</f>
        <v>23 years</v>
      </c>
      <c r="C329">
        <v>184</v>
      </c>
      <c r="D329">
        <v>90</v>
      </c>
      <c r="E329" t="s">
        <v>22</v>
      </c>
      <c r="F329" s="3">
        <v>12.041351885214</v>
      </c>
      <c r="G329" s="3">
        <v>7</v>
      </c>
      <c r="H329">
        <v>3</v>
      </c>
      <c r="I329" s="3">
        <v>72.349590497621506</v>
      </c>
      <c r="J329" s="3">
        <v>79.678091925346394</v>
      </c>
      <c r="K329" s="3">
        <v>275.46322405159702</v>
      </c>
      <c r="L329" s="3">
        <v>72.146523643971094</v>
      </c>
      <c r="M329" s="3">
        <v>5.7316339835458701</v>
      </c>
      <c r="N329" s="3">
        <v>85.602269985987405</v>
      </c>
      <c r="O329" s="3">
        <v>7.9366621482570601</v>
      </c>
      <c r="P329" s="3">
        <v>71.243084323048905</v>
      </c>
      <c r="Q329" s="3">
        <v>75.445329093566798</v>
      </c>
      <c r="R329" s="3" t="str">
        <f>IF(Table1[[#This Row],[Nutrition_Quality_Score]]&lt;60, "Poor Nutrition",IF(AND(Table1[[#This Row],[Nutrition_Quality_Score]]&gt;=60,Table1[[#This Row],[Nutrition_Quality_Score]]&lt;=80),"Average Nutrition", "Good Nutrition"))</f>
        <v>Average Nutrition</v>
      </c>
      <c r="S329">
        <v>0</v>
      </c>
      <c r="T329" t="str">
        <f>IF(Table1[[#This Row],[Warmup_Routine_Adherence]]=1, "Adherent","Non-Adherent")</f>
        <v>Non-Adherent</v>
      </c>
      <c r="U329">
        <v>1</v>
      </c>
      <c r="V329" t="str">
        <f>IF(Table1[[#This Row],[Injury_Next_Season]]=1, "Injury","No Injury")</f>
        <v>Injury</v>
      </c>
      <c r="W329" s="3">
        <v>26.5831758034026</v>
      </c>
    </row>
    <row r="330" spans="1:23" x14ac:dyDescent="0.25">
      <c r="A330" s="6">
        <v>24</v>
      </c>
      <c r="B330" s="8" t="str">
        <f>CONCATENATE(Table1[[#This Row],[Age]]," ", "years")</f>
        <v>24 years</v>
      </c>
      <c r="C330">
        <v>173</v>
      </c>
      <c r="D330">
        <v>88</v>
      </c>
      <c r="E330" t="s">
        <v>19</v>
      </c>
      <c r="F330" s="3">
        <v>9.6850594099202105</v>
      </c>
      <c r="G330" s="3">
        <v>26</v>
      </c>
      <c r="H330">
        <v>1</v>
      </c>
      <c r="I330" s="3">
        <v>61.589831952571302</v>
      </c>
      <c r="J330" s="3">
        <v>85.325361906175999</v>
      </c>
      <c r="K330" s="3">
        <v>214.20561388714401</v>
      </c>
      <c r="L330" s="3">
        <v>76.100020006494205</v>
      </c>
      <c r="M330" s="3">
        <v>6.1075930294722198</v>
      </c>
      <c r="N330" s="3">
        <v>77.736103733948895</v>
      </c>
      <c r="O330" s="3">
        <v>8.6434606098897699</v>
      </c>
      <c r="P330" s="3">
        <v>56.618770130974298</v>
      </c>
      <c r="Q330" s="3">
        <v>80.425611239704395</v>
      </c>
      <c r="R330" s="3" t="str">
        <f>IF(Table1[[#This Row],[Nutrition_Quality_Score]]&lt;60, "Poor Nutrition",IF(AND(Table1[[#This Row],[Nutrition_Quality_Score]]&gt;=60,Table1[[#This Row],[Nutrition_Quality_Score]]&lt;=80),"Average Nutrition", "Good Nutrition"))</f>
        <v>Good Nutrition</v>
      </c>
      <c r="S330">
        <v>1</v>
      </c>
      <c r="T330" t="str">
        <f>IF(Table1[[#This Row],[Warmup_Routine_Adherence]]=1, "Adherent","Non-Adherent")</f>
        <v>Adherent</v>
      </c>
      <c r="U330">
        <v>0</v>
      </c>
      <c r="V330" t="str">
        <f>IF(Table1[[#This Row],[Injury_Next_Season]]=1, "Injury","No Injury")</f>
        <v>No Injury</v>
      </c>
      <c r="W330" s="3">
        <v>29.402920244578802</v>
      </c>
    </row>
    <row r="331" spans="1:23" x14ac:dyDescent="0.25">
      <c r="A331" s="6">
        <v>20</v>
      </c>
      <c r="B331" s="8" t="str">
        <f>CONCATENATE(Table1[[#This Row],[Age]]," ", "years")</f>
        <v>20 years</v>
      </c>
      <c r="C331">
        <v>178</v>
      </c>
      <c r="D331">
        <v>61</v>
      </c>
      <c r="E331" t="s">
        <v>20</v>
      </c>
      <c r="F331" s="3">
        <v>7.1425955175804896</v>
      </c>
      <c r="G331" s="3">
        <v>17</v>
      </c>
      <c r="H331">
        <v>0</v>
      </c>
      <c r="I331" s="3">
        <v>75.480765747411297</v>
      </c>
      <c r="J331" s="3">
        <v>94.661724915029097</v>
      </c>
      <c r="K331" s="3">
        <v>277.21418192106103</v>
      </c>
      <c r="L331" s="3">
        <v>79.9192353501832</v>
      </c>
      <c r="M331" s="3">
        <v>6.05657412429019</v>
      </c>
      <c r="N331" s="3">
        <v>82.931418886595907</v>
      </c>
      <c r="O331" s="3">
        <v>7.3108565895165496</v>
      </c>
      <c r="P331" s="3">
        <v>50.2935596835881</v>
      </c>
      <c r="Q331" s="3">
        <v>87.624539299191099</v>
      </c>
      <c r="R331" s="3" t="str">
        <f>IF(Table1[[#This Row],[Nutrition_Quality_Score]]&lt;60, "Poor Nutrition",IF(AND(Table1[[#This Row],[Nutrition_Quality_Score]]&gt;=60,Table1[[#This Row],[Nutrition_Quality_Score]]&lt;=80),"Average Nutrition", "Good Nutrition"))</f>
        <v>Good Nutrition</v>
      </c>
      <c r="S331">
        <v>0</v>
      </c>
      <c r="T331" t="str">
        <f>IF(Table1[[#This Row],[Warmup_Routine_Adherence]]=1, "Adherent","Non-Adherent")</f>
        <v>Non-Adherent</v>
      </c>
      <c r="U331">
        <v>0</v>
      </c>
      <c r="V331" t="str">
        <f>IF(Table1[[#This Row],[Injury_Next_Season]]=1, "Injury","No Injury")</f>
        <v>No Injury</v>
      </c>
      <c r="W331" s="3">
        <v>19.252619618735</v>
      </c>
    </row>
    <row r="332" spans="1:23" x14ac:dyDescent="0.25">
      <c r="A332" s="6">
        <v>24</v>
      </c>
      <c r="B332" s="8" t="str">
        <f>CONCATENATE(Table1[[#This Row],[Age]]," ", "years")</f>
        <v>24 years</v>
      </c>
      <c r="C332">
        <v>179</v>
      </c>
      <c r="D332">
        <v>82</v>
      </c>
      <c r="E332" t="s">
        <v>22</v>
      </c>
      <c r="F332" s="3">
        <v>7.2640943942151699</v>
      </c>
      <c r="G332" s="3">
        <v>38</v>
      </c>
      <c r="H332">
        <v>3</v>
      </c>
      <c r="I332" s="3">
        <v>70.0851577793389</v>
      </c>
      <c r="J332" s="3">
        <v>78.693192268984305</v>
      </c>
      <c r="K332" s="3">
        <v>254.03905353070601</v>
      </c>
      <c r="L332" s="3">
        <v>77.683795429642998</v>
      </c>
      <c r="M332" s="3">
        <v>5.4443430460012596</v>
      </c>
      <c r="N332" s="3">
        <v>68.692261351286504</v>
      </c>
      <c r="O332" s="3">
        <v>6.3943857710797696</v>
      </c>
      <c r="P332" s="3">
        <v>77.568195485352902</v>
      </c>
      <c r="Q332" s="3">
        <v>62.373913933620202</v>
      </c>
      <c r="R332" s="3" t="str">
        <f>IF(Table1[[#This Row],[Nutrition_Quality_Score]]&lt;60, "Poor Nutrition",IF(AND(Table1[[#This Row],[Nutrition_Quality_Score]]&gt;=60,Table1[[#This Row],[Nutrition_Quality_Score]]&lt;=80),"Average Nutrition", "Good Nutrition"))</f>
        <v>Average Nutrition</v>
      </c>
      <c r="S332">
        <v>0</v>
      </c>
      <c r="T332" t="str">
        <f>IF(Table1[[#This Row],[Warmup_Routine_Adherence]]=1, "Adherent","Non-Adherent")</f>
        <v>Non-Adherent</v>
      </c>
      <c r="U332">
        <v>1</v>
      </c>
      <c r="V332" t="str">
        <f>IF(Table1[[#This Row],[Injury_Next_Season]]=1, "Injury","No Injury")</f>
        <v>Injury</v>
      </c>
      <c r="W332" s="3">
        <v>25.592209980961801</v>
      </c>
    </row>
    <row r="333" spans="1:23" x14ac:dyDescent="0.25">
      <c r="A333" s="6">
        <v>19</v>
      </c>
      <c r="B333" s="8" t="str">
        <f>CONCATENATE(Table1[[#This Row],[Age]]," ", "years")</f>
        <v>19 years</v>
      </c>
      <c r="C333">
        <v>173</v>
      </c>
      <c r="D333">
        <v>77</v>
      </c>
      <c r="E333" t="s">
        <v>22</v>
      </c>
      <c r="F333" s="3">
        <v>9.1201940668961505</v>
      </c>
      <c r="G333" s="3">
        <v>35</v>
      </c>
      <c r="H333">
        <v>1</v>
      </c>
      <c r="I333" s="3">
        <v>79.001151657765703</v>
      </c>
      <c r="J333" s="3">
        <v>87.710744536117204</v>
      </c>
      <c r="K333" s="3">
        <v>252.997147482272</v>
      </c>
      <c r="L333" s="3">
        <v>90.409021600568195</v>
      </c>
      <c r="M333" s="3">
        <v>6.5438797618058704</v>
      </c>
      <c r="N333" s="3">
        <v>87.905132531496093</v>
      </c>
      <c r="O333" s="3">
        <v>6.9782353910831896</v>
      </c>
      <c r="P333" s="3">
        <v>40.740929729909901</v>
      </c>
      <c r="Q333" s="3">
        <v>90.3981396242296</v>
      </c>
      <c r="R333" s="3" t="str">
        <f>IF(Table1[[#This Row],[Nutrition_Quality_Score]]&lt;60, "Poor Nutrition",IF(AND(Table1[[#This Row],[Nutrition_Quality_Score]]&gt;=60,Table1[[#This Row],[Nutrition_Quality_Score]]&lt;=80),"Average Nutrition", "Good Nutrition"))</f>
        <v>Good Nutrition</v>
      </c>
      <c r="S333">
        <v>0</v>
      </c>
      <c r="T333" t="str">
        <f>IF(Table1[[#This Row],[Warmup_Routine_Adherence]]=1, "Adherent","Non-Adherent")</f>
        <v>Non-Adherent</v>
      </c>
      <c r="U333">
        <v>0</v>
      </c>
      <c r="V333" t="str">
        <f>IF(Table1[[#This Row],[Injury_Next_Season]]=1, "Injury","No Injury")</f>
        <v>No Injury</v>
      </c>
      <c r="W333" s="3">
        <v>25.727555214006401</v>
      </c>
    </row>
    <row r="334" spans="1:23" x14ac:dyDescent="0.25">
      <c r="A334" s="6">
        <v>22</v>
      </c>
      <c r="B334" s="8" t="str">
        <f>CONCATENATE(Table1[[#This Row],[Age]]," ", "years")</f>
        <v>22 years</v>
      </c>
      <c r="C334">
        <v>178</v>
      </c>
      <c r="D334">
        <v>57</v>
      </c>
      <c r="E334" t="s">
        <v>21</v>
      </c>
      <c r="F334" s="3">
        <v>12.240384612798101</v>
      </c>
      <c r="G334" s="3">
        <v>10</v>
      </c>
      <c r="H334">
        <v>1</v>
      </c>
      <c r="I334" s="3">
        <v>67.586133464978602</v>
      </c>
      <c r="J334" s="3">
        <v>84.841581135383095</v>
      </c>
      <c r="K334" s="3">
        <v>196.71599863585999</v>
      </c>
      <c r="L334" s="3">
        <v>75.459297201564794</v>
      </c>
      <c r="M334" s="3">
        <v>6.54387296109714</v>
      </c>
      <c r="N334" s="3">
        <v>73.987292238080002</v>
      </c>
      <c r="O334" s="3">
        <v>7.1847807977921097</v>
      </c>
      <c r="P334" s="3">
        <v>52.914360435091602</v>
      </c>
      <c r="Q334" s="3">
        <v>78.171568801323303</v>
      </c>
      <c r="R334" s="3" t="str">
        <f>IF(Table1[[#This Row],[Nutrition_Quality_Score]]&lt;60, "Poor Nutrition",IF(AND(Table1[[#This Row],[Nutrition_Quality_Score]]&gt;=60,Table1[[#This Row],[Nutrition_Quality_Score]]&lt;=80),"Average Nutrition", "Good Nutrition"))</f>
        <v>Average Nutrition</v>
      </c>
      <c r="S334">
        <v>1</v>
      </c>
      <c r="T334" t="str">
        <f>IF(Table1[[#This Row],[Warmup_Routine_Adherence]]=1, "Adherent","Non-Adherent")</f>
        <v>Adherent</v>
      </c>
      <c r="U334">
        <v>0</v>
      </c>
      <c r="V334" t="str">
        <f>IF(Table1[[#This Row],[Injury_Next_Season]]=1, "Injury","No Injury")</f>
        <v>No Injury</v>
      </c>
      <c r="W334" s="3">
        <v>17.990152758490002</v>
      </c>
    </row>
    <row r="335" spans="1:23" x14ac:dyDescent="0.25">
      <c r="A335" s="6">
        <v>19</v>
      </c>
      <c r="B335" s="8" t="str">
        <f>CONCATENATE(Table1[[#This Row],[Age]]," ", "years")</f>
        <v>19 years</v>
      </c>
      <c r="C335">
        <v>189</v>
      </c>
      <c r="D335">
        <v>92</v>
      </c>
      <c r="E335" t="s">
        <v>19</v>
      </c>
      <c r="F335" s="3">
        <v>12.876764316165</v>
      </c>
      <c r="G335" s="3">
        <v>20</v>
      </c>
      <c r="H335">
        <v>2</v>
      </c>
      <c r="I335" s="3">
        <v>86.017798596432002</v>
      </c>
      <c r="J335" s="3">
        <v>88.553423853221005</v>
      </c>
      <c r="K335" s="3">
        <v>246.40921387937101</v>
      </c>
      <c r="L335" s="3">
        <v>89.414927036339506</v>
      </c>
      <c r="M335" s="3">
        <v>5.9772543834896998</v>
      </c>
      <c r="N335" s="3">
        <v>78.311236522042805</v>
      </c>
      <c r="O335" s="3">
        <v>7.6237886293564001</v>
      </c>
      <c r="P335" s="3">
        <v>35.535462386755299</v>
      </c>
      <c r="Q335" s="3">
        <v>72.610722215926103</v>
      </c>
      <c r="R335" s="3" t="str">
        <f>IF(Table1[[#This Row],[Nutrition_Quality_Score]]&lt;60, "Poor Nutrition",IF(AND(Table1[[#This Row],[Nutrition_Quality_Score]]&gt;=60,Table1[[#This Row],[Nutrition_Quality_Score]]&lt;=80),"Average Nutrition", "Good Nutrition"))</f>
        <v>Average Nutrition</v>
      </c>
      <c r="S335">
        <v>1</v>
      </c>
      <c r="T335" t="str">
        <f>IF(Table1[[#This Row],[Warmup_Routine_Adherence]]=1, "Adherent","Non-Adherent")</f>
        <v>Adherent</v>
      </c>
      <c r="U335">
        <v>0</v>
      </c>
      <c r="V335" t="str">
        <f>IF(Table1[[#This Row],[Injury_Next_Season]]=1, "Injury","No Injury")</f>
        <v>No Injury</v>
      </c>
      <c r="W335" s="3">
        <v>25.7551580302903</v>
      </c>
    </row>
    <row r="336" spans="1:23" x14ac:dyDescent="0.25">
      <c r="A336" s="6">
        <v>21</v>
      </c>
      <c r="B336" s="8" t="str">
        <f>CONCATENATE(Table1[[#This Row],[Age]]," ", "years")</f>
        <v>21 years</v>
      </c>
      <c r="C336">
        <v>173</v>
      </c>
      <c r="D336">
        <v>82</v>
      </c>
      <c r="E336" t="s">
        <v>21</v>
      </c>
      <c r="F336" s="3">
        <v>10.4709815803374</v>
      </c>
      <c r="G336" s="3">
        <v>39</v>
      </c>
      <c r="H336">
        <v>2</v>
      </c>
      <c r="I336" s="3">
        <v>75.0474226604438</v>
      </c>
      <c r="J336" s="3">
        <v>79.876101621360704</v>
      </c>
      <c r="K336" s="3">
        <v>248.07751650731399</v>
      </c>
      <c r="L336" s="3">
        <v>84.743926840225399</v>
      </c>
      <c r="M336" s="3">
        <v>6.4585724373734097</v>
      </c>
      <c r="N336" s="3">
        <v>82.039066651873</v>
      </c>
      <c r="O336" s="3">
        <v>7.8914871607386496</v>
      </c>
      <c r="P336" s="3">
        <v>47.2639467815332</v>
      </c>
      <c r="Q336" s="3">
        <v>69.887859822145899</v>
      </c>
      <c r="R336" s="3" t="str">
        <f>IF(Table1[[#This Row],[Nutrition_Quality_Score]]&lt;60, "Poor Nutrition",IF(AND(Table1[[#This Row],[Nutrition_Quality_Score]]&gt;=60,Table1[[#This Row],[Nutrition_Quality_Score]]&lt;=80),"Average Nutrition", "Good Nutrition"))</f>
        <v>Average Nutrition</v>
      </c>
      <c r="S336">
        <v>1</v>
      </c>
      <c r="T336" t="str">
        <f>IF(Table1[[#This Row],[Warmup_Routine_Adherence]]=1, "Adherent","Non-Adherent")</f>
        <v>Adherent</v>
      </c>
      <c r="U336">
        <v>0</v>
      </c>
      <c r="V336" t="str">
        <f>IF(Table1[[#This Row],[Injury_Next_Season]]=1, "Injury","No Injury")</f>
        <v>No Injury</v>
      </c>
      <c r="W336" s="3">
        <v>27.3981756824484</v>
      </c>
    </row>
    <row r="337" spans="1:23" x14ac:dyDescent="0.25">
      <c r="A337" s="6">
        <v>22</v>
      </c>
      <c r="B337" s="8" t="str">
        <f>CONCATENATE(Table1[[#This Row],[Age]]," ", "years")</f>
        <v>22 years</v>
      </c>
      <c r="C337">
        <v>154</v>
      </c>
      <c r="D337">
        <v>86</v>
      </c>
      <c r="E337" t="s">
        <v>20</v>
      </c>
      <c r="F337" s="3">
        <v>9.4899395767139296</v>
      </c>
      <c r="G337" s="3">
        <v>19</v>
      </c>
      <c r="H337">
        <v>3</v>
      </c>
      <c r="I337" s="3">
        <v>72.384522988949101</v>
      </c>
      <c r="J337" s="3">
        <v>63.150681136206202</v>
      </c>
      <c r="K337" s="3">
        <v>239.66012926575999</v>
      </c>
      <c r="L337" s="3">
        <v>76.952746415221398</v>
      </c>
      <c r="M337" s="3">
        <v>5.5752165887738503</v>
      </c>
      <c r="N337" s="3">
        <v>71.121334503870798</v>
      </c>
      <c r="O337" s="3">
        <v>7.8204241587579402</v>
      </c>
      <c r="P337" s="3">
        <v>53.241533945715901</v>
      </c>
      <c r="Q337" s="3">
        <v>77.986522087175999</v>
      </c>
      <c r="R337" s="3" t="str">
        <f>IF(Table1[[#This Row],[Nutrition_Quality_Score]]&lt;60, "Poor Nutrition",IF(AND(Table1[[#This Row],[Nutrition_Quality_Score]]&gt;=60,Table1[[#This Row],[Nutrition_Quality_Score]]&lt;=80),"Average Nutrition", "Good Nutrition"))</f>
        <v>Average Nutrition</v>
      </c>
      <c r="S337">
        <v>0</v>
      </c>
      <c r="T337" t="str">
        <f>IF(Table1[[#This Row],[Warmup_Routine_Adherence]]=1, "Adherent","Non-Adherent")</f>
        <v>Non-Adherent</v>
      </c>
      <c r="U337">
        <v>1</v>
      </c>
      <c r="V337" t="str">
        <f>IF(Table1[[#This Row],[Injury_Next_Season]]=1, "Injury","No Injury")</f>
        <v>Injury</v>
      </c>
      <c r="W337" s="3">
        <v>36.262438859841403</v>
      </c>
    </row>
    <row r="338" spans="1:23" x14ac:dyDescent="0.25">
      <c r="A338" s="6">
        <v>24</v>
      </c>
      <c r="B338" s="8" t="str">
        <f>CONCATENATE(Table1[[#This Row],[Age]]," ", "years")</f>
        <v>24 years</v>
      </c>
      <c r="C338">
        <v>175</v>
      </c>
      <c r="D338">
        <v>71</v>
      </c>
      <c r="E338" t="s">
        <v>22</v>
      </c>
      <c r="F338" s="3">
        <v>5</v>
      </c>
      <c r="G338" s="3">
        <v>26</v>
      </c>
      <c r="H338">
        <v>0</v>
      </c>
      <c r="I338" s="3">
        <v>82.9205039349808</v>
      </c>
      <c r="J338" s="3">
        <v>84.600336931864206</v>
      </c>
      <c r="K338" s="3">
        <v>228.490585862617</v>
      </c>
      <c r="L338" s="3">
        <v>95.156538404775304</v>
      </c>
      <c r="M338" s="3">
        <v>5.6642507908672499</v>
      </c>
      <c r="N338" s="3">
        <v>84.891251689375494</v>
      </c>
      <c r="O338" s="3">
        <v>7.48618632771276</v>
      </c>
      <c r="P338" s="3">
        <v>45.742742158293602</v>
      </c>
      <c r="Q338" s="3">
        <v>65.157243412112607</v>
      </c>
      <c r="R338" s="3" t="str">
        <f>IF(Table1[[#This Row],[Nutrition_Quality_Score]]&lt;60, "Poor Nutrition",IF(AND(Table1[[#This Row],[Nutrition_Quality_Score]]&gt;=60,Table1[[#This Row],[Nutrition_Quality_Score]]&lt;=80),"Average Nutrition", "Good Nutrition"))</f>
        <v>Average Nutrition</v>
      </c>
      <c r="S338">
        <v>0</v>
      </c>
      <c r="T338" t="str">
        <f>IF(Table1[[#This Row],[Warmup_Routine_Adherence]]=1, "Adherent","Non-Adherent")</f>
        <v>Non-Adherent</v>
      </c>
      <c r="U338">
        <v>0</v>
      </c>
      <c r="V338" t="str">
        <f>IF(Table1[[#This Row],[Injury_Next_Season]]=1, "Injury","No Injury")</f>
        <v>No Injury</v>
      </c>
      <c r="W338" s="3">
        <v>23.183673469387699</v>
      </c>
    </row>
    <row r="339" spans="1:23" x14ac:dyDescent="0.25">
      <c r="A339" s="6">
        <v>21</v>
      </c>
      <c r="B339" s="8" t="str">
        <f>CONCATENATE(Table1[[#This Row],[Age]]," ", "years")</f>
        <v>21 years</v>
      </c>
      <c r="C339">
        <v>165</v>
      </c>
      <c r="D339">
        <v>72</v>
      </c>
      <c r="E339" t="s">
        <v>20</v>
      </c>
      <c r="F339" s="3">
        <v>11.315650068876399</v>
      </c>
      <c r="G339" s="3">
        <v>17</v>
      </c>
      <c r="H339">
        <v>1</v>
      </c>
      <c r="I339" s="3">
        <v>82.740222178643407</v>
      </c>
      <c r="J339" s="3">
        <v>72.325100116387603</v>
      </c>
      <c r="K339" s="3">
        <v>266.833790922709</v>
      </c>
      <c r="L339" s="3">
        <v>69.302265943575804</v>
      </c>
      <c r="M339" s="3">
        <v>5.9368571264240204</v>
      </c>
      <c r="N339" s="3">
        <v>66.967348388804297</v>
      </c>
      <c r="O339" s="3">
        <v>6.5487020299295899</v>
      </c>
      <c r="P339" s="3">
        <v>53.042428186554098</v>
      </c>
      <c r="Q339" s="3">
        <v>73.291137407573501</v>
      </c>
      <c r="R339" s="3" t="str">
        <f>IF(Table1[[#This Row],[Nutrition_Quality_Score]]&lt;60, "Poor Nutrition",IF(AND(Table1[[#This Row],[Nutrition_Quality_Score]]&gt;=60,Table1[[#This Row],[Nutrition_Quality_Score]]&lt;=80),"Average Nutrition", "Good Nutrition"))</f>
        <v>Average Nutrition</v>
      </c>
      <c r="S339">
        <v>0</v>
      </c>
      <c r="T339" t="str">
        <f>IF(Table1[[#This Row],[Warmup_Routine_Adherence]]=1, "Adherent","Non-Adherent")</f>
        <v>Non-Adherent</v>
      </c>
      <c r="U339">
        <v>1</v>
      </c>
      <c r="V339" t="str">
        <f>IF(Table1[[#This Row],[Injury_Next_Season]]=1, "Injury","No Injury")</f>
        <v>Injury</v>
      </c>
      <c r="W339" s="3">
        <v>26.446280991735499</v>
      </c>
    </row>
    <row r="340" spans="1:23" x14ac:dyDescent="0.25">
      <c r="A340" s="6">
        <v>20</v>
      </c>
      <c r="B340" s="8" t="str">
        <f>CONCATENATE(Table1[[#This Row],[Age]]," ", "years")</f>
        <v>20 years</v>
      </c>
      <c r="C340">
        <v>179</v>
      </c>
      <c r="D340">
        <v>69</v>
      </c>
      <c r="E340" t="s">
        <v>22</v>
      </c>
      <c r="F340" s="3">
        <v>12.909412762053</v>
      </c>
      <c r="G340" s="3">
        <v>28</v>
      </c>
      <c r="H340">
        <v>3</v>
      </c>
      <c r="I340" s="3">
        <v>75.705950271440599</v>
      </c>
      <c r="J340" s="3">
        <v>87.530312746467501</v>
      </c>
      <c r="K340" s="3">
        <v>272.57765661723101</v>
      </c>
      <c r="L340" s="3">
        <v>76.228605890934404</v>
      </c>
      <c r="M340" s="3">
        <v>5.9938360884411299</v>
      </c>
      <c r="N340" s="3">
        <v>68.980152114444707</v>
      </c>
      <c r="O340" s="3">
        <v>7.0756978545820202</v>
      </c>
      <c r="P340" s="3">
        <v>65.5507706398664</v>
      </c>
      <c r="Q340" s="3">
        <v>61.525016670057603</v>
      </c>
      <c r="R340" s="3" t="str">
        <f>IF(Table1[[#This Row],[Nutrition_Quality_Score]]&lt;60, "Poor Nutrition",IF(AND(Table1[[#This Row],[Nutrition_Quality_Score]]&gt;=60,Table1[[#This Row],[Nutrition_Quality_Score]]&lt;=80),"Average Nutrition", "Good Nutrition"))</f>
        <v>Average Nutrition</v>
      </c>
      <c r="S340">
        <v>0</v>
      </c>
      <c r="T340" t="str">
        <f>IF(Table1[[#This Row],[Warmup_Routine_Adherence]]=1, "Adherent","Non-Adherent")</f>
        <v>Non-Adherent</v>
      </c>
      <c r="U340">
        <v>1</v>
      </c>
      <c r="V340" t="str">
        <f>IF(Table1[[#This Row],[Injury_Next_Season]]=1, "Injury","No Injury")</f>
        <v>Injury</v>
      </c>
      <c r="W340" s="3">
        <v>21.534908398614199</v>
      </c>
    </row>
    <row r="341" spans="1:23" x14ac:dyDescent="0.25">
      <c r="A341" s="6">
        <v>18</v>
      </c>
      <c r="B341" s="8" t="str">
        <f>CONCATENATE(Table1[[#This Row],[Age]]," ", "years")</f>
        <v>18 years</v>
      </c>
      <c r="C341">
        <v>169</v>
      </c>
      <c r="D341">
        <v>74</v>
      </c>
      <c r="E341" t="s">
        <v>19</v>
      </c>
      <c r="F341" s="3">
        <v>11.863260642842601</v>
      </c>
      <c r="G341" s="3">
        <v>34</v>
      </c>
      <c r="H341">
        <v>3</v>
      </c>
      <c r="I341" s="3">
        <v>75.939051394446693</v>
      </c>
      <c r="J341" s="3">
        <v>77.993126794358204</v>
      </c>
      <c r="K341" s="3">
        <v>251.343804770632</v>
      </c>
      <c r="L341" s="3">
        <v>90.387668460759301</v>
      </c>
      <c r="M341" s="3">
        <v>5.5323398625839104</v>
      </c>
      <c r="N341" s="3">
        <v>68.721022503468703</v>
      </c>
      <c r="O341" s="3">
        <v>6.8433178729189201</v>
      </c>
      <c r="P341" s="3">
        <v>32.775043714087502</v>
      </c>
      <c r="Q341" s="3">
        <v>71.094585157642399</v>
      </c>
      <c r="R341" s="3" t="str">
        <f>IF(Table1[[#This Row],[Nutrition_Quality_Score]]&lt;60, "Poor Nutrition",IF(AND(Table1[[#This Row],[Nutrition_Quality_Score]]&gt;=60,Table1[[#This Row],[Nutrition_Quality_Score]]&lt;=80),"Average Nutrition", "Good Nutrition"))</f>
        <v>Average Nutrition</v>
      </c>
      <c r="S341">
        <v>1</v>
      </c>
      <c r="T341" t="str">
        <f>IF(Table1[[#This Row],[Warmup_Routine_Adherence]]=1, "Adherent","Non-Adherent")</f>
        <v>Adherent</v>
      </c>
      <c r="U341">
        <v>1</v>
      </c>
      <c r="V341" t="str">
        <f>IF(Table1[[#This Row],[Injury_Next_Season]]=1, "Injury","No Injury")</f>
        <v>Injury</v>
      </c>
      <c r="W341" s="3">
        <v>25.909456951787401</v>
      </c>
    </row>
    <row r="342" spans="1:23" x14ac:dyDescent="0.25">
      <c r="A342" s="6">
        <v>19</v>
      </c>
      <c r="B342" s="8" t="str">
        <f>CONCATENATE(Table1[[#This Row],[Age]]," ", "years")</f>
        <v>19 years</v>
      </c>
      <c r="C342">
        <v>175</v>
      </c>
      <c r="D342">
        <v>71</v>
      </c>
      <c r="E342" t="s">
        <v>19</v>
      </c>
      <c r="F342" s="3">
        <v>15.4804254495302</v>
      </c>
      <c r="G342" s="3">
        <v>16</v>
      </c>
      <c r="H342">
        <v>1</v>
      </c>
      <c r="I342" s="3">
        <v>64.181863599639399</v>
      </c>
      <c r="J342" s="3">
        <v>69.475825346754107</v>
      </c>
      <c r="K342" s="3">
        <v>275.628430681407</v>
      </c>
      <c r="L342" s="3">
        <v>86.262150701283005</v>
      </c>
      <c r="M342" s="3">
        <v>6.03952717922511</v>
      </c>
      <c r="N342" s="3">
        <v>85.373811915449807</v>
      </c>
      <c r="O342" s="3">
        <v>6.8433984819177001</v>
      </c>
      <c r="P342" s="3">
        <v>71.335527304013198</v>
      </c>
      <c r="Q342" s="3">
        <v>79.230802629401097</v>
      </c>
      <c r="R342" s="3" t="str">
        <f>IF(Table1[[#This Row],[Nutrition_Quality_Score]]&lt;60, "Poor Nutrition",IF(AND(Table1[[#This Row],[Nutrition_Quality_Score]]&gt;=60,Table1[[#This Row],[Nutrition_Quality_Score]]&lt;=80),"Average Nutrition", "Good Nutrition"))</f>
        <v>Average Nutrition</v>
      </c>
      <c r="S342">
        <v>1</v>
      </c>
      <c r="T342" t="str">
        <f>IF(Table1[[#This Row],[Warmup_Routine_Adherence]]=1, "Adherent","Non-Adherent")</f>
        <v>Adherent</v>
      </c>
      <c r="U342">
        <v>1</v>
      </c>
      <c r="V342" t="str">
        <f>IF(Table1[[#This Row],[Injury_Next_Season]]=1, "Injury","No Injury")</f>
        <v>Injury</v>
      </c>
      <c r="W342" s="3">
        <v>23.183673469387699</v>
      </c>
    </row>
    <row r="343" spans="1:23" x14ac:dyDescent="0.25">
      <c r="A343" s="6">
        <v>23</v>
      </c>
      <c r="B343" s="8" t="str">
        <f>CONCATENATE(Table1[[#This Row],[Age]]," ", "years")</f>
        <v>23 years</v>
      </c>
      <c r="C343">
        <v>197</v>
      </c>
      <c r="D343">
        <v>60</v>
      </c>
      <c r="E343" t="s">
        <v>21</v>
      </c>
      <c r="F343" s="3">
        <v>12.2426124020205</v>
      </c>
      <c r="G343" s="3">
        <v>17</v>
      </c>
      <c r="H343">
        <v>1</v>
      </c>
      <c r="I343" s="3">
        <v>86.241341392512794</v>
      </c>
      <c r="J343" s="3">
        <v>80.449223429106098</v>
      </c>
      <c r="K343" s="3">
        <v>251.615159679513</v>
      </c>
      <c r="L343" s="3">
        <v>86.261875409000695</v>
      </c>
      <c r="M343" s="3">
        <v>6.0814443597125898</v>
      </c>
      <c r="N343" s="3">
        <v>80.872065517908894</v>
      </c>
      <c r="O343" s="3">
        <v>8.5204668622294193</v>
      </c>
      <c r="P343" s="3">
        <v>54.5863697026452</v>
      </c>
      <c r="Q343" s="3">
        <v>79.738282841936098</v>
      </c>
      <c r="R343" s="3" t="str">
        <f>IF(Table1[[#This Row],[Nutrition_Quality_Score]]&lt;60, "Poor Nutrition",IF(AND(Table1[[#This Row],[Nutrition_Quality_Score]]&gt;=60,Table1[[#This Row],[Nutrition_Quality_Score]]&lt;=80),"Average Nutrition", "Good Nutrition"))</f>
        <v>Average Nutrition</v>
      </c>
      <c r="S343">
        <v>1</v>
      </c>
      <c r="T343" t="str">
        <f>IF(Table1[[#This Row],[Warmup_Routine_Adherence]]=1, "Adherent","Non-Adherent")</f>
        <v>Adherent</v>
      </c>
      <c r="U343">
        <v>0</v>
      </c>
      <c r="V343" t="str">
        <f>IF(Table1[[#This Row],[Injury_Next_Season]]=1, "Injury","No Injury")</f>
        <v>No Injury</v>
      </c>
      <c r="W343" s="3">
        <v>15.4603313664356</v>
      </c>
    </row>
    <row r="344" spans="1:23" x14ac:dyDescent="0.25">
      <c r="A344" s="6">
        <v>22</v>
      </c>
      <c r="B344" s="8" t="str">
        <f>CONCATENATE(Table1[[#This Row],[Age]]," ", "years")</f>
        <v>22 years</v>
      </c>
      <c r="C344">
        <v>172</v>
      </c>
      <c r="D344">
        <v>83</v>
      </c>
      <c r="E344" t="s">
        <v>19</v>
      </c>
      <c r="F344" s="3">
        <v>9.6600620373882204</v>
      </c>
      <c r="G344" s="3">
        <v>13</v>
      </c>
      <c r="H344">
        <v>1</v>
      </c>
      <c r="I344" s="3">
        <v>85.193088428273199</v>
      </c>
      <c r="J344" s="3">
        <v>84.719539311518105</v>
      </c>
      <c r="K344" s="3">
        <v>251.94972490689099</v>
      </c>
      <c r="L344" s="3">
        <v>95.424805831223694</v>
      </c>
      <c r="M344" s="3">
        <v>6.0545965549752001</v>
      </c>
      <c r="N344" s="3">
        <v>77.757861081267905</v>
      </c>
      <c r="O344" s="3">
        <v>8.2857923435526004</v>
      </c>
      <c r="P344" s="3">
        <v>54.761561796919899</v>
      </c>
      <c r="Q344" s="3">
        <v>73.821220988602505</v>
      </c>
      <c r="R344" s="3" t="str">
        <f>IF(Table1[[#This Row],[Nutrition_Quality_Score]]&lt;60, "Poor Nutrition",IF(AND(Table1[[#This Row],[Nutrition_Quality_Score]]&gt;=60,Table1[[#This Row],[Nutrition_Quality_Score]]&lt;=80),"Average Nutrition", "Good Nutrition"))</f>
        <v>Average Nutrition</v>
      </c>
      <c r="S344">
        <v>1</v>
      </c>
      <c r="T344" t="str">
        <f>IF(Table1[[#This Row],[Warmup_Routine_Adherence]]=1, "Adherent","Non-Adherent")</f>
        <v>Adherent</v>
      </c>
      <c r="U344">
        <v>0</v>
      </c>
      <c r="V344" t="str">
        <f>IF(Table1[[#This Row],[Injury_Next_Season]]=1, "Injury","No Injury")</f>
        <v>No Injury</v>
      </c>
      <c r="W344" s="3">
        <v>28.055705786911801</v>
      </c>
    </row>
    <row r="345" spans="1:23" x14ac:dyDescent="0.25">
      <c r="A345" s="6">
        <v>23</v>
      </c>
      <c r="B345" s="8" t="str">
        <f>CONCATENATE(Table1[[#This Row],[Age]]," ", "years")</f>
        <v>23 years</v>
      </c>
      <c r="C345">
        <v>184</v>
      </c>
      <c r="D345">
        <v>65</v>
      </c>
      <c r="E345" t="s">
        <v>20</v>
      </c>
      <c r="F345" s="3">
        <v>8.7453537335330491</v>
      </c>
      <c r="G345" s="3">
        <v>31</v>
      </c>
      <c r="H345">
        <v>1</v>
      </c>
      <c r="I345" s="3">
        <v>75.105747886865302</v>
      </c>
      <c r="J345" s="3">
        <v>77.831920894737806</v>
      </c>
      <c r="K345" s="3">
        <v>249.805971222728</v>
      </c>
      <c r="L345" s="3">
        <v>82.759702876631394</v>
      </c>
      <c r="M345" s="3">
        <v>6.6843384579991998</v>
      </c>
      <c r="N345" s="3">
        <v>81.406392231120094</v>
      </c>
      <c r="O345" s="3">
        <v>9.0555824308488493</v>
      </c>
      <c r="P345" s="3">
        <v>45.137648174900797</v>
      </c>
      <c r="Q345" s="3">
        <v>85.218044390928497</v>
      </c>
      <c r="R345" s="3" t="str">
        <f>IF(Table1[[#This Row],[Nutrition_Quality_Score]]&lt;60, "Poor Nutrition",IF(AND(Table1[[#This Row],[Nutrition_Quality_Score]]&gt;=60,Table1[[#This Row],[Nutrition_Quality_Score]]&lt;=80),"Average Nutrition", "Good Nutrition"))</f>
        <v>Good Nutrition</v>
      </c>
      <c r="S345">
        <v>0</v>
      </c>
      <c r="T345" t="str">
        <f>IF(Table1[[#This Row],[Warmup_Routine_Adherence]]=1, "Adherent","Non-Adherent")</f>
        <v>Non-Adherent</v>
      </c>
      <c r="U345">
        <v>0</v>
      </c>
      <c r="V345" t="str">
        <f>IF(Table1[[#This Row],[Injury_Next_Season]]=1, "Injury","No Injury")</f>
        <v>No Injury</v>
      </c>
      <c r="W345" s="3">
        <v>19.198960302457401</v>
      </c>
    </row>
    <row r="346" spans="1:23" x14ac:dyDescent="0.25">
      <c r="A346" s="6">
        <v>18</v>
      </c>
      <c r="B346" s="8" t="str">
        <f>CONCATENATE(Table1[[#This Row],[Age]]," ", "years")</f>
        <v>18 years</v>
      </c>
      <c r="C346">
        <v>185</v>
      </c>
      <c r="D346">
        <v>85</v>
      </c>
      <c r="E346" t="s">
        <v>22</v>
      </c>
      <c r="F346" s="3">
        <v>11.2375830285481</v>
      </c>
      <c r="G346" s="3">
        <v>16</v>
      </c>
      <c r="H346">
        <v>2</v>
      </c>
      <c r="I346" s="3">
        <v>82.025267955941104</v>
      </c>
      <c r="J346" s="3">
        <v>84.725624605914504</v>
      </c>
      <c r="K346" s="3">
        <v>218.46521960633299</v>
      </c>
      <c r="L346" s="3">
        <v>88.838318033157194</v>
      </c>
      <c r="M346" s="3">
        <v>6.13836340725305</v>
      </c>
      <c r="N346" s="3">
        <v>83.675397280721597</v>
      </c>
      <c r="O346" s="3">
        <v>7.48405946551593</v>
      </c>
      <c r="P346" s="3">
        <v>55.781860392781603</v>
      </c>
      <c r="Q346" s="3">
        <v>97.673976984699493</v>
      </c>
      <c r="R346" s="3" t="str">
        <f>IF(Table1[[#This Row],[Nutrition_Quality_Score]]&lt;60, "Poor Nutrition",IF(AND(Table1[[#This Row],[Nutrition_Quality_Score]]&gt;=60,Table1[[#This Row],[Nutrition_Quality_Score]]&lt;=80),"Average Nutrition", "Good Nutrition"))</f>
        <v>Good Nutrition</v>
      </c>
      <c r="S346">
        <v>0</v>
      </c>
      <c r="T346" t="str">
        <f>IF(Table1[[#This Row],[Warmup_Routine_Adherence]]=1, "Adherent","Non-Adherent")</f>
        <v>Non-Adherent</v>
      </c>
      <c r="U346">
        <v>0</v>
      </c>
      <c r="V346" t="str">
        <f>IF(Table1[[#This Row],[Injury_Next_Season]]=1, "Injury","No Injury")</f>
        <v>No Injury</v>
      </c>
      <c r="W346" s="3">
        <v>24.835646457267998</v>
      </c>
    </row>
    <row r="347" spans="1:23" x14ac:dyDescent="0.25">
      <c r="A347" s="6">
        <v>19</v>
      </c>
      <c r="B347" s="8" t="str">
        <f>CONCATENATE(Table1[[#This Row],[Age]]," ", "years")</f>
        <v>19 years</v>
      </c>
      <c r="C347">
        <v>179</v>
      </c>
      <c r="D347">
        <v>74</v>
      </c>
      <c r="E347" t="s">
        <v>19</v>
      </c>
      <c r="F347" s="3">
        <v>10.474907863785299</v>
      </c>
      <c r="G347" s="3">
        <v>27</v>
      </c>
      <c r="H347">
        <v>2</v>
      </c>
      <c r="I347" s="3">
        <v>76.816575660883899</v>
      </c>
      <c r="J347" s="3">
        <v>79.782573230559606</v>
      </c>
      <c r="K347" s="3">
        <v>284.85660087723699</v>
      </c>
      <c r="L347" s="3">
        <v>86.130520674693003</v>
      </c>
      <c r="M347" s="3">
        <v>5.8907391100783197</v>
      </c>
      <c r="N347" s="3">
        <v>77.103251688057597</v>
      </c>
      <c r="O347" s="3">
        <v>7.4894618016133796</v>
      </c>
      <c r="P347" s="3">
        <v>60.419936121869902</v>
      </c>
      <c r="Q347" s="3">
        <v>64.317805363232395</v>
      </c>
      <c r="R347" s="3" t="str">
        <f>IF(Table1[[#This Row],[Nutrition_Quality_Score]]&lt;60, "Poor Nutrition",IF(AND(Table1[[#This Row],[Nutrition_Quality_Score]]&gt;=60,Table1[[#This Row],[Nutrition_Quality_Score]]&lt;=80),"Average Nutrition", "Good Nutrition"))</f>
        <v>Average Nutrition</v>
      </c>
      <c r="S347">
        <v>1</v>
      </c>
      <c r="T347" t="str">
        <f>IF(Table1[[#This Row],[Warmup_Routine_Adherence]]=1, "Adherent","Non-Adherent")</f>
        <v>Adherent</v>
      </c>
      <c r="U347">
        <v>1</v>
      </c>
      <c r="V347" t="str">
        <f>IF(Table1[[#This Row],[Injury_Next_Season]]=1, "Injury","No Injury")</f>
        <v>Injury</v>
      </c>
      <c r="W347" s="3">
        <v>23.095409007209501</v>
      </c>
    </row>
    <row r="348" spans="1:23" x14ac:dyDescent="0.25">
      <c r="A348" s="6">
        <v>24</v>
      </c>
      <c r="B348" s="8" t="str">
        <f>CONCATENATE(Table1[[#This Row],[Age]]," ", "years")</f>
        <v>24 years</v>
      </c>
      <c r="C348">
        <v>187</v>
      </c>
      <c r="D348">
        <v>56</v>
      </c>
      <c r="E348" t="s">
        <v>22</v>
      </c>
      <c r="F348" s="3">
        <v>6.5804344319637504</v>
      </c>
      <c r="G348" s="3">
        <v>39</v>
      </c>
      <c r="H348">
        <v>2</v>
      </c>
      <c r="I348" s="3">
        <v>79.950460202393202</v>
      </c>
      <c r="J348" s="3">
        <v>82.971953610417003</v>
      </c>
      <c r="K348" s="3">
        <v>246.59961280667301</v>
      </c>
      <c r="L348" s="3">
        <v>84.775941114921196</v>
      </c>
      <c r="M348" s="3">
        <v>6.6849414392461197</v>
      </c>
      <c r="N348" s="3">
        <v>76.904493075873901</v>
      </c>
      <c r="O348" s="3">
        <v>8.3840043875355796</v>
      </c>
      <c r="P348" s="3">
        <v>49.8283615904543</v>
      </c>
      <c r="Q348" s="3">
        <v>67.348337979129198</v>
      </c>
      <c r="R348" s="3" t="str">
        <f>IF(Table1[[#This Row],[Nutrition_Quality_Score]]&lt;60, "Poor Nutrition",IF(AND(Table1[[#This Row],[Nutrition_Quality_Score]]&gt;=60,Table1[[#This Row],[Nutrition_Quality_Score]]&lt;=80),"Average Nutrition", "Good Nutrition"))</f>
        <v>Average Nutrition</v>
      </c>
      <c r="S348">
        <v>1</v>
      </c>
      <c r="T348" t="str">
        <f>IF(Table1[[#This Row],[Warmup_Routine_Adherence]]=1, "Adherent","Non-Adherent")</f>
        <v>Adherent</v>
      </c>
      <c r="U348">
        <v>0</v>
      </c>
      <c r="V348" t="str">
        <f>IF(Table1[[#This Row],[Injury_Next_Season]]=1, "Injury","No Injury")</f>
        <v>No Injury</v>
      </c>
      <c r="W348" s="3">
        <v>16.014183991535301</v>
      </c>
    </row>
    <row r="349" spans="1:23" x14ac:dyDescent="0.25">
      <c r="A349" s="6">
        <v>19</v>
      </c>
      <c r="B349" s="8" t="str">
        <f>CONCATENATE(Table1[[#This Row],[Age]]," ", "years")</f>
        <v>19 years</v>
      </c>
      <c r="C349">
        <v>180</v>
      </c>
      <c r="D349">
        <v>54</v>
      </c>
      <c r="E349" t="s">
        <v>22</v>
      </c>
      <c r="F349" s="3">
        <v>10.7283152903724</v>
      </c>
      <c r="G349" s="3">
        <v>9</v>
      </c>
      <c r="H349">
        <v>3</v>
      </c>
      <c r="I349" s="3">
        <v>73.029762288808897</v>
      </c>
      <c r="J349" s="3">
        <v>66.519855317185204</v>
      </c>
      <c r="K349" s="3">
        <v>250.41090986440699</v>
      </c>
      <c r="L349" s="3">
        <v>92.858136929423907</v>
      </c>
      <c r="M349" s="3">
        <v>5.8008208808332302</v>
      </c>
      <c r="N349" s="3">
        <v>87.402469275809295</v>
      </c>
      <c r="O349" s="3">
        <v>6.4830018844361597</v>
      </c>
      <c r="P349" s="3">
        <v>74.091711984868397</v>
      </c>
      <c r="Q349" s="3">
        <v>72.222101449720199</v>
      </c>
      <c r="R349" s="3" t="str">
        <f>IF(Table1[[#This Row],[Nutrition_Quality_Score]]&lt;60, "Poor Nutrition",IF(AND(Table1[[#This Row],[Nutrition_Quality_Score]]&gt;=60,Table1[[#This Row],[Nutrition_Quality_Score]]&lt;=80),"Average Nutrition", "Good Nutrition"))</f>
        <v>Average Nutrition</v>
      </c>
      <c r="S349">
        <v>1</v>
      </c>
      <c r="T349" t="str">
        <f>IF(Table1[[#This Row],[Warmup_Routine_Adherence]]=1, "Adherent","Non-Adherent")</f>
        <v>Adherent</v>
      </c>
      <c r="U349">
        <v>1</v>
      </c>
      <c r="V349" t="str">
        <f>IF(Table1[[#This Row],[Injury_Next_Season]]=1, "Injury","No Injury")</f>
        <v>Injury</v>
      </c>
      <c r="W349" s="3">
        <v>16.6666666666666</v>
      </c>
    </row>
    <row r="350" spans="1:23" x14ac:dyDescent="0.25">
      <c r="A350" s="6">
        <v>24</v>
      </c>
      <c r="B350" s="8" t="str">
        <f>CONCATENATE(Table1[[#This Row],[Age]]," ", "years")</f>
        <v>24 years</v>
      </c>
      <c r="C350">
        <v>185</v>
      </c>
      <c r="D350">
        <v>78</v>
      </c>
      <c r="E350" t="s">
        <v>21</v>
      </c>
      <c r="F350" s="3">
        <v>6.2735689418194998</v>
      </c>
      <c r="G350" s="3">
        <v>22</v>
      </c>
      <c r="H350">
        <v>1</v>
      </c>
      <c r="I350" s="3">
        <v>67.543925392230094</v>
      </c>
      <c r="J350" s="3">
        <v>74.268329332693696</v>
      </c>
      <c r="K350" s="3">
        <v>233.10177075884499</v>
      </c>
      <c r="L350" s="3">
        <v>82.168630070259894</v>
      </c>
      <c r="M350" s="3">
        <v>5.9308887528304197</v>
      </c>
      <c r="N350" s="3">
        <v>70.562868693017407</v>
      </c>
      <c r="O350" s="3">
        <v>6.7194874923751504</v>
      </c>
      <c r="P350" s="3">
        <v>69.959490847605096</v>
      </c>
      <c r="Q350" s="3">
        <v>66.659942043243205</v>
      </c>
      <c r="R350" s="3" t="str">
        <f>IF(Table1[[#This Row],[Nutrition_Quality_Score]]&lt;60, "Poor Nutrition",IF(AND(Table1[[#This Row],[Nutrition_Quality_Score]]&gt;=60,Table1[[#This Row],[Nutrition_Quality_Score]]&lt;=80),"Average Nutrition", "Good Nutrition"))</f>
        <v>Average Nutrition</v>
      </c>
      <c r="S350">
        <v>0</v>
      </c>
      <c r="T350" t="str">
        <f>IF(Table1[[#This Row],[Warmup_Routine_Adherence]]=1, "Adherent","Non-Adherent")</f>
        <v>Non-Adherent</v>
      </c>
      <c r="U350">
        <v>1</v>
      </c>
      <c r="V350" t="str">
        <f>IF(Table1[[#This Row],[Injury_Next_Season]]=1, "Injury","No Injury")</f>
        <v>Injury</v>
      </c>
      <c r="W350" s="3">
        <v>22.790357925493002</v>
      </c>
    </row>
    <row r="351" spans="1:23" x14ac:dyDescent="0.25">
      <c r="A351" s="6">
        <v>20</v>
      </c>
      <c r="B351" s="8" t="str">
        <f>CONCATENATE(Table1[[#This Row],[Age]]," ", "years")</f>
        <v>20 years</v>
      </c>
      <c r="C351">
        <v>176</v>
      </c>
      <c r="D351">
        <v>57</v>
      </c>
      <c r="E351" t="s">
        <v>22</v>
      </c>
      <c r="F351" s="3">
        <v>10.671269784167899</v>
      </c>
      <c r="G351" s="3">
        <v>28</v>
      </c>
      <c r="H351">
        <v>0</v>
      </c>
      <c r="I351" s="3">
        <v>81.277732131495398</v>
      </c>
      <c r="J351" s="3">
        <v>69.293589998419094</v>
      </c>
      <c r="K351" s="3">
        <v>213.49885948556701</v>
      </c>
      <c r="L351" s="3">
        <v>78.5680714583834</v>
      </c>
      <c r="M351" s="3">
        <v>5.73198177630612</v>
      </c>
      <c r="N351" s="3">
        <v>88.462803836460594</v>
      </c>
      <c r="O351" s="3">
        <v>6.8280039965879702</v>
      </c>
      <c r="P351" s="3">
        <v>67.887742343798493</v>
      </c>
      <c r="Q351" s="3">
        <v>69.204970745369295</v>
      </c>
      <c r="R351" s="3" t="str">
        <f>IF(Table1[[#This Row],[Nutrition_Quality_Score]]&lt;60, "Poor Nutrition",IF(AND(Table1[[#This Row],[Nutrition_Quality_Score]]&gt;=60,Table1[[#This Row],[Nutrition_Quality_Score]]&lt;=80),"Average Nutrition", "Good Nutrition"))</f>
        <v>Average Nutrition</v>
      </c>
      <c r="S351">
        <v>1</v>
      </c>
      <c r="T351" t="str">
        <f>IF(Table1[[#This Row],[Warmup_Routine_Adherence]]=1, "Adherent","Non-Adherent")</f>
        <v>Adherent</v>
      </c>
      <c r="U351">
        <v>1</v>
      </c>
      <c r="V351" t="str">
        <f>IF(Table1[[#This Row],[Injury_Next_Season]]=1, "Injury","No Injury")</f>
        <v>Injury</v>
      </c>
      <c r="W351" s="3">
        <v>18.4013429752066</v>
      </c>
    </row>
    <row r="352" spans="1:23" x14ac:dyDescent="0.25">
      <c r="A352" s="6">
        <v>24</v>
      </c>
      <c r="B352" s="8" t="str">
        <f>CONCATENATE(Table1[[#This Row],[Age]]," ", "years")</f>
        <v>24 years</v>
      </c>
      <c r="C352">
        <v>172</v>
      </c>
      <c r="D352">
        <v>89</v>
      </c>
      <c r="E352" t="s">
        <v>19</v>
      </c>
      <c r="F352" s="3">
        <v>6.0639289908503997</v>
      </c>
      <c r="G352" s="3">
        <v>9</v>
      </c>
      <c r="H352">
        <v>4</v>
      </c>
      <c r="I352" s="3">
        <v>87.573211896167507</v>
      </c>
      <c r="J352" s="3">
        <v>80.834594922738901</v>
      </c>
      <c r="K352" s="3">
        <v>248.90262667309099</v>
      </c>
      <c r="L352" s="3">
        <v>95.007447167341198</v>
      </c>
      <c r="M352" s="3">
        <v>6.1255037683650704</v>
      </c>
      <c r="N352" s="3">
        <v>67.897445298071503</v>
      </c>
      <c r="O352" s="3">
        <v>8.5096803878849894</v>
      </c>
      <c r="P352" s="3">
        <v>42.201895840178999</v>
      </c>
      <c r="Q352" s="3">
        <v>97.474679880351701</v>
      </c>
      <c r="R352" s="3" t="str">
        <f>IF(Table1[[#This Row],[Nutrition_Quality_Score]]&lt;60, "Poor Nutrition",IF(AND(Table1[[#This Row],[Nutrition_Quality_Score]]&gt;=60,Table1[[#This Row],[Nutrition_Quality_Score]]&lt;=80),"Average Nutrition", "Good Nutrition"))</f>
        <v>Good Nutrition</v>
      </c>
      <c r="S352">
        <v>0</v>
      </c>
      <c r="T352" t="str">
        <f>IF(Table1[[#This Row],[Warmup_Routine_Adherence]]=1, "Adherent","Non-Adherent")</f>
        <v>Non-Adherent</v>
      </c>
      <c r="U352">
        <v>0</v>
      </c>
      <c r="V352" t="str">
        <f>IF(Table1[[#This Row],[Injury_Next_Season]]=1, "Injury","No Injury")</f>
        <v>No Injury</v>
      </c>
      <c r="W352" s="3">
        <v>30.083829096809001</v>
      </c>
    </row>
    <row r="353" spans="1:23" x14ac:dyDescent="0.25">
      <c r="A353" s="6">
        <v>23</v>
      </c>
      <c r="B353" s="8" t="str">
        <f>CONCATENATE(Table1[[#This Row],[Age]]," ", "years")</f>
        <v>23 years</v>
      </c>
      <c r="C353">
        <v>183</v>
      </c>
      <c r="D353">
        <v>58</v>
      </c>
      <c r="E353" t="s">
        <v>21</v>
      </c>
      <c r="F353" s="3">
        <v>11.1064258721849</v>
      </c>
      <c r="G353" s="3">
        <v>36</v>
      </c>
      <c r="H353">
        <v>1</v>
      </c>
      <c r="I353" s="3">
        <v>66.8689247651687</v>
      </c>
      <c r="J353" s="3">
        <v>76.871239429003097</v>
      </c>
      <c r="K353" s="3">
        <v>270.75865810591102</v>
      </c>
      <c r="L353" s="3">
        <v>87.602878779787801</v>
      </c>
      <c r="M353" s="3">
        <v>6.1069255055540701</v>
      </c>
      <c r="N353" s="3">
        <v>68.174697013979397</v>
      </c>
      <c r="O353" s="3">
        <v>7.7177835243167099</v>
      </c>
      <c r="P353" s="3">
        <v>61.688302017197302</v>
      </c>
      <c r="Q353" s="3">
        <v>54.360566116073002</v>
      </c>
      <c r="R353" s="3" t="str">
        <f>IF(Table1[[#This Row],[Nutrition_Quality_Score]]&lt;60, "Poor Nutrition",IF(AND(Table1[[#This Row],[Nutrition_Quality_Score]]&gt;=60,Table1[[#This Row],[Nutrition_Quality_Score]]&lt;=80),"Average Nutrition", "Good Nutrition"))</f>
        <v>Poor Nutrition</v>
      </c>
      <c r="S353">
        <v>1</v>
      </c>
      <c r="T353" t="str">
        <f>IF(Table1[[#This Row],[Warmup_Routine_Adherence]]=1, "Adherent","Non-Adherent")</f>
        <v>Adherent</v>
      </c>
      <c r="U353">
        <v>1</v>
      </c>
      <c r="V353" t="str">
        <f>IF(Table1[[#This Row],[Injury_Next_Season]]=1, "Injury","No Injury")</f>
        <v>Injury</v>
      </c>
      <c r="W353" s="3">
        <v>17.319119710949799</v>
      </c>
    </row>
    <row r="354" spans="1:23" x14ac:dyDescent="0.25">
      <c r="A354" s="6">
        <v>19</v>
      </c>
      <c r="B354" s="8" t="str">
        <f>CONCATENATE(Table1[[#This Row],[Age]]," ", "years")</f>
        <v>19 years</v>
      </c>
      <c r="C354">
        <v>176</v>
      </c>
      <c r="D354">
        <v>92</v>
      </c>
      <c r="E354" t="s">
        <v>19</v>
      </c>
      <c r="F354" s="3">
        <v>7.9773512450872204</v>
      </c>
      <c r="G354" s="3">
        <v>6</v>
      </c>
      <c r="H354">
        <v>0</v>
      </c>
      <c r="I354" s="3">
        <v>72.701678665265703</v>
      </c>
      <c r="J354" s="3">
        <v>74.682293899576905</v>
      </c>
      <c r="K354" s="3">
        <v>220.877419541667</v>
      </c>
      <c r="L354" s="3">
        <v>93.743854775133499</v>
      </c>
      <c r="M354" s="3">
        <v>5.5774294748129503</v>
      </c>
      <c r="N354" s="3">
        <v>94.910191103526302</v>
      </c>
      <c r="O354" s="3">
        <v>8.0913937523916797</v>
      </c>
      <c r="P354" s="3">
        <v>43.743119307725898</v>
      </c>
      <c r="Q354" s="3">
        <v>89.215393312459994</v>
      </c>
      <c r="R354" s="3" t="str">
        <f>IF(Table1[[#This Row],[Nutrition_Quality_Score]]&lt;60, "Poor Nutrition",IF(AND(Table1[[#This Row],[Nutrition_Quality_Score]]&gt;=60,Table1[[#This Row],[Nutrition_Quality_Score]]&lt;=80),"Average Nutrition", "Good Nutrition"))</f>
        <v>Good Nutrition</v>
      </c>
      <c r="S354">
        <v>1</v>
      </c>
      <c r="T354" t="str">
        <f>IF(Table1[[#This Row],[Warmup_Routine_Adherence]]=1, "Adherent","Non-Adherent")</f>
        <v>Adherent</v>
      </c>
      <c r="U354">
        <v>0</v>
      </c>
      <c r="V354" t="str">
        <f>IF(Table1[[#This Row],[Injury_Next_Season]]=1, "Injury","No Injury")</f>
        <v>No Injury</v>
      </c>
      <c r="W354" s="3">
        <v>29.700413223140401</v>
      </c>
    </row>
    <row r="355" spans="1:23" x14ac:dyDescent="0.25">
      <c r="A355" s="6">
        <v>23</v>
      </c>
      <c r="B355" s="8" t="str">
        <f>CONCATENATE(Table1[[#This Row],[Age]]," ", "years")</f>
        <v>23 years</v>
      </c>
      <c r="C355">
        <v>173</v>
      </c>
      <c r="D355">
        <v>63</v>
      </c>
      <c r="E355" t="s">
        <v>21</v>
      </c>
      <c r="F355" s="3">
        <v>5.4210848539719096</v>
      </c>
      <c r="G355" s="3">
        <v>7</v>
      </c>
      <c r="H355">
        <v>2</v>
      </c>
      <c r="I355" s="3">
        <v>66.904394937806003</v>
      </c>
      <c r="J355" s="3">
        <v>75.606086774172994</v>
      </c>
      <c r="K355" s="3">
        <v>244.05664283352101</v>
      </c>
      <c r="L355" s="3">
        <v>80.431650214936795</v>
      </c>
      <c r="M355" s="3">
        <v>6.1888965511226601</v>
      </c>
      <c r="N355" s="3">
        <v>76.270691430151601</v>
      </c>
      <c r="O355" s="3">
        <v>7.71510928539674</v>
      </c>
      <c r="P355" s="3">
        <v>62.856062705877498</v>
      </c>
      <c r="Q355" s="3">
        <v>80.507513933889996</v>
      </c>
      <c r="R355" s="3" t="str">
        <f>IF(Table1[[#This Row],[Nutrition_Quality_Score]]&lt;60, "Poor Nutrition",IF(AND(Table1[[#This Row],[Nutrition_Quality_Score]]&gt;=60,Table1[[#This Row],[Nutrition_Quality_Score]]&lt;=80),"Average Nutrition", "Good Nutrition"))</f>
        <v>Good Nutrition</v>
      </c>
      <c r="S355">
        <v>0</v>
      </c>
      <c r="T355" t="str">
        <f>IF(Table1[[#This Row],[Warmup_Routine_Adherence]]=1, "Adherent","Non-Adherent")</f>
        <v>Non-Adherent</v>
      </c>
      <c r="U355">
        <v>1</v>
      </c>
      <c r="V355" t="str">
        <f>IF(Table1[[#This Row],[Injury_Next_Season]]=1, "Injury","No Injury")</f>
        <v>Injury</v>
      </c>
      <c r="W355" s="3">
        <v>21.0498179023689</v>
      </c>
    </row>
    <row r="356" spans="1:23" x14ac:dyDescent="0.25">
      <c r="A356" s="6">
        <v>21</v>
      </c>
      <c r="B356" s="8" t="str">
        <f>CONCATENATE(Table1[[#This Row],[Age]]," ", "years")</f>
        <v>21 years</v>
      </c>
      <c r="C356">
        <v>173</v>
      </c>
      <c r="D356">
        <v>81</v>
      </c>
      <c r="E356" t="s">
        <v>20</v>
      </c>
      <c r="F356" s="3">
        <v>8.94615756293061</v>
      </c>
      <c r="G356" s="3">
        <v>26</v>
      </c>
      <c r="H356">
        <v>2</v>
      </c>
      <c r="I356" s="3">
        <v>84.9333781996977</v>
      </c>
      <c r="J356" s="3">
        <v>77.706406809105403</v>
      </c>
      <c r="K356" s="3">
        <v>279.30411773473497</v>
      </c>
      <c r="L356" s="3">
        <v>81.751820148321798</v>
      </c>
      <c r="M356" s="3">
        <v>5.5185232041103003</v>
      </c>
      <c r="N356" s="3">
        <v>75.740884986636999</v>
      </c>
      <c r="O356" s="3">
        <v>7.8619914026103102</v>
      </c>
      <c r="P356" s="3">
        <v>62.013482287045299</v>
      </c>
      <c r="Q356" s="3">
        <v>61.292702941391397</v>
      </c>
      <c r="R356" s="3" t="str">
        <f>IF(Table1[[#This Row],[Nutrition_Quality_Score]]&lt;60, "Poor Nutrition",IF(AND(Table1[[#This Row],[Nutrition_Quality_Score]]&gt;=60,Table1[[#This Row],[Nutrition_Quality_Score]]&lt;=80),"Average Nutrition", "Good Nutrition"))</f>
        <v>Average Nutrition</v>
      </c>
      <c r="S356">
        <v>1</v>
      </c>
      <c r="T356" t="str">
        <f>IF(Table1[[#This Row],[Warmup_Routine_Adherence]]=1, "Adherent","Non-Adherent")</f>
        <v>Adherent</v>
      </c>
      <c r="U356">
        <v>1</v>
      </c>
      <c r="V356" t="str">
        <f>IF(Table1[[#This Row],[Injury_Next_Season]]=1, "Injury","No Injury")</f>
        <v>Injury</v>
      </c>
      <c r="W356" s="3">
        <v>27.064051588760002</v>
      </c>
    </row>
    <row r="357" spans="1:23" x14ac:dyDescent="0.25">
      <c r="A357" s="6">
        <v>24</v>
      </c>
      <c r="B357" s="8" t="str">
        <f>CONCATENATE(Table1[[#This Row],[Age]]," ", "years")</f>
        <v>24 years</v>
      </c>
      <c r="C357">
        <v>185</v>
      </c>
      <c r="D357">
        <v>79</v>
      </c>
      <c r="E357" t="s">
        <v>22</v>
      </c>
      <c r="F357" s="3">
        <v>9.8194000856810497</v>
      </c>
      <c r="G357" s="3">
        <v>19</v>
      </c>
      <c r="H357">
        <v>0</v>
      </c>
      <c r="I357" s="3">
        <v>67.378089124403999</v>
      </c>
      <c r="J357" s="3">
        <v>78.584824601521206</v>
      </c>
      <c r="K357" s="3">
        <v>213.03501083551001</v>
      </c>
      <c r="L357" s="3">
        <v>82.053842082513896</v>
      </c>
      <c r="M357" s="3">
        <v>5.9176009880544402</v>
      </c>
      <c r="N357" s="3">
        <v>83.181364877471594</v>
      </c>
      <c r="O357" s="3">
        <v>7.3949333214613304</v>
      </c>
      <c r="P357" s="3">
        <v>52.229462552671698</v>
      </c>
      <c r="Q357" s="3">
        <v>79.996440449651601</v>
      </c>
      <c r="R357" s="3" t="str">
        <f>IF(Table1[[#This Row],[Nutrition_Quality_Score]]&lt;60, "Poor Nutrition",IF(AND(Table1[[#This Row],[Nutrition_Quality_Score]]&gt;=60,Table1[[#This Row],[Nutrition_Quality_Score]]&lt;=80),"Average Nutrition", "Good Nutrition"))</f>
        <v>Average Nutrition</v>
      </c>
      <c r="S357">
        <v>1</v>
      </c>
      <c r="T357" t="str">
        <f>IF(Table1[[#This Row],[Warmup_Routine_Adherence]]=1, "Adherent","Non-Adherent")</f>
        <v>Adherent</v>
      </c>
      <c r="U357">
        <v>0</v>
      </c>
      <c r="V357" t="str">
        <f>IF(Table1[[#This Row],[Injury_Next_Season]]=1, "Injury","No Injury")</f>
        <v>No Injury</v>
      </c>
      <c r="W357" s="3">
        <v>23.082542001460901</v>
      </c>
    </row>
    <row r="358" spans="1:23" x14ac:dyDescent="0.25">
      <c r="A358" s="6">
        <v>23</v>
      </c>
      <c r="B358" s="8" t="str">
        <f>CONCATENATE(Table1[[#This Row],[Age]]," ", "years")</f>
        <v>23 years</v>
      </c>
      <c r="C358">
        <v>172</v>
      </c>
      <c r="D358">
        <v>78</v>
      </c>
      <c r="E358" t="s">
        <v>22</v>
      </c>
      <c r="F358" s="3">
        <v>8.5422069179545108</v>
      </c>
      <c r="G358" s="3">
        <v>12</v>
      </c>
      <c r="H358">
        <v>2</v>
      </c>
      <c r="I358" s="3">
        <v>68.423800217565201</v>
      </c>
      <c r="J358" s="3">
        <v>72.108906129365806</v>
      </c>
      <c r="K358" s="3">
        <v>257.27471195038498</v>
      </c>
      <c r="L358" s="3">
        <v>79.073756403374503</v>
      </c>
      <c r="M358" s="3">
        <v>5.8567031335157598</v>
      </c>
      <c r="N358" s="3">
        <v>75.310814653540106</v>
      </c>
      <c r="O358" s="3">
        <v>6.5631716413813503</v>
      </c>
      <c r="P358" s="3">
        <v>70.047293878165306</v>
      </c>
      <c r="Q358" s="3">
        <v>52.122619929145898</v>
      </c>
      <c r="R358" s="3" t="str">
        <f>IF(Table1[[#This Row],[Nutrition_Quality_Score]]&lt;60, "Poor Nutrition",IF(AND(Table1[[#This Row],[Nutrition_Quality_Score]]&gt;=60,Table1[[#This Row],[Nutrition_Quality_Score]]&lt;=80),"Average Nutrition", "Good Nutrition"))</f>
        <v>Poor Nutrition</v>
      </c>
      <c r="S358">
        <v>0</v>
      </c>
      <c r="T358" t="str">
        <f>IF(Table1[[#This Row],[Warmup_Routine_Adherence]]=1, "Adherent","Non-Adherent")</f>
        <v>Non-Adherent</v>
      </c>
      <c r="U358">
        <v>1</v>
      </c>
      <c r="V358" t="str">
        <f>IF(Table1[[#This Row],[Injury_Next_Season]]=1, "Injury","No Injury")</f>
        <v>Injury</v>
      </c>
      <c r="W358" s="3">
        <v>26.365603028664101</v>
      </c>
    </row>
    <row r="359" spans="1:23" x14ac:dyDescent="0.25">
      <c r="A359" s="6">
        <v>22</v>
      </c>
      <c r="B359" s="8" t="str">
        <f>CONCATENATE(Table1[[#This Row],[Age]]," ", "years")</f>
        <v>22 years</v>
      </c>
      <c r="C359">
        <v>177</v>
      </c>
      <c r="D359">
        <v>83</v>
      </c>
      <c r="E359" t="s">
        <v>21</v>
      </c>
      <c r="F359" s="3">
        <v>9.79294051745803</v>
      </c>
      <c r="G359" s="3">
        <v>16</v>
      </c>
      <c r="H359">
        <v>1</v>
      </c>
      <c r="I359" s="3">
        <v>80.005345722771807</v>
      </c>
      <c r="J359" s="3">
        <v>71.824257845266104</v>
      </c>
      <c r="K359" s="3">
        <v>266.62479085108203</v>
      </c>
      <c r="L359" s="3">
        <v>72.157636418377905</v>
      </c>
      <c r="M359" s="3">
        <v>5.8466831646044701</v>
      </c>
      <c r="N359" s="3">
        <v>78.944876318003395</v>
      </c>
      <c r="O359" s="3">
        <v>7.8757125199157096</v>
      </c>
      <c r="P359" s="3">
        <v>60.714007886851597</v>
      </c>
      <c r="Q359" s="3">
        <v>60.986887067265101</v>
      </c>
      <c r="R359" s="3" t="str">
        <f>IF(Table1[[#This Row],[Nutrition_Quality_Score]]&lt;60, "Poor Nutrition",IF(AND(Table1[[#This Row],[Nutrition_Quality_Score]]&gt;=60,Table1[[#This Row],[Nutrition_Quality_Score]]&lt;=80),"Average Nutrition", "Good Nutrition"))</f>
        <v>Average Nutrition</v>
      </c>
      <c r="S359">
        <v>1</v>
      </c>
      <c r="T359" t="str">
        <f>IF(Table1[[#This Row],[Warmup_Routine_Adherence]]=1, "Adherent","Non-Adherent")</f>
        <v>Adherent</v>
      </c>
      <c r="U359">
        <v>1</v>
      </c>
      <c r="V359" t="str">
        <f>IF(Table1[[#This Row],[Injury_Next_Season]]=1, "Injury","No Injury")</f>
        <v>Injury</v>
      </c>
      <c r="W359" s="3">
        <v>26.493025631204301</v>
      </c>
    </row>
    <row r="360" spans="1:23" x14ac:dyDescent="0.25">
      <c r="A360" s="6">
        <v>21</v>
      </c>
      <c r="B360" s="8" t="str">
        <f>CONCATENATE(Table1[[#This Row],[Age]]," ", "years")</f>
        <v>21 years</v>
      </c>
      <c r="C360">
        <v>178</v>
      </c>
      <c r="D360">
        <v>76</v>
      </c>
      <c r="E360" t="s">
        <v>20</v>
      </c>
      <c r="F360" s="3">
        <v>16.353233014293998</v>
      </c>
      <c r="G360" s="3">
        <v>12</v>
      </c>
      <c r="H360">
        <v>0</v>
      </c>
      <c r="I360" s="3">
        <v>74.880629333011697</v>
      </c>
      <c r="J360" s="3">
        <v>74.968655605436595</v>
      </c>
      <c r="K360" s="3">
        <v>270.03089825752699</v>
      </c>
      <c r="L360" s="3">
        <v>80.046501154442893</v>
      </c>
      <c r="M360" s="3">
        <v>5.6717459321991299</v>
      </c>
      <c r="N360" s="3">
        <v>66.375857406444595</v>
      </c>
      <c r="O360" s="3">
        <v>6.6247343897354796</v>
      </c>
      <c r="P360" s="3">
        <v>61.024405963146798</v>
      </c>
      <c r="Q360" s="3">
        <v>73.365783660583503</v>
      </c>
      <c r="R360" s="3" t="str">
        <f>IF(Table1[[#This Row],[Nutrition_Quality_Score]]&lt;60, "Poor Nutrition",IF(AND(Table1[[#This Row],[Nutrition_Quality_Score]]&gt;=60,Table1[[#This Row],[Nutrition_Quality_Score]]&lt;=80),"Average Nutrition", "Good Nutrition"))</f>
        <v>Average Nutrition</v>
      </c>
      <c r="S360">
        <v>1</v>
      </c>
      <c r="T360" t="str">
        <f>IF(Table1[[#This Row],[Warmup_Routine_Adherence]]=1, "Adherent","Non-Adherent")</f>
        <v>Adherent</v>
      </c>
      <c r="U360">
        <v>1</v>
      </c>
      <c r="V360" t="str">
        <f>IF(Table1[[#This Row],[Injury_Next_Season]]=1, "Injury","No Injury")</f>
        <v>Injury</v>
      </c>
      <c r="W360" s="3">
        <v>23.986870344653401</v>
      </c>
    </row>
    <row r="361" spans="1:23" x14ac:dyDescent="0.25">
      <c r="A361" s="6">
        <v>21</v>
      </c>
      <c r="B361" s="8" t="str">
        <f>CONCATENATE(Table1[[#This Row],[Age]]," ", "years")</f>
        <v>21 years</v>
      </c>
      <c r="C361">
        <v>193</v>
      </c>
      <c r="D361">
        <v>70</v>
      </c>
      <c r="E361" t="s">
        <v>19</v>
      </c>
      <c r="F361" s="3">
        <v>8.3508538568754993</v>
      </c>
      <c r="G361" s="3">
        <v>38</v>
      </c>
      <c r="H361">
        <v>1</v>
      </c>
      <c r="I361" s="3">
        <v>77.419950912206701</v>
      </c>
      <c r="J361" s="3">
        <v>80.8436208710595</v>
      </c>
      <c r="K361" s="3">
        <v>270.80233769383199</v>
      </c>
      <c r="L361" s="3">
        <v>96.917170999764906</v>
      </c>
      <c r="M361" s="3">
        <v>5.3227226610820901</v>
      </c>
      <c r="N361" s="3">
        <v>86.575057200439304</v>
      </c>
      <c r="O361" s="3">
        <v>8.5515887684669103</v>
      </c>
      <c r="P361" s="3">
        <v>44.819759862529203</v>
      </c>
      <c r="Q361" s="3">
        <v>75.741767570342006</v>
      </c>
      <c r="R361" s="3" t="str">
        <f>IF(Table1[[#This Row],[Nutrition_Quality_Score]]&lt;60, "Poor Nutrition",IF(AND(Table1[[#This Row],[Nutrition_Quality_Score]]&gt;=60,Table1[[#This Row],[Nutrition_Quality_Score]]&lt;=80),"Average Nutrition", "Good Nutrition"))</f>
        <v>Average Nutrition</v>
      </c>
      <c r="S361">
        <v>1</v>
      </c>
      <c r="T361" t="str">
        <f>IF(Table1[[#This Row],[Warmup_Routine_Adherence]]=1, "Adherent","Non-Adherent")</f>
        <v>Adherent</v>
      </c>
      <c r="U361">
        <v>0</v>
      </c>
      <c r="V361" t="str">
        <f>IF(Table1[[#This Row],[Injury_Next_Season]]=1, "Injury","No Injury")</f>
        <v>No Injury</v>
      </c>
      <c r="W361" s="3">
        <v>18.7924508040484</v>
      </c>
    </row>
    <row r="362" spans="1:23" x14ac:dyDescent="0.25">
      <c r="A362" s="6">
        <v>18</v>
      </c>
      <c r="B362" s="8" t="str">
        <f>CONCATENATE(Table1[[#This Row],[Age]]," ", "years")</f>
        <v>18 years</v>
      </c>
      <c r="C362">
        <v>173</v>
      </c>
      <c r="D362">
        <v>65</v>
      </c>
      <c r="E362" t="s">
        <v>19</v>
      </c>
      <c r="F362" s="3">
        <v>9.7955081210346897</v>
      </c>
      <c r="G362" s="3">
        <v>20</v>
      </c>
      <c r="H362">
        <v>0</v>
      </c>
      <c r="I362" s="3">
        <v>80.811520300333797</v>
      </c>
      <c r="J362" s="3">
        <v>73.168544750203793</v>
      </c>
      <c r="K362" s="3">
        <v>205.51022663367499</v>
      </c>
      <c r="L362" s="3">
        <v>81.391170593263794</v>
      </c>
      <c r="M362" s="3">
        <v>5.7062674001318703</v>
      </c>
      <c r="N362" s="3">
        <v>86.670692684276901</v>
      </c>
      <c r="O362" s="3">
        <v>8.6801411799412893</v>
      </c>
      <c r="P362" s="3">
        <v>49.341016906096499</v>
      </c>
      <c r="Q362" s="3">
        <v>79.937527949814907</v>
      </c>
      <c r="R362" s="3" t="str">
        <f>IF(Table1[[#This Row],[Nutrition_Quality_Score]]&lt;60, "Poor Nutrition",IF(AND(Table1[[#This Row],[Nutrition_Quality_Score]]&gt;=60,Table1[[#This Row],[Nutrition_Quality_Score]]&lt;=80),"Average Nutrition", "Good Nutrition"))</f>
        <v>Average Nutrition</v>
      </c>
      <c r="S362">
        <v>0</v>
      </c>
      <c r="T362" t="str">
        <f>IF(Table1[[#This Row],[Warmup_Routine_Adherence]]=1, "Adherent","Non-Adherent")</f>
        <v>Non-Adherent</v>
      </c>
      <c r="U362">
        <v>0</v>
      </c>
      <c r="V362" t="str">
        <f>IF(Table1[[#This Row],[Injury_Next_Season]]=1, "Injury","No Injury")</f>
        <v>No Injury</v>
      </c>
      <c r="W362" s="3">
        <v>21.718066089745701</v>
      </c>
    </row>
    <row r="363" spans="1:23" x14ac:dyDescent="0.25">
      <c r="A363" s="6">
        <v>22</v>
      </c>
      <c r="B363" s="8" t="str">
        <f>CONCATENATE(Table1[[#This Row],[Age]]," ", "years")</f>
        <v>22 years</v>
      </c>
      <c r="C363">
        <v>182</v>
      </c>
      <c r="D363">
        <v>87</v>
      </c>
      <c r="E363" t="s">
        <v>20</v>
      </c>
      <c r="F363" s="3">
        <v>7.0801747582061703</v>
      </c>
      <c r="G363" s="3">
        <v>10</v>
      </c>
      <c r="H363">
        <v>2</v>
      </c>
      <c r="I363" s="3">
        <v>80.164320286227607</v>
      </c>
      <c r="J363" s="3">
        <v>84.467998833511501</v>
      </c>
      <c r="K363" s="3">
        <v>286.752936278893</v>
      </c>
      <c r="L363" s="3">
        <v>87.843040816508704</v>
      </c>
      <c r="M363" s="3">
        <v>5.9376674044005604</v>
      </c>
      <c r="N363" s="3">
        <v>52.149770845790897</v>
      </c>
      <c r="O363" s="3">
        <v>8.1888278999815896</v>
      </c>
      <c r="P363" s="3">
        <v>62.8362368347154</v>
      </c>
      <c r="Q363" s="3">
        <v>57.699510630659198</v>
      </c>
      <c r="R363" s="3" t="str">
        <f>IF(Table1[[#This Row],[Nutrition_Quality_Score]]&lt;60, "Poor Nutrition",IF(AND(Table1[[#This Row],[Nutrition_Quality_Score]]&gt;=60,Table1[[#This Row],[Nutrition_Quality_Score]]&lt;=80),"Average Nutrition", "Good Nutrition"))</f>
        <v>Poor Nutrition</v>
      </c>
      <c r="S363">
        <v>0</v>
      </c>
      <c r="T363" t="str">
        <f>IF(Table1[[#This Row],[Warmup_Routine_Adherence]]=1, "Adherent","Non-Adherent")</f>
        <v>Non-Adherent</v>
      </c>
      <c r="U363">
        <v>1</v>
      </c>
      <c r="V363" t="str">
        <f>IF(Table1[[#This Row],[Injury_Next_Season]]=1, "Injury","No Injury")</f>
        <v>Injury</v>
      </c>
      <c r="W363" s="3">
        <v>26.264943847361401</v>
      </c>
    </row>
    <row r="364" spans="1:23" x14ac:dyDescent="0.25">
      <c r="A364" s="6">
        <v>23</v>
      </c>
      <c r="B364" s="8" t="str">
        <f>CONCATENATE(Table1[[#This Row],[Age]]," ", "years")</f>
        <v>23 years</v>
      </c>
      <c r="C364">
        <v>178</v>
      </c>
      <c r="D364">
        <v>86</v>
      </c>
      <c r="E364" t="s">
        <v>21</v>
      </c>
      <c r="F364" s="3">
        <v>10.8495042435278</v>
      </c>
      <c r="G364" s="3">
        <v>25</v>
      </c>
      <c r="H364">
        <v>2</v>
      </c>
      <c r="I364" s="3">
        <v>70.081752707481499</v>
      </c>
      <c r="J364" s="3">
        <v>76.952886024092194</v>
      </c>
      <c r="K364" s="3">
        <v>275.04058546314701</v>
      </c>
      <c r="L364" s="3">
        <v>81.243870667693898</v>
      </c>
      <c r="M364" s="3">
        <v>5.54468719655664</v>
      </c>
      <c r="N364" s="3">
        <v>63.699758952027402</v>
      </c>
      <c r="O364" s="3">
        <v>6.8882307494284003</v>
      </c>
      <c r="P364" s="3">
        <v>56.978426445523901</v>
      </c>
      <c r="Q364" s="3">
        <v>64.417533553470903</v>
      </c>
      <c r="R364" s="3" t="str">
        <f>IF(Table1[[#This Row],[Nutrition_Quality_Score]]&lt;60, "Poor Nutrition",IF(AND(Table1[[#This Row],[Nutrition_Quality_Score]]&gt;=60,Table1[[#This Row],[Nutrition_Quality_Score]]&lt;=80),"Average Nutrition", "Good Nutrition"))</f>
        <v>Average Nutrition</v>
      </c>
      <c r="S364">
        <v>1</v>
      </c>
      <c r="T364" t="str">
        <f>IF(Table1[[#This Row],[Warmup_Routine_Adherence]]=1, "Adherent","Non-Adherent")</f>
        <v>Adherent</v>
      </c>
      <c r="U364">
        <v>1</v>
      </c>
      <c r="V364" t="str">
        <f>IF(Table1[[#This Row],[Injury_Next_Season]]=1, "Injury","No Injury")</f>
        <v>Injury</v>
      </c>
      <c r="W364" s="3">
        <v>27.143037495265698</v>
      </c>
    </row>
    <row r="365" spans="1:23" x14ac:dyDescent="0.25">
      <c r="A365" s="6">
        <v>18</v>
      </c>
      <c r="B365" s="8" t="str">
        <f>CONCATENATE(Table1[[#This Row],[Age]]," ", "years")</f>
        <v>18 years</v>
      </c>
      <c r="C365">
        <v>174</v>
      </c>
      <c r="D365">
        <v>80</v>
      </c>
      <c r="E365" t="s">
        <v>20</v>
      </c>
      <c r="F365" s="3">
        <v>8.8655639488344793</v>
      </c>
      <c r="G365" s="3">
        <v>16</v>
      </c>
      <c r="H365">
        <v>0</v>
      </c>
      <c r="I365" s="3">
        <v>80.393169663876805</v>
      </c>
      <c r="J365" s="3">
        <v>85.704529421268205</v>
      </c>
      <c r="K365" s="3">
        <v>238.98750160637599</v>
      </c>
      <c r="L365" s="3">
        <v>85.967894031635097</v>
      </c>
      <c r="M365" s="3">
        <v>6.1756840658121996</v>
      </c>
      <c r="N365" s="3">
        <v>93.420373327934101</v>
      </c>
      <c r="O365" s="3">
        <v>6.3528585068626704</v>
      </c>
      <c r="P365" s="3">
        <v>47.617653540822801</v>
      </c>
      <c r="Q365" s="3">
        <v>81.068676444012894</v>
      </c>
      <c r="R365" s="3" t="str">
        <f>IF(Table1[[#This Row],[Nutrition_Quality_Score]]&lt;60, "Poor Nutrition",IF(AND(Table1[[#This Row],[Nutrition_Quality_Score]]&gt;=60,Table1[[#This Row],[Nutrition_Quality_Score]]&lt;=80),"Average Nutrition", "Good Nutrition"))</f>
        <v>Good Nutrition</v>
      </c>
      <c r="S365">
        <v>1</v>
      </c>
      <c r="T365" t="str">
        <f>IF(Table1[[#This Row],[Warmup_Routine_Adherence]]=1, "Adherent","Non-Adherent")</f>
        <v>Adherent</v>
      </c>
      <c r="U365">
        <v>0</v>
      </c>
      <c r="V365" t="str">
        <f>IF(Table1[[#This Row],[Injury_Next_Season]]=1, "Injury","No Injury")</f>
        <v>No Injury</v>
      </c>
      <c r="W365" s="3">
        <v>26.423569824283199</v>
      </c>
    </row>
    <row r="366" spans="1:23" x14ac:dyDescent="0.25">
      <c r="A366" s="6">
        <v>24</v>
      </c>
      <c r="B366" s="8" t="str">
        <f>CONCATENATE(Table1[[#This Row],[Age]]," ", "years")</f>
        <v>24 years</v>
      </c>
      <c r="C366">
        <v>178</v>
      </c>
      <c r="D366">
        <v>64</v>
      </c>
      <c r="E366" t="s">
        <v>20</v>
      </c>
      <c r="F366" s="3">
        <v>9.0630771042415699</v>
      </c>
      <c r="G366" s="3">
        <v>11</v>
      </c>
      <c r="H366">
        <v>1</v>
      </c>
      <c r="I366" s="3">
        <v>66.453069737320305</v>
      </c>
      <c r="J366" s="3">
        <v>71.547443496239495</v>
      </c>
      <c r="K366" s="3">
        <v>241.42467679400201</v>
      </c>
      <c r="L366" s="3">
        <v>75.068755925161796</v>
      </c>
      <c r="M366" s="3">
        <v>5.6997518879074196</v>
      </c>
      <c r="N366" s="3">
        <v>87.071764473247995</v>
      </c>
      <c r="O366" s="3">
        <v>8.0691036045033595</v>
      </c>
      <c r="P366" s="3">
        <v>43.8639225086986</v>
      </c>
      <c r="Q366" s="3">
        <v>71.912357829001493</v>
      </c>
      <c r="R366" s="3" t="str">
        <f>IF(Table1[[#This Row],[Nutrition_Quality_Score]]&lt;60, "Poor Nutrition",IF(AND(Table1[[#This Row],[Nutrition_Quality_Score]]&gt;=60,Table1[[#This Row],[Nutrition_Quality_Score]]&lt;=80),"Average Nutrition", "Good Nutrition"))</f>
        <v>Average Nutrition</v>
      </c>
      <c r="S366">
        <v>1</v>
      </c>
      <c r="T366" t="str">
        <f>IF(Table1[[#This Row],[Warmup_Routine_Adherence]]=1, "Adherent","Non-Adherent")</f>
        <v>Adherent</v>
      </c>
      <c r="U366">
        <v>1</v>
      </c>
      <c r="V366" t="str">
        <f>IF(Table1[[#This Row],[Injury_Next_Season]]=1, "Injury","No Injury")</f>
        <v>Injury</v>
      </c>
      <c r="W366" s="3">
        <v>20.1994697639186</v>
      </c>
    </row>
    <row r="367" spans="1:23" x14ac:dyDescent="0.25">
      <c r="A367" s="6">
        <v>23</v>
      </c>
      <c r="B367" s="8" t="str">
        <f>CONCATENATE(Table1[[#This Row],[Age]]," ", "years")</f>
        <v>23 years</v>
      </c>
      <c r="C367">
        <v>174</v>
      </c>
      <c r="D367">
        <v>63</v>
      </c>
      <c r="E367" t="s">
        <v>22</v>
      </c>
      <c r="F367" s="3">
        <v>9.7027913626616602</v>
      </c>
      <c r="G367" s="3">
        <v>28</v>
      </c>
      <c r="H367">
        <v>3</v>
      </c>
      <c r="I367" s="3">
        <v>58.153651886205097</v>
      </c>
      <c r="J367" s="3">
        <v>65.479103155006399</v>
      </c>
      <c r="K367" s="3">
        <v>263.92947980484502</v>
      </c>
      <c r="L367" s="3">
        <v>79.799675532438997</v>
      </c>
      <c r="M367" s="3">
        <v>5.7762917203770403</v>
      </c>
      <c r="N367" s="3">
        <v>99.209450539679395</v>
      </c>
      <c r="O367" s="3">
        <v>6.9068573873190902</v>
      </c>
      <c r="P367" s="3">
        <v>50.758929152970801</v>
      </c>
      <c r="Q367" s="3">
        <v>69.343329431021701</v>
      </c>
      <c r="R367" s="3" t="str">
        <f>IF(Table1[[#This Row],[Nutrition_Quality_Score]]&lt;60, "Poor Nutrition",IF(AND(Table1[[#This Row],[Nutrition_Quality_Score]]&gt;=60,Table1[[#This Row],[Nutrition_Quality_Score]]&lt;=80),"Average Nutrition", "Good Nutrition"))</f>
        <v>Average Nutrition</v>
      </c>
      <c r="S367">
        <v>1</v>
      </c>
      <c r="T367" t="str">
        <f>IF(Table1[[#This Row],[Warmup_Routine_Adherence]]=1, "Adherent","Non-Adherent")</f>
        <v>Adherent</v>
      </c>
      <c r="U367">
        <v>1</v>
      </c>
      <c r="V367" t="str">
        <f>IF(Table1[[#This Row],[Injury_Next_Season]]=1, "Injury","No Injury")</f>
        <v>Injury</v>
      </c>
      <c r="W367" s="3">
        <v>20.808561236623</v>
      </c>
    </row>
    <row r="368" spans="1:23" x14ac:dyDescent="0.25">
      <c r="A368" s="6">
        <v>19</v>
      </c>
      <c r="B368" s="8" t="str">
        <f>CONCATENATE(Table1[[#This Row],[Age]]," ", "years")</f>
        <v>19 years</v>
      </c>
      <c r="C368">
        <v>177</v>
      </c>
      <c r="D368">
        <v>89</v>
      </c>
      <c r="E368" t="s">
        <v>20</v>
      </c>
      <c r="F368" s="3">
        <v>10.895289473760901</v>
      </c>
      <c r="G368" s="3">
        <v>5</v>
      </c>
      <c r="H368">
        <v>4</v>
      </c>
      <c r="I368" s="3">
        <v>59.256302710426503</v>
      </c>
      <c r="J368" s="3">
        <v>75.567495329053997</v>
      </c>
      <c r="K368" s="3">
        <v>275.01074088866602</v>
      </c>
      <c r="L368" s="3">
        <v>77.322846873052399</v>
      </c>
      <c r="M368" s="3">
        <v>5.3912032734109196</v>
      </c>
      <c r="N368" s="3">
        <v>83.299227839289003</v>
      </c>
      <c r="O368" s="3">
        <v>5.7883887609701397</v>
      </c>
      <c r="P368" s="3">
        <v>70.008568572005203</v>
      </c>
      <c r="Q368" s="3">
        <v>76.447051977157898</v>
      </c>
      <c r="R368" s="3" t="str">
        <f>IF(Table1[[#This Row],[Nutrition_Quality_Score]]&lt;60, "Poor Nutrition",IF(AND(Table1[[#This Row],[Nutrition_Quality_Score]]&gt;=60,Table1[[#This Row],[Nutrition_Quality_Score]]&lt;=80),"Average Nutrition", "Good Nutrition"))</f>
        <v>Average Nutrition</v>
      </c>
      <c r="S368">
        <v>0</v>
      </c>
      <c r="T368" t="str">
        <f>IF(Table1[[#This Row],[Warmup_Routine_Adherence]]=1, "Adherent","Non-Adherent")</f>
        <v>Non-Adherent</v>
      </c>
      <c r="U368">
        <v>1</v>
      </c>
      <c r="V368" t="str">
        <f>IF(Table1[[#This Row],[Injury_Next_Season]]=1, "Injury","No Injury")</f>
        <v>Injury</v>
      </c>
      <c r="W368" s="3">
        <v>28.408184110568399</v>
      </c>
    </row>
    <row r="369" spans="1:23" x14ac:dyDescent="0.25">
      <c r="A369" s="6">
        <v>22</v>
      </c>
      <c r="B369" s="8" t="str">
        <f>CONCATENATE(Table1[[#This Row],[Age]]," ", "years")</f>
        <v>22 years</v>
      </c>
      <c r="C369">
        <v>190</v>
      </c>
      <c r="D369">
        <v>68</v>
      </c>
      <c r="E369" t="s">
        <v>19</v>
      </c>
      <c r="F369" s="3">
        <v>8.5775138689909802</v>
      </c>
      <c r="G369" s="3">
        <v>32</v>
      </c>
      <c r="H369">
        <v>3</v>
      </c>
      <c r="I369" s="3">
        <v>71.063345698199001</v>
      </c>
      <c r="J369" s="3">
        <v>83.4386385798513</v>
      </c>
      <c r="K369" s="3">
        <v>292.26264283958398</v>
      </c>
      <c r="L369" s="3">
        <v>73.825034630330194</v>
      </c>
      <c r="M369" s="3">
        <v>5.7296771776152999</v>
      </c>
      <c r="N369" s="3">
        <v>71.741599332372402</v>
      </c>
      <c r="O369" s="3">
        <v>6.88216651469798</v>
      </c>
      <c r="P369" s="3">
        <v>63.1097913618568</v>
      </c>
      <c r="Q369" s="3">
        <v>95.5775270825023</v>
      </c>
      <c r="R369" s="3" t="str">
        <f>IF(Table1[[#This Row],[Nutrition_Quality_Score]]&lt;60, "Poor Nutrition",IF(AND(Table1[[#This Row],[Nutrition_Quality_Score]]&gt;=60,Table1[[#This Row],[Nutrition_Quality_Score]]&lt;=80),"Average Nutrition", "Good Nutrition"))</f>
        <v>Good Nutrition</v>
      </c>
      <c r="S369">
        <v>1</v>
      </c>
      <c r="T369" t="str">
        <f>IF(Table1[[#This Row],[Warmup_Routine_Adherence]]=1, "Adherent","Non-Adherent")</f>
        <v>Adherent</v>
      </c>
      <c r="U369">
        <v>1</v>
      </c>
      <c r="V369" t="str">
        <f>IF(Table1[[#This Row],[Injury_Next_Season]]=1, "Injury","No Injury")</f>
        <v>Injury</v>
      </c>
      <c r="W369" s="3">
        <v>18.836565096952899</v>
      </c>
    </row>
    <row r="370" spans="1:23" x14ac:dyDescent="0.25">
      <c r="A370" s="6">
        <v>24</v>
      </c>
      <c r="B370" s="8" t="str">
        <f>CONCATENATE(Table1[[#This Row],[Age]]," ", "years")</f>
        <v>24 years</v>
      </c>
      <c r="C370">
        <v>175</v>
      </c>
      <c r="D370">
        <v>57</v>
      </c>
      <c r="E370" t="s">
        <v>20</v>
      </c>
      <c r="F370" s="3">
        <v>7.6889879094462197</v>
      </c>
      <c r="G370" s="3">
        <v>9</v>
      </c>
      <c r="H370">
        <v>0</v>
      </c>
      <c r="I370" s="3">
        <v>77.136024442001897</v>
      </c>
      <c r="J370" s="3">
        <v>81.238278405190201</v>
      </c>
      <c r="K370" s="3">
        <v>251.156874871187</v>
      </c>
      <c r="L370" s="3">
        <v>90.902049978180003</v>
      </c>
      <c r="M370" s="3">
        <v>6.1268538273294997</v>
      </c>
      <c r="N370" s="3">
        <v>75.270639218961506</v>
      </c>
      <c r="O370" s="3">
        <v>8.7950993584055901</v>
      </c>
      <c r="P370" s="3">
        <v>53.963010981929102</v>
      </c>
      <c r="Q370" s="3">
        <v>76.472084636991198</v>
      </c>
      <c r="R370" s="3" t="str">
        <f>IF(Table1[[#This Row],[Nutrition_Quality_Score]]&lt;60, "Poor Nutrition",IF(AND(Table1[[#This Row],[Nutrition_Quality_Score]]&gt;=60,Table1[[#This Row],[Nutrition_Quality_Score]]&lt;=80),"Average Nutrition", "Good Nutrition"))</f>
        <v>Average Nutrition</v>
      </c>
      <c r="S370">
        <v>1</v>
      </c>
      <c r="T370" t="str">
        <f>IF(Table1[[#This Row],[Warmup_Routine_Adherence]]=1, "Adherent","Non-Adherent")</f>
        <v>Adherent</v>
      </c>
      <c r="U370">
        <v>0</v>
      </c>
      <c r="V370" t="str">
        <f>IF(Table1[[#This Row],[Injury_Next_Season]]=1, "Injury","No Injury")</f>
        <v>No Injury</v>
      </c>
      <c r="W370" s="3">
        <v>18.612244897959101</v>
      </c>
    </row>
    <row r="371" spans="1:23" x14ac:dyDescent="0.25">
      <c r="A371" s="6">
        <v>23</v>
      </c>
      <c r="B371" s="8" t="str">
        <f>CONCATENATE(Table1[[#This Row],[Age]]," ", "years")</f>
        <v>23 years</v>
      </c>
      <c r="C371">
        <v>182</v>
      </c>
      <c r="D371">
        <v>74</v>
      </c>
      <c r="E371" t="s">
        <v>19</v>
      </c>
      <c r="F371" s="3">
        <v>9.1750529769292299</v>
      </c>
      <c r="G371" s="3">
        <v>10</v>
      </c>
      <c r="H371">
        <v>3</v>
      </c>
      <c r="I371" s="3">
        <v>68.644171387920494</v>
      </c>
      <c r="J371" s="3">
        <v>79.070101843068002</v>
      </c>
      <c r="K371" s="3">
        <v>285.87318837221602</v>
      </c>
      <c r="L371" s="3">
        <v>84.656643045235597</v>
      </c>
      <c r="M371" s="3">
        <v>5.7985365327037304</v>
      </c>
      <c r="N371" s="3">
        <v>82.692091395962507</v>
      </c>
      <c r="O371" s="3">
        <v>5.7013198219150203</v>
      </c>
      <c r="P371" s="3">
        <v>77.265551345550804</v>
      </c>
      <c r="Q371" s="3">
        <v>71.5594372500221</v>
      </c>
      <c r="R371" s="3" t="str">
        <f>IF(Table1[[#This Row],[Nutrition_Quality_Score]]&lt;60, "Poor Nutrition",IF(AND(Table1[[#This Row],[Nutrition_Quality_Score]]&gt;=60,Table1[[#This Row],[Nutrition_Quality_Score]]&lt;=80),"Average Nutrition", "Good Nutrition"))</f>
        <v>Average Nutrition</v>
      </c>
      <c r="S371">
        <v>0</v>
      </c>
      <c r="T371" t="str">
        <f>IF(Table1[[#This Row],[Warmup_Routine_Adherence]]=1, "Adherent","Non-Adherent")</f>
        <v>Non-Adherent</v>
      </c>
      <c r="U371">
        <v>1</v>
      </c>
      <c r="V371" t="str">
        <f>IF(Table1[[#This Row],[Injury_Next_Season]]=1, "Injury","No Injury")</f>
        <v>Injury</v>
      </c>
      <c r="W371" s="3">
        <v>22.340297065571701</v>
      </c>
    </row>
    <row r="372" spans="1:23" x14ac:dyDescent="0.25">
      <c r="A372" s="6">
        <v>21</v>
      </c>
      <c r="B372" s="8" t="str">
        <f>CONCATENATE(Table1[[#This Row],[Age]]," ", "years")</f>
        <v>21 years</v>
      </c>
      <c r="C372">
        <v>185</v>
      </c>
      <c r="D372">
        <v>75</v>
      </c>
      <c r="E372" t="s">
        <v>21</v>
      </c>
      <c r="F372" s="3">
        <v>9.2429921911659498</v>
      </c>
      <c r="G372" s="3">
        <v>7</v>
      </c>
      <c r="H372">
        <v>3</v>
      </c>
      <c r="I372" s="3">
        <v>72.080143574548501</v>
      </c>
      <c r="J372" s="3">
        <v>75.9384963382591</v>
      </c>
      <c r="K372" s="3">
        <v>275.05514745975597</v>
      </c>
      <c r="L372" s="3">
        <v>75.097045085366304</v>
      </c>
      <c r="M372" s="3">
        <v>6.1161626052169096</v>
      </c>
      <c r="N372" s="3">
        <v>80.205342002509695</v>
      </c>
      <c r="O372" s="3">
        <v>7.2345831526217603</v>
      </c>
      <c r="P372" s="3">
        <v>52.261468758101898</v>
      </c>
      <c r="Q372" s="3">
        <v>79.236150350759004</v>
      </c>
      <c r="R372" s="3" t="str">
        <f>IF(Table1[[#This Row],[Nutrition_Quality_Score]]&lt;60, "Poor Nutrition",IF(AND(Table1[[#This Row],[Nutrition_Quality_Score]]&gt;=60,Table1[[#This Row],[Nutrition_Quality_Score]]&lt;=80),"Average Nutrition", "Good Nutrition"))</f>
        <v>Average Nutrition</v>
      </c>
      <c r="S372">
        <v>1</v>
      </c>
      <c r="T372" t="str">
        <f>IF(Table1[[#This Row],[Warmup_Routine_Adherence]]=1, "Adherent","Non-Adherent")</f>
        <v>Adherent</v>
      </c>
      <c r="U372">
        <v>1</v>
      </c>
      <c r="V372" t="str">
        <f>IF(Table1[[#This Row],[Injury_Next_Season]]=1, "Injury","No Injury")</f>
        <v>Injury</v>
      </c>
      <c r="W372" s="3">
        <v>21.9138056975894</v>
      </c>
    </row>
    <row r="373" spans="1:23" x14ac:dyDescent="0.25">
      <c r="A373" s="6">
        <v>24</v>
      </c>
      <c r="B373" s="8" t="str">
        <f>CONCATENATE(Table1[[#This Row],[Age]]," ", "years")</f>
        <v>24 years</v>
      </c>
      <c r="C373">
        <v>183</v>
      </c>
      <c r="D373">
        <v>69</v>
      </c>
      <c r="E373" t="s">
        <v>21</v>
      </c>
      <c r="F373" s="3">
        <v>9.2862579271621897</v>
      </c>
      <c r="G373" s="3">
        <v>5</v>
      </c>
      <c r="H373">
        <v>0</v>
      </c>
      <c r="I373" s="3">
        <v>78.6571833699754</v>
      </c>
      <c r="J373" s="3">
        <v>77.414151222003696</v>
      </c>
      <c r="K373" s="3">
        <v>231.32182478175201</v>
      </c>
      <c r="L373" s="3">
        <v>81.211001584201895</v>
      </c>
      <c r="M373" s="3">
        <v>5.9550629773284198</v>
      </c>
      <c r="N373" s="3">
        <v>95.382681138767893</v>
      </c>
      <c r="O373" s="3">
        <v>7.4173002638221099</v>
      </c>
      <c r="P373" s="3">
        <v>43.9426408734844</v>
      </c>
      <c r="Q373" s="3">
        <v>82.184152232683601</v>
      </c>
      <c r="R373" s="3" t="str">
        <f>IF(Table1[[#This Row],[Nutrition_Quality_Score]]&lt;60, "Poor Nutrition",IF(AND(Table1[[#This Row],[Nutrition_Quality_Score]]&gt;=60,Table1[[#This Row],[Nutrition_Quality_Score]]&lt;=80),"Average Nutrition", "Good Nutrition"))</f>
        <v>Good Nutrition</v>
      </c>
      <c r="S373">
        <v>1</v>
      </c>
      <c r="T373" t="str">
        <f>IF(Table1[[#This Row],[Warmup_Routine_Adherence]]=1, "Adherent","Non-Adherent")</f>
        <v>Adherent</v>
      </c>
      <c r="U373">
        <v>0</v>
      </c>
      <c r="V373" t="str">
        <f>IF(Table1[[#This Row],[Injury_Next_Season]]=1, "Injury","No Injury")</f>
        <v>No Injury</v>
      </c>
      <c r="W373" s="3">
        <v>20.603780345785101</v>
      </c>
    </row>
    <row r="374" spans="1:23" x14ac:dyDescent="0.25">
      <c r="A374" s="6">
        <v>21</v>
      </c>
      <c r="B374" s="8" t="str">
        <f>CONCATENATE(Table1[[#This Row],[Age]]," ", "years")</f>
        <v>21 years</v>
      </c>
      <c r="C374">
        <v>170</v>
      </c>
      <c r="D374">
        <v>47</v>
      </c>
      <c r="E374" t="s">
        <v>21</v>
      </c>
      <c r="F374" s="3">
        <v>9.55423246078281</v>
      </c>
      <c r="G374" s="3">
        <v>31</v>
      </c>
      <c r="H374">
        <v>4</v>
      </c>
      <c r="I374" s="3">
        <v>75.986515986992799</v>
      </c>
      <c r="J374" s="3">
        <v>73.890562983361605</v>
      </c>
      <c r="K374" s="3">
        <v>232.893492647996</v>
      </c>
      <c r="L374" s="3">
        <v>77.178463960634403</v>
      </c>
      <c r="M374" s="3">
        <v>6.08171810407429</v>
      </c>
      <c r="N374" s="3">
        <v>75.278034631852606</v>
      </c>
      <c r="O374" s="3">
        <v>7.2524375212432801</v>
      </c>
      <c r="P374" s="3">
        <v>59.506947371437903</v>
      </c>
      <c r="Q374" s="3">
        <v>60.617985876002798</v>
      </c>
      <c r="R374" s="3" t="str">
        <f>IF(Table1[[#This Row],[Nutrition_Quality_Score]]&lt;60, "Poor Nutrition",IF(AND(Table1[[#This Row],[Nutrition_Quality_Score]]&gt;=60,Table1[[#This Row],[Nutrition_Quality_Score]]&lt;=80),"Average Nutrition", "Good Nutrition"))</f>
        <v>Average Nutrition</v>
      </c>
      <c r="S374">
        <v>1</v>
      </c>
      <c r="T374" t="str">
        <f>IF(Table1[[#This Row],[Warmup_Routine_Adherence]]=1, "Adherent","Non-Adherent")</f>
        <v>Adherent</v>
      </c>
      <c r="U374">
        <v>1</v>
      </c>
      <c r="V374" t="str">
        <f>IF(Table1[[#This Row],[Injury_Next_Season]]=1, "Injury","No Injury")</f>
        <v>Injury</v>
      </c>
      <c r="W374" s="3">
        <v>16.2629757785467</v>
      </c>
    </row>
    <row r="375" spans="1:23" x14ac:dyDescent="0.25">
      <c r="A375" s="6">
        <v>22</v>
      </c>
      <c r="B375" s="8" t="str">
        <f>CONCATENATE(Table1[[#This Row],[Age]]," ", "years")</f>
        <v>22 years</v>
      </c>
      <c r="C375">
        <v>189</v>
      </c>
      <c r="D375">
        <v>76</v>
      </c>
      <c r="E375" t="s">
        <v>21</v>
      </c>
      <c r="F375" s="3">
        <v>12.8930475355184</v>
      </c>
      <c r="G375" s="3">
        <v>19</v>
      </c>
      <c r="H375">
        <v>4</v>
      </c>
      <c r="I375" s="3">
        <v>75.579325118460503</v>
      </c>
      <c r="J375" s="3">
        <v>74.5777221955735</v>
      </c>
      <c r="K375" s="3">
        <v>264.32268807040299</v>
      </c>
      <c r="L375" s="3">
        <v>76.5836070959121</v>
      </c>
      <c r="M375" s="3">
        <v>5.8995461464641696</v>
      </c>
      <c r="N375" s="3">
        <v>72.358483895530895</v>
      </c>
      <c r="O375" s="3">
        <v>5.8705950514029901</v>
      </c>
      <c r="P375" s="3">
        <v>48.930058914515001</v>
      </c>
      <c r="Q375" s="3">
        <v>83.073057235718196</v>
      </c>
      <c r="R375" s="3" t="str">
        <f>IF(Table1[[#This Row],[Nutrition_Quality_Score]]&lt;60, "Poor Nutrition",IF(AND(Table1[[#This Row],[Nutrition_Quality_Score]]&gt;=60,Table1[[#This Row],[Nutrition_Quality_Score]]&lt;=80),"Average Nutrition", "Good Nutrition"))</f>
        <v>Good Nutrition</v>
      </c>
      <c r="S375">
        <v>1</v>
      </c>
      <c r="T375" t="str">
        <f>IF(Table1[[#This Row],[Warmup_Routine_Adherence]]=1, "Adherent","Non-Adherent")</f>
        <v>Adherent</v>
      </c>
      <c r="U375">
        <v>1</v>
      </c>
      <c r="V375" t="str">
        <f>IF(Table1[[#This Row],[Injury_Next_Season]]=1, "Injury","No Injury")</f>
        <v>Injury</v>
      </c>
      <c r="W375" s="3">
        <v>21.276000111978899</v>
      </c>
    </row>
    <row r="376" spans="1:23" x14ac:dyDescent="0.25">
      <c r="A376" s="6">
        <v>21</v>
      </c>
      <c r="B376" s="8" t="str">
        <f>CONCATENATE(Table1[[#This Row],[Age]]," ", "years")</f>
        <v>21 years</v>
      </c>
      <c r="C376">
        <v>191</v>
      </c>
      <c r="D376">
        <v>83</v>
      </c>
      <c r="E376" t="s">
        <v>21</v>
      </c>
      <c r="F376" s="3">
        <v>7.0170027125499104</v>
      </c>
      <c r="G376" s="3">
        <v>35</v>
      </c>
      <c r="H376">
        <v>1</v>
      </c>
      <c r="I376" s="3">
        <v>78.589227572324504</v>
      </c>
      <c r="J376" s="3">
        <v>76.726355014352805</v>
      </c>
      <c r="K376" s="3">
        <v>291.77867379012201</v>
      </c>
      <c r="L376" s="3">
        <v>87.587988550498494</v>
      </c>
      <c r="M376" s="3">
        <v>5.73665542390982</v>
      </c>
      <c r="N376" s="3">
        <v>80.783594240539998</v>
      </c>
      <c r="O376" s="3">
        <v>7.8804274575782101</v>
      </c>
      <c r="P376" s="3">
        <v>68.949831226897103</v>
      </c>
      <c r="Q376" s="3">
        <v>73.915409678870205</v>
      </c>
      <c r="R376" s="3" t="str">
        <f>IF(Table1[[#This Row],[Nutrition_Quality_Score]]&lt;60, "Poor Nutrition",IF(AND(Table1[[#This Row],[Nutrition_Quality_Score]]&gt;=60,Table1[[#This Row],[Nutrition_Quality_Score]]&lt;=80),"Average Nutrition", "Good Nutrition"))</f>
        <v>Average Nutrition</v>
      </c>
      <c r="S376">
        <v>1</v>
      </c>
      <c r="T376" t="str">
        <f>IF(Table1[[#This Row],[Warmup_Routine_Adherence]]=1, "Adherent","Non-Adherent")</f>
        <v>Adherent</v>
      </c>
      <c r="U376">
        <v>1</v>
      </c>
      <c r="V376" t="str">
        <f>IF(Table1[[#This Row],[Injury_Next_Season]]=1, "Injury","No Injury")</f>
        <v>Injury</v>
      </c>
      <c r="W376" s="3">
        <v>22.751569310051799</v>
      </c>
    </row>
    <row r="377" spans="1:23" x14ac:dyDescent="0.25">
      <c r="A377" s="6">
        <v>22</v>
      </c>
      <c r="B377" s="8" t="str">
        <f>CONCATENATE(Table1[[#This Row],[Age]]," ", "years")</f>
        <v>22 years</v>
      </c>
      <c r="C377">
        <v>176</v>
      </c>
      <c r="D377">
        <v>59</v>
      </c>
      <c r="E377" t="s">
        <v>19</v>
      </c>
      <c r="F377" s="3">
        <v>8.1560297318176698</v>
      </c>
      <c r="G377" s="3">
        <v>16</v>
      </c>
      <c r="H377">
        <v>1</v>
      </c>
      <c r="I377" s="3">
        <v>83.452648749877795</v>
      </c>
      <c r="J377" s="3">
        <v>91.431085166187003</v>
      </c>
      <c r="K377" s="3">
        <v>247.09711110523301</v>
      </c>
      <c r="L377" s="3">
        <v>88.715894776681495</v>
      </c>
      <c r="M377" s="3">
        <v>6.7488610008269099</v>
      </c>
      <c r="N377" s="3">
        <v>76.828867174574896</v>
      </c>
      <c r="O377" s="3">
        <v>7.4281696350766602</v>
      </c>
      <c r="P377" s="3">
        <v>48.227829625339801</v>
      </c>
      <c r="Q377" s="3">
        <v>78.116620175526293</v>
      </c>
      <c r="R377" s="3" t="str">
        <f>IF(Table1[[#This Row],[Nutrition_Quality_Score]]&lt;60, "Poor Nutrition",IF(AND(Table1[[#This Row],[Nutrition_Quality_Score]]&gt;=60,Table1[[#This Row],[Nutrition_Quality_Score]]&lt;=80),"Average Nutrition", "Good Nutrition"))</f>
        <v>Average Nutrition</v>
      </c>
      <c r="S377">
        <v>1</v>
      </c>
      <c r="T377" t="str">
        <f>IF(Table1[[#This Row],[Warmup_Routine_Adherence]]=1, "Adherent","Non-Adherent")</f>
        <v>Adherent</v>
      </c>
      <c r="U377">
        <v>0</v>
      </c>
      <c r="V377" t="str">
        <f>IF(Table1[[#This Row],[Injury_Next_Season]]=1, "Injury","No Injury")</f>
        <v>No Injury</v>
      </c>
      <c r="W377" s="3">
        <v>19.0470041322314</v>
      </c>
    </row>
    <row r="378" spans="1:23" x14ac:dyDescent="0.25">
      <c r="A378" s="6">
        <v>24</v>
      </c>
      <c r="B378" s="8" t="str">
        <f>CONCATENATE(Table1[[#This Row],[Age]]," ", "years")</f>
        <v>24 years</v>
      </c>
      <c r="C378">
        <v>182</v>
      </c>
      <c r="D378">
        <v>82</v>
      </c>
      <c r="E378" t="s">
        <v>22</v>
      </c>
      <c r="F378" s="3">
        <v>10.065576532871299</v>
      </c>
      <c r="G378" s="3">
        <v>15</v>
      </c>
      <c r="H378">
        <v>1</v>
      </c>
      <c r="I378" s="3">
        <v>77.735066087909203</v>
      </c>
      <c r="J378" s="3">
        <v>87.447456446028099</v>
      </c>
      <c r="K378" s="3">
        <v>210.745351947339</v>
      </c>
      <c r="L378" s="3">
        <v>100</v>
      </c>
      <c r="M378" s="3">
        <v>5.9185310781660299</v>
      </c>
      <c r="N378" s="3">
        <v>89.773330916036002</v>
      </c>
      <c r="O378" s="3">
        <v>8.7924824649148103</v>
      </c>
      <c r="P378" s="3">
        <v>66.743371552379998</v>
      </c>
      <c r="Q378" s="3">
        <v>76.526505592402103</v>
      </c>
      <c r="R378" s="3" t="str">
        <f>IF(Table1[[#This Row],[Nutrition_Quality_Score]]&lt;60, "Poor Nutrition",IF(AND(Table1[[#This Row],[Nutrition_Quality_Score]]&gt;=60,Table1[[#This Row],[Nutrition_Quality_Score]]&lt;=80),"Average Nutrition", "Good Nutrition"))</f>
        <v>Average Nutrition</v>
      </c>
      <c r="S378">
        <v>1</v>
      </c>
      <c r="T378" t="str">
        <f>IF(Table1[[#This Row],[Warmup_Routine_Adherence]]=1, "Adherent","Non-Adherent")</f>
        <v>Adherent</v>
      </c>
      <c r="U378">
        <v>0</v>
      </c>
      <c r="V378" t="str">
        <f>IF(Table1[[#This Row],[Injury_Next_Season]]=1, "Injury","No Injury")</f>
        <v>No Injury</v>
      </c>
      <c r="W378" s="3">
        <v>24.755464315903801</v>
      </c>
    </row>
    <row r="379" spans="1:23" x14ac:dyDescent="0.25">
      <c r="A379" s="6">
        <v>20</v>
      </c>
      <c r="B379" s="8" t="str">
        <f>CONCATENATE(Table1[[#This Row],[Age]]," ", "years")</f>
        <v>20 years</v>
      </c>
      <c r="C379">
        <v>172</v>
      </c>
      <c r="D379">
        <v>72</v>
      </c>
      <c r="E379" t="s">
        <v>21</v>
      </c>
      <c r="F379" s="3">
        <v>9.0300970875593194</v>
      </c>
      <c r="G379" s="3">
        <v>32</v>
      </c>
      <c r="H379">
        <v>1</v>
      </c>
      <c r="I379" s="3">
        <v>86.661730245248506</v>
      </c>
      <c r="J379" s="3">
        <v>77.569748084620599</v>
      </c>
      <c r="K379" s="3">
        <v>272.82220526464602</v>
      </c>
      <c r="L379" s="3">
        <v>79.427143855482001</v>
      </c>
      <c r="M379" s="3">
        <v>5.9630426594246604</v>
      </c>
      <c r="N379" s="3">
        <v>74.154154655351803</v>
      </c>
      <c r="O379" s="3">
        <v>8.3744750564151502</v>
      </c>
      <c r="P379" s="3">
        <v>46.178231230856298</v>
      </c>
      <c r="Q379" s="3">
        <v>91.979108300368594</v>
      </c>
      <c r="R379" s="3" t="str">
        <f>IF(Table1[[#This Row],[Nutrition_Quality_Score]]&lt;60, "Poor Nutrition",IF(AND(Table1[[#This Row],[Nutrition_Quality_Score]]&gt;=60,Table1[[#This Row],[Nutrition_Quality_Score]]&lt;=80),"Average Nutrition", "Good Nutrition"))</f>
        <v>Good Nutrition</v>
      </c>
      <c r="S379">
        <v>1</v>
      </c>
      <c r="T379" t="str">
        <f>IF(Table1[[#This Row],[Warmup_Routine_Adherence]]=1, "Adherent","Non-Adherent")</f>
        <v>Adherent</v>
      </c>
      <c r="U379">
        <v>0</v>
      </c>
      <c r="V379" t="str">
        <f>IF(Table1[[#This Row],[Injury_Next_Season]]=1, "Injury","No Injury")</f>
        <v>No Injury</v>
      </c>
      <c r="W379" s="3">
        <v>24.3374797187669</v>
      </c>
    </row>
    <row r="380" spans="1:23" x14ac:dyDescent="0.25">
      <c r="A380" s="6">
        <v>21</v>
      </c>
      <c r="B380" s="8" t="str">
        <f>CONCATENATE(Table1[[#This Row],[Age]]," ", "years")</f>
        <v>21 years</v>
      </c>
      <c r="C380">
        <v>177</v>
      </c>
      <c r="D380">
        <v>60</v>
      </c>
      <c r="E380" t="s">
        <v>22</v>
      </c>
      <c r="F380" s="3">
        <v>11.766110244859</v>
      </c>
      <c r="G380" s="3">
        <v>38</v>
      </c>
      <c r="H380">
        <v>1</v>
      </c>
      <c r="I380" s="3">
        <v>74.916901759814607</v>
      </c>
      <c r="J380" s="3">
        <v>85.467067170204601</v>
      </c>
      <c r="K380" s="3">
        <v>232.93506914144999</v>
      </c>
      <c r="L380" s="3">
        <v>91.231722114082302</v>
      </c>
      <c r="M380" s="3">
        <v>5.8222925642185199</v>
      </c>
      <c r="N380" s="3">
        <v>75.113492913559995</v>
      </c>
      <c r="O380" s="3">
        <v>7.1543008663314396</v>
      </c>
      <c r="P380" s="3">
        <v>48.868480847747499</v>
      </c>
      <c r="Q380" s="3">
        <v>86.344079129852801</v>
      </c>
      <c r="R380" s="3" t="str">
        <f>IF(Table1[[#This Row],[Nutrition_Quality_Score]]&lt;60, "Poor Nutrition",IF(AND(Table1[[#This Row],[Nutrition_Quality_Score]]&gt;=60,Table1[[#This Row],[Nutrition_Quality_Score]]&lt;=80),"Average Nutrition", "Good Nutrition"))</f>
        <v>Good Nutrition</v>
      </c>
      <c r="S380">
        <v>0</v>
      </c>
      <c r="T380" t="str">
        <f>IF(Table1[[#This Row],[Warmup_Routine_Adherence]]=1, "Adherent","Non-Adherent")</f>
        <v>Non-Adherent</v>
      </c>
      <c r="U380">
        <v>0</v>
      </c>
      <c r="V380" t="str">
        <f>IF(Table1[[#This Row],[Injury_Next_Season]]=1, "Injury","No Injury")</f>
        <v>No Injury</v>
      </c>
      <c r="W380" s="3">
        <v>19.1515847936416</v>
      </c>
    </row>
    <row r="381" spans="1:23" x14ac:dyDescent="0.25">
      <c r="A381" s="6">
        <v>23</v>
      </c>
      <c r="B381" s="8" t="str">
        <f>CONCATENATE(Table1[[#This Row],[Age]]," ", "years")</f>
        <v>23 years</v>
      </c>
      <c r="C381">
        <v>177</v>
      </c>
      <c r="D381">
        <v>54</v>
      </c>
      <c r="E381" t="s">
        <v>19</v>
      </c>
      <c r="F381" s="3">
        <v>17.016367225335699</v>
      </c>
      <c r="G381" s="3">
        <v>19</v>
      </c>
      <c r="H381">
        <v>1</v>
      </c>
      <c r="I381" s="3">
        <v>64.849959812506398</v>
      </c>
      <c r="J381" s="3">
        <v>70.9745263820529</v>
      </c>
      <c r="K381" s="3">
        <v>284.007003850111</v>
      </c>
      <c r="L381" s="3">
        <v>72.941405562447301</v>
      </c>
      <c r="M381" s="3">
        <v>5.26903569936123</v>
      </c>
      <c r="N381" s="3">
        <v>60.332346067902698</v>
      </c>
      <c r="O381" s="3">
        <v>7.8104546825368999</v>
      </c>
      <c r="P381" s="3">
        <v>55.755540417994503</v>
      </c>
      <c r="Q381" s="3">
        <v>64.526041533731203</v>
      </c>
      <c r="R381" s="3" t="str">
        <f>IF(Table1[[#This Row],[Nutrition_Quality_Score]]&lt;60, "Poor Nutrition",IF(AND(Table1[[#This Row],[Nutrition_Quality_Score]]&gt;=60,Table1[[#This Row],[Nutrition_Quality_Score]]&lt;=80),"Average Nutrition", "Good Nutrition"))</f>
        <v>Average Nutrition</v>
      </c>
      <c r="S381">
        <v>1</v>
      </c>
      <c r="T381" t="str">
        <f>IF(Table1[[#This Row],[Warmup_Routine_Adherence]]=1, "Adherent","Non-Adherent")</f>
        <v>Adherent</v>
      </c>
      <c r="U381">
        <v>1</v>
      </c>
      <c r="V381" t="str">
        <f>IF(Table1[[#This Row],[Injury_Next_Season]]=1, "Injury","No Injury")</f>
        <v>Injury</v>
      </c>
      <c r="W381" s="3">
        <v>17.236426314277502</v>
      </c>
    </row>
    <row r="382" spans="1:23" x14ac:dyDescent="0.25">
      <c r="A382" s="6">
        <v>18</v>
      </c>
      <c r="B382" s="8" t="str">
        <f>CONCATENATE(Table1[[#This Row],[Age]]," ", "years")</f>
        <v>18 years</v>
      </c>
      <c r="C382">
        <v>181</v>
      </c>
      <c r="D382">
        <v>47</v>
      </c>
      <c r="E382" t="s">
        <v>21</v>
      </c>
      <c r="F382" s="3">
        <v>15.764136268488301</v>
      </c>
      <c r="G382" s="3">
        <v>39</v>
      </c>
      <c r="H382">
        <v>1</v>
      </c>
      <c r="I382" s="3">
        <v>77.211997966165598</v>
      </c>
      <c r="J382" s="3">
        <v>87.635284813896902</v>
      </c>
      <c r="K382" s="3">
        <v>207.736280361024</v>
      </c>
      <c r="L382" s="3">
        <v>80.235708702427004</v>
      </c>
      <c r="M382" s="3">
        <v>5.69787149862867</v>
      </c>
      <c r="N382" s="3">
        <v>79.917211060684593</v>
      </c>
      <c r="O382" s="3">
        <v>7.8356762029249802</v>
      </c>
      <c r="P382" s="3">
        <v>26.081605391300801</v>
      </c>
      <c r="Q382" s="3">
        <v>70.017740276582799</v>
      </c>
      <c r="R382" s="3" t="str">
        <f>IF(Table1[[#This Row],[Nutrition_Quality_Score]]&lt;60, "Poor Nutrition",IF(AND(Table1[[#This Row],[Nutrition_Quality_Score]]&gt;=60,Table1[[#This Row],[Nutrition_Quality_Score]]&lt;=80),"Average Nutrition", "Good Nutrition"))</f>
        <v>Average Nutrition</v>
      </c>
      <c r="S382">
        <v>1</v>
      </c>
      <c r="T382" t="str">
        <f>IF(Table1[[#This Row],[Warmup_Routine_Adherence]]=1, "Adherent","Non-Adherent")</f>
        <v>Adherent</v>
      </c>
      <c r="U382">
        <v>0</v>
      </c>
      <c r="V382" t="str">
        <f>IF(Table1[[#This Row],[Injury_Next_Season]]=1, "Injury","No Injury")</f>
        <v>No Injury</v>
      </c>
      <c r="W382" s="3">
        <v>14.3463264247123</v>
      </c>
    </row>
    <row r="383" spans="1:23" x14ac:dyDescent="0.25">
      <c r="A383" s="6">
        <v>24</v>
      </c>
      <c r="B383" s="8" t="str">
        <f>CONCATENATE(Table1[[#This Row],[Age]]," ", "years")</f>
        <v>24 years</v>
      </c>
      <c r="C383">
        <v>164</v>
      </c>
      <c r="D383">
        <v>93</v>
      </c>
      <c r="E383" t="s">
        <v>22</v>
      </c>
      <c r="F383" s="3">
        <v>12.7734725500273</v>
      </c>
      <c r="G383" s="3">
        <v>36</v>
      </c>
      <c r="H383">
        <v>2</v>
      </c>
      <c r="I383" s="3">
        <v>77.092131528348006</v>
      </c>
      <c r="J383" s="3">
        <v>75.575401250457404</v>
      </c>
      <c r="K383" s="3">
        <v>247.56881580020399</v>
      </c>
      <c r="L383" s="3">
        <v>79.587813195350193</v>
      </c>
      <c r="M383" s="3">
        <v>5.6572564629247699</v>
      </c>
      <c r="N383" s="3">
        <v>81.6841228138491</v>
      </c>
      <c r="O383" s="3">
        <v>5.8466370737263196</v>
      </c>
      <c r="P383" s="3">
        <v>62.263900368786103</v>
      </c>
      <c r="Q383" s="3">
        <v>78.880845859807494</v>
      </c>
      <c r="R383" s="3" t="str">
        <f>IF(Table1[[#This Row],[Nutrition_Quality_Score]]&lt;60, "Poor Nutrition",IF(AND(Table1[[#This Row],[Nutrition_Quality_Score]]&gt;=60,Table1[[#This Row],[Nutrition_Quality_Score]]&lt;=80),"Average Nutrition", "Good Nutrition"))</f>
        <v>Average Nutrition</v>
      </c>
      <c r="S383">
        <v>1</v>
      </c>
      <c r="T383" t="str">
        <f>IF(Table1[[#This Row],[Warmup_Routine_Adherence]]=1, "Adherent","Non-Adherent")</f>
        <v>Adherent</v>
      </c>
      <c r="U383">
        <v>1</v>
      </c>
      <c r="V383" t="str">
        <f>IF(Table1[[#This Row],[Injury_Next_Season]]=1, "Injury","No Injury")</f>
        <v>Injury</v>
      </c>
      <c r="W383" s="3">
        <v>34.577632361689403</v>
      </c>
    </row>
    <row r="384" spans="1:23" x14ac:dyDescent="0.25">
      <c r="A384" s="6">
        <v>20</v>
      </c>
      <c r="B384" s="8" t="str">
        <f>CONCATENATE(Table1[[#This Row],[Age]]," ", "years")</f>
        <v>20 years</v>
      </c>
      <c r="C384">
        <v>182</v>
      </c>
      <c r="D384">
        <v>84</v>
      </c>
      <c r="E384" t="s">
        <v>20</v>
      </c>
      <c r="F384" s="3">
        <v>11.560313722130999</v>
      </c>
      <c r="G384" s="3">
        <v>21</v>
      </c>
      <c r="H384">
        <v>0</v>
      </c>
      <c r="I384" s="3">
        <v>67.2647334037391</v>
      </c>
      <c r="J384" s="3">
        <v>70.056155561901605</v>
      </c>
      <c r="K384" s="3">
        <v>249.943663771302</v>
      </c>
      <c r="L384" s="3">
        <v>83.167484265621198</v>
      </c>
      <c r="M384" s="3">
        <v>6.3435030935680503</v>
      </c>
      <c r="N384" s="3">
        <v>83.573188027460702</v>
      </c>
      <c r="O384" s="3">
        <v>6.75073773339422</v>
      </c>
      <c r="P384" s="3">
        <v>64.164052245220603</v>
      </c>
      <c r="Q384" s="3">
        <v>59.255599870115802</v>
      </c>
      <c r="R384" s="3" t="str">
        <f>IF(Table1[[#This Row],[Nutrition_Quality_Score]]&lt;60, "Poor Nutrition",IF(AND(Table1[[#This Row],[Nutrition_Quality_Score]]&gt;=60,Table1[[#This Row],[Nutrition_Quality_Score]]&lt;=80),"Average Nutrition", "Good Nutrition"))</f>
        <v>Poor Nutrition</v>
      </c>
      <c r="S384">
        <v>0</v>
      </c>
      <c r="T384" t="str">
        <f>IF(Table1[[#This Row],[Warmup_Routine_Adherence]]=1, "Adherent","Non-Adherent")</f>
        <v>Non-Adherent</v>
      </c>
      <c r="U384">
        <v>1</v>
      </c>
      <c r="V384" t="str">
        <f>IF(Table1[[#This Row],[Injury_Next_Season]]=1, "Injury","No Injury")</f>
        <v>Injury</v>
      </c>
      <c r="W384" s="3">
        <v>25.359256128486798</v>
      </c>
    </row>
    <row r="385" spans="1:23" x14ac:dyDescent="0.25">
      <c r="A385" s="6">
        <v>19</v>
      </c>
      <c r="B385" s="8" t="str">
        <f>CONCATENATE(Table1[[#This Row],[Age]]," ", "years")</f>
        <v>19 years</v>
      </c>
      <c r="C385">
        <v>186</v>
      </c>
      <c r="D385">
        <v>63</v>
      </c>
      <c r="E385" t="s">
        <v>22</v>
      </c>
      <c r="F385" s="3">
        <v>5.7354392915272996</v>
      </c>
      <c r="G385" s="3">
        <v>24</v>
      </c>
      <c r="H385">
        <v>1</v>
      </c>
      <c r="I385" s="3">
        <v>80.970812826733095</v>
      </c>
      <c r="J385" s="3">
        <v>83.658439921104105</v>
      </c>
      <c r="K385" s="3">
        <v>243.21882394285601</v>
      </c>
      <c r="L385" s="3">
        <v>94.1154151799863</v>
      </c>
      <c r="M385" s="3">
        <v>5.9072025722627899</v>
      </c>
      <c r="N385" s="3">
        <v>91.376100278896502</v>
      </c>
      <c r="O385" s="3">
        <v>8.2456015027380705</v>
      </c>
      <c r="P385" s="3">
        <v>41.583760843594703</v>
      </c>
      <c r="Q385" s="3">
        <v>80.489924137890199</v>
      </c>
      <c r="R385" s="3" t="str">
        <f>IF(Table1[[#This Row],[Nutrition_Quality_Score]]&lt;60, "Poor Nutrition",IF(AND(Table1[[#This Row],[Nutrition_Quality_Score]]&gt;=60,Table1[[#This Row],[Nutrition_Quality_Score]]&lt;=80),"Average Nutrition", "Good Nutrition"))</f>
        <v>Good Nutrition</v>
      </c>
      <c r="S385">
        <v>1</v>
      </c>
      <c r="T385" t="str">
        <f>IF(Table1[[#This Row],[Warmup_Routine_Adherence]]=1, "Adherent","Non-Adherent")</f>
        <v>Adherent</v>
      </c>
      <c r="U385">
        <v>0</v>
      </c>
      <c r="V385" t="str">
        <f>IF(Table1[[#This Row],[Injury_Next_Season]]=1, "Injury","No Injury")</f>
        <v>No Injury</v>
      </c>
      <c r="W385" s="3">
        <v>18.210197710717999</v>
      </c>
    </row>
    <row r="386" spans="1:23" x14ac:dyDescent="0.25">
      <c r="A386" s="6">
        <v>24</v>
      </c>
      <c r="B386" s="8" t="str">
        <f>CONCATENATE(Table1[[#This Row],[Age]]," ", "years")</f>
        <v>24 years</v>
      </c>
      <c r="C386">
        <v>180</v>
      </c>
      <c r="D386">
        <v>81</v>
      </c>
      <c r="E386" t="s">
        <v>22</v>
      </c>
      <c r="F386" s="3">
        <v>11.850612316342801</v>
      </c>
      <c r="G386" s="3">
        <v>12</v>
      </c>
      <c r="H386">
        <v>0</v>
      </c>
      <c r="I386" s="3">
        <v>71.219353983405</v>
      </c>
      <c r="J386" s="3">
        <v>86.762452307767205</v>
      </c>
      <c r="K386" s="3">
        <v>227.903919993345</v>
      </c>
      <c r="L386" s="3">
        <v>87.747590017769994</v>
      </c>
      <c r="M386" s="3">
        <v>6.3428179686492703</v>
      </c>
      <c r="N386" s="3">
        <v>83.686981311820006</v>
      </c>
      <c r="O386" s="3">
        <v>8.1082679054054996</v>
      </c>
      <c r="P386" s="3">
        <v>42.588173025344602</v>
      </c>
      <c r="Q386" s="3">
        <v>71.938949444676695</v>
      </c>
      <c r="R386" s="3" t="str">
        <f>IF(Table1[[#This Row],[Nutrition_Quality_Score]]&lt;60, "Poor Nutrition",IF(AND(Table1[[#This Row],[Nutrition_Quality_Score]]&gt;=60,Table1[[#This Row],[Nutrition_Quality_Score]]&lt;=80),"Average Nutrition", "Good Nutrition"))</f>
        <v>Average Nutrition</v>
      </c>
      <c r="S386">
        <v>0</v>
      </c>
      <c r="T386" t="str">
        <f>IF(Table1[[#This Row],[Warmup_Routine_Adherence]]=1, "Adherent","Non-Adherent")</f>
        <v>Non-Adherent</v>
      </c>
      <c r="U386">
        <v>0</v>
      </c>
      <c r="V386" t="str">
        <f>IF(Table1[[#This Row],[Injury_Next_Season]]=1, "Injury","No Injury")</f>
        <v>No Injury</v>
      </c>
      <c r="W386" s="3">
        <v>25</v>
      </c>
    </row>
    <row r="387" spans="1:23" x14ac:dyDescent="0.25">
      <c r="A387" s="6">
        <v>18</v>
      </c>
      <c r="B387" s="8" t="str">
        <f>CONCATENATE(Table1[[#This Row],[Age]]," ", "years")</f>
        <v>18 years</v>
      </c>
      <c r="C387">
        <v>178</v>
      </c>
      <c r="D387">
        <v>75</v>
      </c>
      <c r="E387" t="s">
        <v>21</v>
      </c>
      <c r="F387" s="3">
        <v>8.1501419162745599</v>
      </c>
      <c r="G387" s="3">
        <v>27</v>
      </c>
      <c r="H387">
        <v>1</v>
      </c>
      <c r="I387" s="3">
        <v>75.671354199613305</v>
      </c>
      <c r="J387" s="3">
        <v>80.775229624875195</v>
      </c>
      <c r="K387" s="3">
        <v>250.19353687002101</v>
      </c>
      <c r="L387" s="3">
        <v>93.427874660301995</v>
      </c>
      <c r="M387" s="3">
        <v>5.5484515478521397</v>
      </c>
      <c r="N387" s="3">
        <v>70.496079976416596</v>
      </c>
      <c r="O387" s="3">
        <v>7.2347323877402197</v>
      </c>
      <c r="P387" s="3">
        <v>50.0388336641442</v>
      </c>
      <c r="Q387" s="3">
        <v>74.533891942486605</v>
      </c>
      <c r="R387" s="3" t="str">
        <f>IF(Table1[[#This Row],[Nutrition_Quality_Score]]&lt;60, "Poor Nutrition",IF(AND(Table1[[#This Row],[Nutrition_Quality_Score]]&gt;=60,Table1[[#This Row],[Nutrition_Quality_Score]]&lt;=80),"Average Nutrition", "Good Nutrition"))</f>
        <v>Average Nutrition</v>
      </c>
      <c r="S387">
        <v>1</v>
      </c>
      <c r="T387" t="str">
        <f>IF(Table1[[#This Row],[Warmup_Routine_Adherence]]=1, "Adherent","Non-Adherent")</f>
        <v>Adherent</v>
      </c>
      <c r="U387">
        <v>0</v>
      </c>
      <c r="V387" t="str">
        <f>IF(Table1[[#This Row],[Injury_Next_Season]]=1, "Injury","No Injury")</f>
        <v>No Injury</v>
      </c>
      <c r="W387" s="3">
        <v>23.671253629592201</v>
      </c>
    </row>
    <row r="388" spans="1:23" x14ac:dyDescent="0.25">
      <c r="A388" s="6">
        <v>19</v>
      </c>
      <c r="B388" s="8" t="str">
        <f>CONCATENATE(Table1[[#This Row],[Age]]," ", "years")</f>
        <v>19 years</v>
      </c>
      <c r="C388">
        <v>175</v>
      </c>
      <c r="D388">
        <v>83</v>
      </c>
      <c r="E388" t="s">
        <v>21</v>
      </c>
      <c r="F388" s="3">
        <v>5.2800313257935798</v>
      </c>
      <c r="G388" s="3">
        <v>34</v>
      </c>
      <c r="H388">
        <v>4</v>
      </c>
      <c r="I388" s="3">
        <v>61.6271916415593</v>
      </c>
      <c r="J388" s="3">
        <v>79.846538432324294</v>
      </c>
      <c r="K388" s="3">
        <v>265.092083233876</v>
      </c>
      <c r="L388" s="3">
        <v>87.955081546870403</v>
      </c>
      <c r="M388" s="3">
        <v>6.1253889356120501</v>
      </c>
      <c r="N388" s="3">
        <v>77.332497237600904</v>
      </c>
      <c r="O388" s="3">
        <v>7.3021146092403901</v>
      </c>
      <c r="P388" s="3">
        <v>67.129994507829196</v>
      </c>
      <c r="Q388" s="3">
        <v>77.929695762545606</v>
      </c>
      <c r="R388" s="3" t="str">
        <f>IF(Table1[[#This Row],[Nutrition_Quality_Score]]&lt;60, "Poor Nutrition",IF(AND(Table1[[#This Row],[Nutrition_Quality_Score]]&gt;=60,Table1[[#This Row],[Nutrition_Quality_Score]]&lt;=80),"Average Nutrition", "Good Nutrition"))</f>
        <v>Average Nutrition</v>
      </c>
      <c r="S388">
        <v>0</v>
      </c>
      <c r="T388" t="str">
        <f>IF(Table1[[#This Row],[Warmup_Routine_Adherence]]=1, "Adherent","Non-Adherent")</f>
        <v>Non-Adherent</v>
      </c>
      <c r="U388">
        <v>1</v>
      </c>
      <c r="V388" t="str">
        <f>IF(Table1[[#This Row],[Injury_Next_Season]]=1, "Injury","No Injury")</f>
        <v>Injury</v>
      </c>
      <c r="W388" s="3">
        <v>27.1020408163265</v>
      </c>
    </row>
    <row r="389" spans="1:23" x14ac:dyDescent="0.25">
      <c r="A389" s="6">
        <v>24</v>
      </c>
      <c r="B389" s="8" t="str">
        <f>CONCATENATE(Table1[[#This Row],[Age]]," ", "years")</f>
        <v>24 years</v>
      </c>
      <c r="C389">
        <v>165</v>
      </c>
      <c r="D389">
        <v>63</v>
      </c>
      <c r="E389" t="s">
        <v>19</v>
      </c>
      <c r="F389" s="3">
        <v>10.223171336649299</v>
      </c>
      <c r="G389" s="3">
        <v>29</v>
      </c>
      <c r="H389">
        <v>2</v>
      </c>
      <c r="I389" s="3">
        <v>67.6952362671299</v>
      </c>
      <c r="J389" s="3">
        <v>75.545956690682402</v>
      </c>
      <c r="K389" s="3">
        <v>280.79561726783197</v>
      </c>
      <c r="L389" s="3">
        <v>79.050092401975206</v>
      </c>
      <c r="M389" s="3">
        <v>5.6161587591901396</v>
      </c>
      <c r="N389" s="3">
        <v>68.979966100702399</v>
      </c>
      <c r="O389" s="3">
        <v>5.2890227859556997</v>
      </c>
      <c r="P389" s="3">
        <v>60.8812381585699</v>
      </c>
      <c r="Q389" s="3">
        <v>84.903392155042496</v>
      </c>
      <c r="R389" s="3" t="str">
        <f>IF(Table1[[#This Row],[Nutrition_Quality_Score]]&lt;60, "Poor Nutrition",IF(AND(Table1[[#This Row],[Nutrition_Quality_Score]]&gt;=60,Table1[[#This Row],[Nutrition_Quality_Score]]&lt;=80),"Average Nutrition", "Good Nutrition"))</f>
        <v>Good Nutrition</v>
      </c>
      <c r="S389">
        <v>1</v>
      </c>
      <c r="T389" t="str">
        <f>IF(Table1[[#This Row],[Warmup_Routine_Adherence]]=1, "Adherent","Non-Adherent")</f>
        <v>Adherent</v>
      </c>
      <c r="U389">
        <v>1</v>
      </c>
      <c r="V389" t="str">
        <f>IF(Table1[[#This Row],[Injury_Next_Season]]=1, "Injury","No Injury")</f>
        <v>Injury</v>
      </c>
      <c r="W389" s="3">
        <v>23.1404958677685</v>
      </c>
    </row>
    <row r="390" spans="1:23" x14ac:dyDescent="0.25">
      <c r="A390" s="6">
        <v>22</v>
      </c>
      <c r="B390" s="8" t="str">
        <f>CONCATENATE(Table1[[#This Row],[Age]]," ", "years")</f>
        <v>22 years</v>
      </c>
      <c r="C390">
        <v>176</v>
      </c>
      <c r="D390">
        <v>60</v>
      </c>
      <c r="E390" t="s">
        <v>22</v>
      </c>
      <c r="F390" s="3">
        <v>11.4848047171315</v>
      </c>
      <c r="G390" s="3">
        <v>30</v>
      </c>
      <c r="H390">
        <v>1</v>
      </c>
      <c r="I390" s="3">
        <v>84.419539194985305</v>
      </c>
      <c r="J390" s="3">
        <v>72.295233084911601</v>
      </c>
      <c r="K390" s="3">
        <v>235.15957117774099</v>
      </c>
      <c r="L390" s="3">
        <v>88.883902044908695</v>
      </c>
      <c r="M390" s="3">
        <v>5.9121155756112396</v>
      </c>
      <c r="N390" s="3">
        <v>87.391674105377803</v>
      </c>
      <c r="O390" s="3">
        <v>8.3844201836717005</v>
      </c>
      <c r="P390" s="3">
        <v>45.902041457625501</v>
      </c>
      <c r="Q390" s="3">
        <v>91.948783407945797</v>
      </c>
      <c r="R390" s="3" t="str">
        <f>IF(Table1[[#This Row],[Nutrition_Quality_Score]]&lt;60, "Poor Nutrition",IF(AND(Table1[[#This Row],[Nutrition_Quality_Score]]&gt;=60,Table1[[#This Row],[Nutrition_Quality_Score]]&lt;=80),"Average Nutrition", "Good Nutrition"))</f>
        <v>Good Nutrition</v>
      </c>
      <c r="S390">
        <v>0</v>
      </c>
      <c r="T390" t="str">
        <f>IF(Table1[[#This Row],[Warmup_Routine_Adherence]]=1, "Adherent","Non-Adherent")</f>
        <v>Non-Adherent</v>
      </c>
      <c r="U390">
        <v>0</v>
      </c>
      <c r="V390" t="str">
        <f>IF(Table1[[#This Row],[Injury_Next_Season]]=1, "Injury","No Injury")</f>
        <v>No Injury</v>
      </c>
      <c r="W390" s="3">
        <v>19.369834710743799</v>
      </c>
    </row>
    <row r="391" spans="1:23" x14ac:dyDescent="0.25">
      <c r="A391" s="6">
        <v>24</v>
      </c>
      <c r="B391" s="8" t="str">
        <f>CONCATENATE(Table1[[#This Row],[Age]]," ", "years")</f>
        <v>24 years</v>
      </c>
      <c r="C391">
        <v>182</v>
      </c>
      <c r="D391">
        <v>77</v>
      </c>
      <c r="E391" t="s">
        <v>20</v>
      </c>
      <c r="F391" s="3">
        <v>9.6472460572641694</v>
      </c>
      <c r="G391" s="3">
        <v>36</v>
      </c>
      <c r="H391">
        <v>1</v>
      </c>
      <c r="I391" s="3">
        <v>74.853973854892502</v>
      </c>
      <c r="J391" s="3">
        <v>74.982544153727204</v>
      </c>
      <c r="K391" s="3">
        <v>249.03041395380399</v>
      </c>
      <c r="L391" s="3">
        <v>78.607144200182404</v>
      </c>
      <c r="M391" s="3">
        <v>5.6703228406629398</v>
      </c>
      <c r="N391" s="3">
        <v>67.262038605918903</v>
      </c>
      <c r="O391" s="3">
        <v>7.3298256837698599</v>
      </c>
      <c r="P391" s="3">
        <v>60.153231813530397</v>
      </c>
      <c r="Q391" s="3">
        <v>69.333350129060804</v>
      </c>
      <c r="R391" s="3" t="str">
        <f>IF(Table1[[#This Row],[Nutrition_Quality_Score]]&lt;60, "Poor Nutrition",IF(AND(Table1[[#This Row],[Nutrition_Quality_Score]]&gt;=60,Table1[[#This Row],[Nutrition_Quality_Score]]&lt;=80),"Average Nutrition", "Good Nutrition"))</f>
        <v>Average Nutrition</v>
      </c>
      <c r="S391">
        <v>1</v>
      </c>
      <c r="T391" t="str">
        <f>IF(Table1[[#This Row],[Warmup_Routine_Adherence]]=1, "Adherent","Non-Adherent")</f>
        <v>Adherent</v>
      </c>
      <c r="U391">
        <v>1</v>
      </c>
      <c r="V391" t="str">
        <f>IF(Table1[[#This Row],[Injury_Next_Season]]=1, "Injury","No Injury")</f>
        <v>Injury</v>
      </c>
      <c r="W391" s="3">
        <v>23.2459847844463</v>
      </c>
    </row>
    <row r="392" spans="1:23" x14ac:dyDescent="0.25">
      <c r="A392" s="6">
        <v>21</v>
      </c>
      <c r="B392" s="8" t="str">
        <f>CONCATENATE(Table1[[#This Row],[Age]]," ", "years")</f>
        <v>21 years</v>
      </c>
      <c r="C392">
        <v>159</v>
      </c>
      <c r="D392">
        <v>69</v>
      </c>
      <c r="E392" t="s">
        <v>19</v>
      </c>
      <c r="F392" s="3">
        <v>10.8697127887859</v>
      </c>
      <c r="G392" s="3">
        <v>33</v>
      </c>
      <c r="H392">
        <v>2</v>
      </c>
      <c r="I392" s="3">
        <v>82.731509512111799</v>
      </c>
      <c r="J392" s="3">
        <v>79.228790468788702</v>
      </c>
      <c r="K392" s="3">
        <v>245.93550037835701</v>
      </c>
      <c r="L392" s="3">
        <v>88.789368753223101</v>
      </c>
      <c r="M392" s="3">
        <v>6.1919303353115902</v>
      </c>
      <c r="N392" s="3">
        <v>69.182919974994505</v>
      </c>
      <c r="O392" s="3">
        <v>7.6341364693496301</v>
      </c>
      <c r="P392" s="3">
        <v>44.440137574974401</v>
      </c>
      <c r="Q392" s="3">
        <v>75.106701352348793</v>
      </c>
      <c r="R392" s="3" t="str">
        <f>IF(Table1[[#This Row],[Nutrition_Quality_Score]]&lt;60, "Poor Nutrition",IF(AND(Table1[[#This Row],[Nutrition_Quality_Score]]&gt;=60,Table1[[#This Row],[Nutrition_Quality_Score]]&lt;=80),"Average Nutrition", "Good Nutrition"))</f>
        <v>Average Nutrition</v>
      </c>
      <c r="S392">
        <v>1</v>
      </c>
      <c r="T392" t="str">
        <f>IF(Table1[[#This Row],[Warmup_Routine_Adherence]]=1, "Adherent","Non-Adherent")</f>
        <v>Adherent</v>
      </c>
      <c r="U392">
        <v>0</v>
      </c>
      <c r="V392" t="str">
        <f>IF(Table1[[#This Row],[Injury_Next_Season]]=1, "Injury","No Injury")</f>
        <v>No Injury</v>
      </c>
      <c r="W392" s="3">
        <v>27.293224160436601</v>
      </c>
    </row>
    <row r="393" spans="1:23" x14ac:dyDescent="0.25">
      <c r="A393" s="6">
        <v>21</v>
      </c>
      <c r="B393" s="8" t="str">
        <f>CONCATENATE(Table1[[#This Row],[Age]]," ", "years")</f>
        <v>21 years</v>
      </c>
      <c r="C393">
        <v>176</v>
      </c>
      <c r="D393">
        <v>85</v>
      </c>
      <c r="E393" t="s">
        <v>21</v>
      </c>
      <c r="F393" s="3">
        <v>7.9864937608967503</v>
      </c>
      <c r="G393" s="3">
        <v>31</v>
      </c>
      <c r="H393">
        <v>2</v>
      </c>
      <c r="I393" s="3">
        <v>82.407633976252299</v>
      </c>
      <c r="J393" s="3">
        <v>86.544787587566205</v>
      </c>
      <c r="K393" s="3">
        <v>242.56471342629499</v>
      </c>
      <c r="L393" s="3">
        <v>90.157686208190597</v>
      </c>
      <c r="M393" s="3">
        <v>6.2390746940572201</v>
      </c>
      <c r="N393" s="3">
        <v>71.504530488207294</v>
      </c>
      <c r="O393" s="3">
        <v>8.1002900393446993</v>
      </c>
      <c r="P393" s="3">
        <v>45.469778478931502</v>
      </c>
      <c r="Q393" s="3">
        <v>77.930874348961098</v>
      </c>
      <c r="R393" s="3" t="str">
        <f>IF(Table1[[#This Row],[Nutrition_Quality_Score]]&lt;60, "Poor Nutrition",IF(AND(Table1[[#This Row],[Nutrition_Quality_Score]]&gt;=60,Table1[[#This Row],[Nutrition_Quality_Score]]&lt;=80),"Average Nutrition", "Good Nutrition"))</f>
        <v>Average Nutrition</v>
      </c>
      <c r="S393">
        <v>1</v>
      </c>
      <c r="T393" t="str">
        <f>IF(Table1[[#This Row],[Warmup_Routine_Adherence]]=1, "Adherent","Non-Adherent")</f>
        <v>Adherent</v>
      </c>
      <c r="U393">
        <v>0</v>
      </c>
      <c r="V393" t="str">
        <f>IF(Table1[[#This Row],[Injury_Next_Season]]=1, "Injury","No Injury")</f>
        <v>No Injury</v>
      </c>
      <c r="W393" s="3">
        <v>27.4405991735537</v>
      </c>
    </row>
    <row r="394" spans="1:23" x14ac:dyDescent="0.25">
      <c r="A394" s="6">
        <v>23</v>
      </c>
      <c r="B394" s="8" t="str">
        <f>CONCATENATE(Table1[[#This Row],[Age]]," ", "years")</f>
        <v>23 years</v>
      </c>
      <c r="C394">
        <v>191</v>
      </c>
      <c r="D394">
        <v>69</v>
      </c>
      <c r="E394" t="s">
        <v>20</v>
      </c>
      <c r="F394" s="3">
        <v>12.680812960816001</v>
      </c>
      <c r="G394" s="3">
        <v>35</v>
      </c>
      <c r="H394">
        <v>1</v>
      </c>
      <c r="I394" s="3">
        <v>82.3864898497919</v>
      </c>
      <c r="J394" s="3">
        <v>85.850626509195706</v>
      </c>
      <c r="K394" s="3">
        <v>242.13863805776401</v>
      </c>
      <c r="L394" s="3">
        <v>88.692592044832395</v>
      </c>
      <c r="M394" s="3">
        <v>6.1726895314498096</v>
      </c>
      <c r="N394" s="3">
        <v>86.884593923221004</v>
      </c>
      <c r="O394" s="3">
        <v>8.7545725768412801</v>
      </c>
      <c r="P394" s="3">
        <v>53.172696012898498</v>
      </c>
      <c r="Q394" s="3">
        <v>86.952254575608805</v>
      </c>
      <c r="R394" s="3" t="str">
        <f>IF(Table1[[#This Row],[Nutrition_Quality_Score]]&lt;60, "Poor Nutrition",IF(AND(Table1[[#This Row],[Nutrition_Quality_Score]]&gt;=60,Table1[[#This Row],[Nutrition_Quality_Score]]&lt;=80),"Average Nutrition", "Good Nutrition"))</f>
        <v>Good Nutrition</v>
      </c>
      <c r="S394">
        <v>1</v>
      </c>
      <c r="T394" t="str">
        <f>IF(Table1[[#This Row],[Warmup_Routine_Adherence]]=1, "Adherent","Non-Adherent")</f>
        <v>Adherent</v>
      </c>
      <c r="U394">
        <v>0</v>
      </c>
      <c r="V394" t="str">
        <f>IF(Table1[[#This Row],[Injury_Next_Season]]=1, "Injury","No Injury")</f>
        <v>No Injury</v>
      </c>
      <c r="W394" s="3">
        <v>18.913955209561099</v>
      </c>
    </row>
    <row r="395" spans="1:23" x14ac:dyDescent="0.25">
      <c r="A395" s="6">
        <v>19</v>
      </c>
      <c r="B395" s="8" t="str">
        <f>CONCATENATE(Table1[[#This Row],[Age]]," ", "years")</f>
        <v>19 years</v>
      </c>
      <c r="C395">
        <v>165</v>
      </c>
      <c r="D395">
        <v>69</v>
      </c>
      <c r="E395" t="s">
        <v>22</v>
      </c>
      <c r="F395" s="3">
        <v>15.7680968347399</v>
      </c>
      <c r="G395" s="3">
        <v>17</v>
      </c>
      <c r="H395">
        <v>1</v>
      </c>
      <c r="I395" s="3">
        <v>81.776436950256198</v>
      </c>
      <c r="J395" s="3">
        <v>84.165548194973496</v>
      </c>
      <c r="K395" s="3">
        <v>242.29786394735399</v>
      </c>
      <c r="L395" s="3">
        <v>81.907311987751896</v>
      </c>
      <c r="M395" s="3">
        <v>6.1368643918218497</v>
      </c>
      <c r="N395" s="3">
        <v>84.1251518384002</v>
      </c>
      <c r="O395" s="3">
        <v>8.0702769707206095</v>
      </c>
      <c r="P395" s="3">
        <v>44.730526987906899</v>
      </c>
      <c r="Q395" s="3">
        <v>74.295492255011695</v>
      </c>
      <c r="R395" s="3" t="str">
        <f>IF(Table1[[#This Row],[Nutrition_Quality_Score]]&lt;60, "Poor Nutrition",IF(AND(Table1[[#This Row],[Nutrition_Quality_Score]]&gt;=60,Table1[[#This Row],[Nutrition_Quality_Score]]&lt;=80),"Average Nutrition", "Good Nutrition"))</f>
        <v>Average Nutrition</v>
      </c>
      <c r="S395">
        <v>1</v>
      </c>
      <c r="T395" t="str">
        <f>IF(Table1[[#This Row],[Warmup_Routine_Adherence]]=1, "Adherent","Non-Adherent")</f>
        <v>Adherent</v>
      </c>
      <c r="U395">
        <v>0</v>
      </c>
      <c r="V395" t="str">
        <f>IF(Table1[[#This Row],[Injury_Next_Season]]=1, "Injury","No Injury")</f>
        <v>No Injury</v>
      </c>
      <c r="W395" s="3">
        <v>25.344352617079799</v>
      </c>
    </row>
    <row r="396" spans="1:23" x14ac:dyDescent="0.25">
      <c r="A396" s="6">
        <v>21</v>
      </c>
      <c r="B396" s="8" t="str">
        <f>CONCATENATE(Table1[[#This Row],[Age]]," ", "years")</f>
        <v>21 years</v>
      </c>
      <c r="C396">
        <v>174</v>
      </c>
      <c r="D396">
        <v>85</v>
      </c>
      <c r="E396" t="s">
        <v>19</v>
      </c>
      <c r="F396" s="3">
        <v>9.4434361533965792</v>
      </c>
      <c r="G396" s="3">
        <v>5</v>
      </c>
      <c r="H396">
        <v>3</v>
      </c>
      <c r="I396" s="3">
        <v>77.220212128150393</v>
      </c>
      <c r="J396" s="3">
        <v>69.070796386366695</v>
      </c>
      <c r="K396" s="3">
        <v>286.49418654052499</v>
      </c>
      <c r="L396" s="3">
        <v>78.191038698229704</v>
      </c>
      <c r="M396" s="3">
        <v>5.6713661472351404</v>
      </c>
      <c r="N396" s="3">
        <v>72.647079312187699</v>
      </c>
      <c r="O396" s="3">
        <v>7.91601542438233</v>
      </c>
      <c r="P396" s="3">
        <v>62.180319131833301</v>
      </c>
      <c r="Q396" s="3">
        <v>78.441803402466903</v>
      </c>
      <c r="R396" s="3" t="str">
        <f>IF(Table1[[#This Row],[Nutrition_Quality_Score]]&lt;60, "Poor Nutrition",IF(AND(Table1[[#This Row],[Nutrition_Quality_Score]]&gt;=60,Table1[[#This Row],[Nutrition_Quality_Score]]&lt;=80),"Average Nutrition", "Good Nutrition"))</f>
        <v>Average Nutrition</v>
      </c>
      <c r="S396">
        <v>1</v>
      </c>
      <c r="T396" t="str">
        <f>IF(Table1[[#This Row],[Warmup_Routine_Adherence]]=1, "Adherent","Non-Adherent")</f>
        <v>Adherent</v>
      </c>
      <c r="U396">
        <v>1</v>
      </c>
      <c r="V396" t="str">
        <f>IF(Table1[[#This Row],[Injury_Next_Season]]=1, "Injury","No Injury")</f>
        <v>Injury</v>
      </c>
      <c r="W396" s="3">
        <v>28.0750429383009</v>
      </c>
    </row>
    <row r="397" spans="1:23" x14ac:dyDescent="0.25">
      <c r="A397" s="6">
        <v>18</v>
      </c>
      <c r="B397" s="8" t="str">
        <f>CONCATENATE(Table1[[#This Row],[Age]]," ", "years")</f>
        <v>18 years</v>
      </c>
      <c r="C397">
        <v>176</v>
      </c>
      <c r="D397">
        <v>80</v>
      </c>
      <c r="E397" t="s">
        <v>21</v>
      </c>
      <c r="F397" s="3">
        <v>13.4812499976399</v>
      </c>
      <c r="G397" s="3">
        <v>18</v>
      </c>
      <c r="H397">
        <v>5</v>
      </c>
      <c r="I397" s="3">
        <v>78.053813097506307</v>
      </c>
      <c r="J397" s="3">
        <v>67.688324343102707</v>
      </c>
      <c r="K397" s="3">
        <v>247.883809712225</v>
      </c>
      <c r="L397" s="3">
        <v>69.759613985261495</v>
      </c>
      <c r="M397" s="3">
        <v>5.5542108812757398</v>
      </c>
      <c r="N397" s="3">
        <v>72.891098303309207</v>
      </c>
      <c r="O397" s="3">
        <v>8.5340305969513199</v>
      </c>
      <c r="P397" s="3">
        <v>61.401777928253303</v>
      </c>
      <c r="Q397" s="3">
        <v>65.663935474311103</v>
      </c>
      <c r="R397" s="3" t="str">
        <f>IF(Table1[[#This Row],[Nutrition_Quality_Score]]&lt;60, "Poor Nutrition",IF(AND(Table1[[#This Row],[Nutrition_Quality_Score]]&gt;=60,Table1[[#This Row],[Nutrition_Quality_Score]]&lt;=80),"Average Nutrition", "Good Nutrition"))</f>
        <v>Average Nutrition</v>
      </c>
      <c r="S397">
        <v>0</v>
      </c>
      <c r="T397" t="str">
        <f>IF(Table1[[#This Row],[Warmup_Routine_Adherence]]=1, "Adherent","Non-Adherent")</f>
        <v>Non-Adherent</v>
      </c>
      <c r="U397">
        <v>1</v>
      </c>
      <c r="V397" t="str">
        <f>IF(Table1[[#This Row],[Injury_Next_Season]]=1, "Injury","No Injury")</f>
        <v>Injury</v>
      </c>
      <c r="W397" s="3">
        <v>25.8264462809917</v>
      </c>
    </row>
    <row r="398" spans="1:23" x14ac:dyDescent="0.25">
      <c r="A398" s="6">
        <v>19</v>
      </c>
      <c r="B398" s="8" t="str">
        <f>CONCATENATE(Table1[[#This Row],[Age]]," ", "years")</f>
        <v>19 years</v>
      </c>
      <c r="C398">
        <v>179</v>
      </c>
      <c r="D398">
        <v>68</v>
      </c>
      <c r="E398" t="s">
        <v>21</v>
      </c>
      <c r="F398" s="3">
        <v>9.0518117416475299</v>
      </c>
      <c r="G398" s="3">
        <v>23</v>
      </c>
      <c r="H398">
        <v>5</v>
      </c>
      <c r="I398" s="3">
        <v>75.466814836083003</v>
      </c>
      <c r="J398" s="3">
        <v>84.830419880471496</v>
      </c>
      <c r="K398" s="3">
        <v>257.00993507357902</v>
      </c>
      <c r="L398" s="3">
        <v>87.671628939047807</v>
      </c>
      <c r="M398" s="3">
        <v>6.2006939901557798</v>
      </c>
      <c r="N398" s="3">
        <v>75.150397918271395</v>
      </c>
      <c r="O398" s="3">
        <v>7.9721150731235104</v>
      </c>
      <c r="P398" s="3">
        <v>44.633918216659303</v>
      </c>
      <c r="Q398" s="3">
        <v>76.035187693846495</v>
      </c>
      <c r="R398" s="3" t="str">
        <f>IF(Table1[[#This Row],[Nutrition_Quality_Score]]&lt;60, "Poor Nutrition",IF(AND(Table1[[#This Row],[Nutrition_Quality_Score]]&gt;=60,Table1[[#This Row],[Nutrition_Quality_Score]]&lt;=80),"Average Nutrition", "Good Nutrition"))</f>
        <v>Average Nutrition</v>
      </c>
      <c r="S398">
        <v>1</v>
      </c>
      <c r="T398" t="str">
        <f>IF(Table1[[#This Row],[Warmup_Routine_Adherence]]=1, "Adherent","Non-Adherent")</f>
        <v>Adherent</v>
      </c>
      <c r="U398">
        <v>0</v>
      </c>
      <c r="V398" t="str">
        <f>IF(Table1[[#This Row],[Injury_Next_Season]]=1, "Injury","No Injury")</f>
        <v>No Injury</v>
      </c>
      <c r="W398" s="3">
        <v>21.222808276895201</v>
      </c>
    </row>
    <row r="399" spans="1:23" x14ac:dyDescent="0.25">
      <c r="A399" s="6">
        <v>18</v>
      </c>
      <c r="B399" s="8" t="str">
        <f>CONCATENATE(Table1[[#This Row],[Age]]," ", "years")</f>
        <v>18 years</v>
      </c>
      <c r="C399">
        <v>176</v>
      </c>
      <c r="D399">
        <v>74</v>
      </c>
      <c r="E399" t="s">
        <v>22</v>
      </c>
      <c r="F399" s="3">
        <v>10.258495669376201</v>
      </c>
      <c r="G399" s="3">
        <v>17</v>
      </c>
      <c r="H399">
        <v>2</v>
      </c>
      <c r="I399" s="3">
        <v>73.1164067572509</v>
      </c>
      <c r="J399" s="3">
        <v>71.863157020433604</v>
      </c>
      <c r="K399" s="3">
        <v>234.91933188815</v>
      </c>
      <c r="L399" s="3">
        <v>90.791828784608001</v>
      </c>
      <c r="M399" s="3">
        <v>5.4541527748869996</v>
      </c>
      <c r="N399" s="3">
        <v>90.135665901994699</v>
      </c>
      <c r="O399" s="3">
        <v>8.6915741348613693</v>
      </c>
      <c r="P399" s="3">
        <v>58.065286660761601</v>
      </c>
      <c r="Q399" s="3">
        <v>61.658245423220599</v>
      </c>
      <c r="R399" s="3" t="str">
        <f>IF(Table1[[#This Row],[Nutrition_Quality_Score]]&lt;60, "Poor Nutrition",IF(AND(Table1[[#This Row],[Nutrition_Quality_Score]]&gt;=60,Table1[[#This Row],[Nutrition_Quality_Score]]&lt;=80),"Average Nutrition", "Good Nutrition"))</f>
        <v>Average Nutrition</v>
      </c>
      <c r="S399">
        <v>1</v>
      </c>
      <c r="T399" t="str">
        <f>IF(Table1[[#This Row],[Warmup_Routine_Adherence]]=1, "Adherent","Non-Adherent")</f>
        <v>Adherent</v>
      </c>
      <c r="U399">
        <v>1</v>
      </c>
      <c r="V399" t="str">
        <f>IF(Table1[[#This Row],[Injury_Next_Season]]=1, "Injury","No Injury")</f>
        <v>Injury</v>
      </c>
      <c r="W399" s="3">
        <v>23.889462809917301</v>
      </c>
    </row>
    <row r="400" spans="1:23" x14ac:dyDescent="0.25">
      <c r="A400" s="6">
        <v>21</v>
      </c>
      <c r="B400" s="8" t="str">
        <f>CONCATENATE(Table1[[#This Row],[Age]]," ", "years")</f>
        <v>21 years</v>
      </c>
      <c r="C400">
        <v>183</v>
      </c>
      <c r="D400">
        <v>64</v>
      </c>
      <c r="E400" t="s">
        <v>21</v>
      </c>
      <c r="F400" s="3">
        <v>11.048849128799</v>
      </c>
      <c r="G400" s="3">
        <v>21</v>
      </c>
      <c r="H400">
        <v>1</v>
      </c>
      <c r="I400" s="3">
        <v>77.950104935611606</v>
      </c>
      <c r="J400" s="3">
        <v>78.179115098539597</v>
      </c>
      <c r="K400" s="3">
        <v>266.33472740961503</v>
      </c>
      <c r="L400" s="3">
        <v>77.488107432772907</v>
      </c>
      <c r="M400" s="3">
        <v>5.4952027224259901</v>
      </c>
      <c r="N400" s="3">
        <v>77.090451595606694</v>
      </c>
      <c r="O400" s="3">
        <v>7.4170782530361699</v>
      </c>
      <c r="P400" s="3">
        <v>74.749489097290194</v>
      </c>
      <c r="Q400" s="3">
        <v>50</v>
      </c>
      <c r="R400" s="3" t="str">
        <f>IF(Table1[[#This Row],[Nutrition_Quality_Score]]&lt;60, "Poor Nutrition",IF(AND(Table1[[#This Row],[Nutrition_Quality_Score]]&gt;=60,Table1[[#This Row],[Nutrition_Quality_Score]]&lt;=80),"Average Nutrition", "Good Nutrition"))</f>
        <v>Poor Nutrition</v>
      </c>
      <c r="S400">
        <v>0</v>
      </c>
      <c r="T400" t="str">
        <f>IF(Table1[[#This Row],[Warmup_Routine_Adherence]]=1, "Adherent","Non-Adherent")</f>
        <v>Non-Adherent</v>
      </c>
      <c r="U400">
        <v>1</v>
      </c>
      <c r="V400" t="str">
        <f>IF(Table1[[#This Row],[Injury_Next_Season]]=1, "Injury","No Injury")</f>
        <v>Injury</v>
      </c>
      <c r="W400" s="3">
        <v>19.110752784496398</v>
      </c>
    </row>
    <row r="401" spans="1:23" x14ac:dyDescent="0.25">
      <c r="A401" s="6">
        <v>22</v>
      </c>
      <c r="B401" s="8" t="str">
        <f>CONCATENATE(Table1[[#This Row],[Age]]," ", "years")</f>
        <v>22 years</v>
      </c>
      <c r="C401">
        <v>187</v>
      </c>
      <c r="D401">
        <v>63</v>
      </c>
      <c r="E401" t="s">
        <v>20</v>
      </c>
      <c r="F401" s="3">
        <v>13.114170658653901</v>
      </c>
      <c r="G401" s="3">
        <v>33</v>
      </c>
      <c r="H401">
        <v>2</v>
      </c>
      <c r="I401" s="3">
        <v>85.512124435266401</v>
      </c>
      <c r="J401" s="3">
        <v>75.076207611744593</v>
      </c>
      <c r="K401" s="3">
        <v>201.81444170057301</v>
      </c>
      <c r="L401" s="3">
        <v>95.233663998341797</v>
      </c>
      <c r="M401" s="3">
        <v>6.0647906357488397</v>
      </c>
      <c r="N401" s="3">
        <v>91.725885472336302</v>
      </c>
      <c r="O401" s="3">
        <v>7.5891139428816503</v>
      </c>
      <c r="P401" s="3">
        <v>29.651520359059401</v>
      </c>
      <c r="Q401" s="3">
        <v>77.006415130873407</v>
      </c>
      <c r="R401" s="3" t="str">
        <f>IF(Table1[[#This Row],[Nutrition_Quality_Score]]&lt;60, "Poor Nutrition",IF(AND(Table1[[#This Row],[Nutrition_Quality_Score]]&gt;=60,Table1[[#This Row],[Nutrition_Quality_Score]]&lt;=80),"Average Nutrition", "Good Nutrition"))</f>
        <v>Average Nutrition</v>
      </c>
      <c r="S401">
        <v>1</v>
      </c>
      <c r="T401" t="str">
        <f>IF(Table1[[#This Row],[Warmup_Routine_Adherence]]=1, "Adherent","Non-Adherent")</f>
        <v>Adherent</v>
      </c>
      <c r="U401">
        <v>0</v>
      </c>
      <c r="V401" t="str">
        <f>IF(Table1[[#This Row],[Injury_Next_Season]]=1, "Injury","No Injury")</f>
        <v>No Injury</v>
      </c>
      <c r="W401" s="3">
        <v>18.0159569904772</v>
      </c>
    </row>
    <row r="402" spans="1:23" x14ac:dyDescent="0.25">
      <c r="A402" s="6">
        <v>24</v>
      </c>
      <c r="B402" s="8" t="str">
        <f>CONCATENATE(Table1[[#This Row],[Age]]," ", "years")</f>
        <v>24 years</v>
      </c>
      <c r="C402">
        <v>196</v>
      </c>
      <c r="D402">
        <v>67</v>
      </c>
      <c r="E402" t="s">
        <v>20</v>
      </c>
      <c r="F402" s="3">
        <v>9.2912212315046592</v>
      </c>
      <c r="G402" s="3">
        <v>21</v>
      </c>
      <c r="H402">
        <v>4</v>
      </c>
      <c r="I402" s="3">
        <v>74.625051077018099</v>
      </c>
      <c r="J402" s="3">
        <v>69.000465806535999</v>
      </c>
      <c r="K402" s="3">
        <v>275.45796692895198</v>
      </c>
      <c r="L402" s="3">
        <v>84.141005745099207</v>
      </c>
      <c r="M402" s="3">
        <v>5.2551489489389001</v>
      </c>
      <c r="N402" s="3">
        <v>90.770204738009099</v>
      </c>
      <c r="O402" s="3">
        <v>6.5548055686128999</v>
      </c>
      <c r="P402" s="3">
        <v>45.523671351348597</v>
      </c>
      <c r="Q402" s="3">
        <v>73.433899283278706</v>
      </c>
      <c r="R402" s="3" t="str">
        <f>IF(Table1[[#This Row],[Nutrition_Quality_Score]]&lt;60, "Poor Nutrition",IF(AND(Table1[[#This Row],[Nutrition_Quality_Score]]&gt;=60,Table1[[#This Row],[Nutrition_Quality_Score]]&lt;=80),"Average Nutrition", "Good Nutrition"))</f>
        <v>Average Nutrition</v>
      </c>
      <c r="S402">
        <v>1</v>
      </c>
      <c r="T402" t="str">
        <f>IF(Table1[[#This Row],[Warmup_Routine_Adherence]]=1, "Adherent","Non-Adherent")</f>
        <v>Adherent</v>
      </c>
      <c r="U402">
        <v>1</v>
      </c>
      <c r="V402" t="str">
        <f>IF(Table1[[#This Row],[Injury_Next_Season]]=1, "Injury","No Injury")</f>
        <v>Injury</v>
      </c>
      <c r="W402" s="3">
        <v>17.4406497292794</v>
      </c>
    </row>
    <row r="403" spans="1:23" x14ac:dyDescent="0.25">
      <c r="A403" s="6">
        <v>23</v>
      </c>
      <c r="B403" s="8" t="str">
        <f>CONCATENATE(Table1[[#This Row],[Age]]," ", "years")</f>
        <v>23 years</v>
      </c>
      <c r="C403">
        <v>169</v>
      </c>
      <c r="D403">
        <v>82</v>
      </c>
      <c r="E403" t="s">
        <v>22</v>
      </c>
      <c r="F403" s="3">
        <v>13.204142452032899</v>
      </c>
      <c r="G403" s="3">
        <v>25</v>
      </c>
      <c r="H403">
        <v>2</v>
      </c>
      <c r="I403" s="3">
        <v>71.441165792783195</v>
      </c>
      <c r="J403" s="3">
        <v>73.084911614822403</v>
      </c>
      <c r="K403" s="3">
        <v>283.81920312927201</v>
      </c>
      <c r="L403" s="3">
        <v>82.411349025613504</v>
      </c>
      <c r="M403" s="3">
        <v>5.61869973989449</v>
      </c>
      <c r="N403" s="3">
        <v>84.355518463737297</v>
      </c>
      <c r="O403" s="3">
        <v>7.2250467301135597</v>
      </c>
      <c r="P403" s="3">
        <v>63.756254105211298</v>
      </c>
      <c r="Q403" s="3">
        <v>73.448427288385204</v>
      </c>
      <c r="R403" s="3" t="str">
        <f>IF(Table1[[#This Row],[Nutrition_Quality_Score]]&lt;60, "Poor Nutrition",IF(AND(Table1[[#This Row],[Nutrition_Quality_Score]]&gt;=60,Table1[[#This Row],[Nutrition_Quality_Score]]&lt;=80),"Average Nutrition", "Good Nutrition"))</f>
        <v>Average Nutrition</v>
      </c>
      <c r="S403">
        <v>1</v>
      </c>
      <c r="T403" t="str">
        <f>IF(Table1[[#This Row],[Warmup_Routine_Adherence]]=1, "Adherent","Non-Adherent")</f>
        <v>Adherent</v>
      </c>
      <c r="U403">
        <v>1</v>
      </c>
      <c r="V403" t="str">
        <f>IF(Table1[[#This Row],[Injury_Next_Season]]=1, "Injury","No Injury")</f>
        <v>Injury</v>
      </c>
      <c r="W403" s="3">
        <v>28.710479324953599</v>
      </c>
    </row>
    <row r="404" spans="1:23" x14ac:dyDescent="0.25">
      <c r="A404" s="6">
        <v>18</v>
      </c>
      <c r="B404" s="8" t="str">
        <f>CONCATENATE(Table1[[#This Row],[Age]]," ", "years")</f>
        <v>18 years</v>
      </c>
      <c r="C404">
        <v>184</v>
      </c>
      <c r="D404">
        <v>83</v>
      </c>
      <c r="E404" t="s">
        <v>21</v>
      </c>
      <c r="F404" s="3">
        <v>5.9529292412335701</v>
      </c>
      <c r="G404" s="3">
        <v>10</v>
      </c>
      <c r="H404">
        <v>1</v>
      </c>
      <c r="I404" s="3">
        <v>59.958471692998998</v>
      </c>
      <c r="J404" s="3">
        <v>67.586460456698006</v>
      </c>
      <c r="K404" s="3">
        <v>219.60409058604299</v>
      </c>
      <c r="L404" s="3">
        <v>83.960924505588807</v>
      </c>
      <c r="M404" s="3">
        <v>5.3771609880197797</v>
      </c>
      <c r="N404" s="3">
        <v>73.777734367974304</v>
      </c>
      <c r="O404" s="3">
        <v>7.4255525824582698</v>
      </c>
      <c r="P404" s="3">
        <v>56.064931953469902</v>
      </c>
      <c r="Q404" s="3">
        <v>73.435649688324403</v>
      </c>
      <c r="R404" s="3" t="str">
        <f>IF(Table1[[#This Row],[Nutrition_Quality_Score]]&lt;60, "Poor Nutrition",IF(AND(Table1[[#This Row],[Nutrition_Quality_Score]]&gt;=60,Table1[[#This Row],[Nutrition_Quality_Score]]&lt;=80),"Average Nutrition", "Good Nutrition"))</f>
        <v>Average Nutrition</v>
      </c>
      <c r="S404">
        <v>0</v>
      </c>
      <c r="T404" t="str">
        <f>IF(Table1[[#This Row],[Warmup_Routine_Adherence]]=1, "Adherent","Non-Adherent")</f>
        <v>Non-Adherent</v>
      </c>
      <c r="U404">
        <v>1</v>
      </c>
      <c r="V404" t="str">
        <f>IF(Table1[[#This Row],[Injury_Next_Season]]=1, "Injury","No Injury")</f>
        <v>Injury</v>
      </c>
      <c r="W404" s="3">
        <v>24.515595463137899</v>
      </c>
    </row>
    <row r="405" spans="1:23" x14ac:dyDescent="0.25">
      <c r="A405" s="6">
        <v>19</v>
      </c>
      <c r="B405" s="8" t="str">
        <f>CONCATENATE(Table1[[#This Row],[Age]]," ", "years")</f>
        <v>19 years</v>
      </c>
      <c r="C405">
        <v>166</v>
      </c>
      <c r="D405">
        <v>78</v>
      </c>
      <c r="E405" t="s">
        <v>20</v>
      </c>
      <c r="F405" s="3">
        <v>8.9942092737274404</v>
      </c>
      <c r="G405" s="3">
        <v>32</v>
      </c>
      <c r="H405">
        <v>1</v>
      </c>
      <c r="I405" s="3">
        <v>91.767177051781402</v>
      </c>
      <c r="J405" s="3">
        <v>78.289938249449605</v>
      </c>
      <c r="K405" s="3">
        <v>239.06842907297201</v>
      </c>
      <c r="L405" s="3">
        <v>80.590319958713195</v>
      </c>
      <c r="M405" s="3">
        <v>6.3597286537306799</v>
      </c>
      <c r="N405" s="3">
        <v>81.5555196738988</v>
      </c>
      <c r="O405" s="3">
        <v>7.4806143115273196</v>
      </c>
      <c r="P405" s="3">
        <v>56.989989872368298</v>
      </c>
      <c r="Q405" s="3">
        <v>76.968981357336801</v>
      </c>
      <c r="R405" s="3" t="str">
        <f>IF(Table1[[#This Row],[Nutrition_Quality_Score]]&lt;60, "Poor Nutrition",IF(AND(Table1[[#This Row],[Nutrition_Quality_Score]]&gt;=60,Table1[[#This Row],[Nutrition_Quality_Score]]&lt;=80),"Average Nutrition", "Good Nutrition"))</f>
        <v>Average Nutrition</v>
      </c>
      <c r="S405">
        <v>1</v>
      </c>
      <c r="T405" t="str">
        <f>IF(Table1[[#This Row],[Warmup_Routine_Adherence]]=1, "Adherent","Non-Adherent")</f>
        <v>Adherent</v>
      </c>
      <c r="U405">
        <v>0</v>
      </c>
      <c r="V405" t="str">
        <f>IF(Table1[[#This Row],[Injury_Next_Season]]=1, "Injury","No Injury")</f>
        <v>No Injury</v>
      </c>
      <c r="W405" s="3">
        <v>28.305995064595699</v>
      </c>
    </row>
    <row r="406" spans="1:23" x14ac:dyDescent="0.25">
      <c r="A406" s="6">
        <v>20</v>
      </c>
      <c r="B406" s="8" t="str">
        <f>CONCATENATE(Table1[[#This Row],[Age]]," ", "years")</f>
        <v>20 years</v>
      </c>
      <c r="C406">
        <v>178</v>
      </c>
      <c r="D406">
        <v>76</v>
      </c>
      <c r="E406" t="s">
        <v>21</v>
      </c>
      <c r="F406" s="3">
        <v>13.8985030946849</v>
      </c>
      <c r="G406" s="3">
        <v>25</v>
      </c>
      <c r="H406">
        <v>5</v>
      </c>
      <c r="I406" s="3">
        <v>82.882702325910103</v>
      </c>
      <c r="J406" s="3">
        <v>64.313229856265906</v>
      </c>
      <c r="K406" s="3">
        <v>260.97385974293701</v>
      </c>
      <c r="L406" s="3">
        <v>80.783366835342505</v>
      </c>
      <c r="M406" s="3">
        <v>6.0349179587932902</v>
      </c>
      <c r="N406" s="3">
        <v>67.875623372066102</v>
      </c>
      <c r="O406" s="3">
        <v>8.0243355653859307</v>
      </c>
      <c r="P406" s="3">
        <v>70.231243542578696</v>
      </c>
      <c r="Q406" s="3">
        <v>78.931929623566901</v>
      </c>
      <c r="R406" s="3" t="str">
        <f>IF(Table1[[#This Row],[Nutrition_Quality_Score]]&lt;60, "Poor Nutrition",IF(AND(Table1[[#This Row],[Nutrition_Quality_Score]]&gt;=60,Table1[[#This Row],[Nutrition_Quality_Score]]&lt;=80),"Average Nutrition", "Good Nutrition"))</f>
        <v>Average Nutrition</v>
      </c>
      <c r="S406">
        <v>1</v>
      </c>
      <c r="T406" t="str">
        <f>IF(Table1[[#This Row],[Warmup_Routine_Adherence]]=1, "Adherent","Non-Adherent")</f>
        <v>Adherent</v>
      </c>
      <c r="U406">
        <v>1</v>
      </c>
      <c r="V406" t="str">
        <f>IF(Table1[[#This Row],[Injury_Next_Season]]=1, "Injury","No Injury")</f>
        <v>Injury</v>
      </c>
      <c r="W406" s="3">
        <v>23.986870344653401</v>
      </c>
    </row>
    <row r="407" spans="1:23" x14ac:dyDescent="0.25">
      <c r="A407" s="6">
        <v>23</v>
      </c>
      <c r="B407" s="8" t="str">
        <f>CONCATENATE(Table1[[#This Row],[Age]]," ", "years")</f>
        <v>23 years</v>
      </c>
      <c r="C407">
        <v>179</v>
      </c>
      <c r="D407">
        <v>85</v>
      </c>
      <c r="E407" t="s">
        <v>20</v>
      </c>
      <c r="F407" s="3">
        <v>10.0043596595346</v>
      </c>
      <c r="G407" s="3">
        <v>28</v>
      </c>
      <c r="H407">
        <v>2</v>
      </c>
      <c r="I407" s="3">
        <v>74.993164140946007</v>
      </c>
      <c r="J407" s="3">
        <v>89.821411075175902</v>
      </c>
      <c r="K407" s="3">
        <v>249.550333065393</v>
      </c>
      <c r="L407" s="3">
        <v>81.486297480566407</v>
      </c>
      <c r="M407" s="3">
        <v>5.5456945396761199</v>
      </c>
      <c r="N407" s="3">
        <v>85.000979487258604</v>
      </c>
      <c r="O407" s="3">
        <v>6.5140519601318996</v>
      </c>
      <c r="P407" s="3">
        <v>56.423122352447301</v>
      </c>
      <c r="Q407" s="3">
        <v>70.974298416815103</v>
      </c>
      <c r="R407" s="3" t="str">
        <f>IF(Table1[[#This Row],[Nutrition_Quality_Score]]&lt;60, "Poor Nutrition",IF(AND(Table1[[#This Row],[Nutrition_Quality_Score]]&gt;=60,Table1[[#This Row],[Nutrition_Quality_Score]]&lt;=80),"Average Nutrition", "Good Nutrition"))</f>
        <v>Average Nutrition</v>
      </c>
      <c r="S407">
        <v>1</v>
      </c>
      <c r="T407" t="str">
        <f>IF(Table1[[#This Row],[Warmup_Routine_Adherence]]=1, "Adherent","Non-Adherent")</f>
        <v>Adherent</v>
      </c>
      <c r="U407">
        <v>1</v>
      </c>
      <c r="V407" t="str">
        <f>IF(Table1[[#This Row],[Injury_Next_Season]]=1, "Injury","No Injury")</f>
        <v>Injury</v>
      </c>
      <c r="W407" s="3">
        <v>26.528510346118999</v>
      </c>
    </row>
    <row r="408" spans="1:23" x14ac:dyDescent="0.25">
      <c r="A408" s="6">
        <v>21</v>
      </c>
      <c r="B408" s="8" t="str">
        <f>CONCATENATE(Table1[[#This Row],[Age]]," ", "years")</f>
        <v>21 years</v>
      </c>
      <c r="C408">
        <v>177</v>
      </c>
      <c r="D408">
        <v>75</v>
      </c>
      <c r="E408" t="s">
        <v>19</v>
      </c>
      <c r="F408" s="3">
        <v>15.4161228207909</v>
      </c>
      <c r="G408" s="3">
        <v>21</v>
      </c>
      <c r="H408">
        <v>1</v>
      </c>
      <c r="I408" s="3">
        <v>72.573712861827701</v>
      </c>
      <c r="J408" s="3">
        <v>82.925040506913206</v>
      </c>
      <c r="K408" s="3">
        <v>260.62417102470801</v>
      </c>
      <c r="L408" s="3">
        <v>92.308844687502699</v>
      </c>
      <c r="M408" s="3">
        <v>5.5756961595913204</v>
      </c>
      <c r="N408" s="3">
        <v>61.627932747201697</v>
      </c>
      <c r="O408" s="3">
        <v>7.0281270446528099</v>
      </c>
      <c r="P408" s="3">
        <v>57.116861404451903</v>
      </c>
      <c r="Q408" s="3">
        <v>77.106674395786897</v>
      </c>
      <c r="R408" s="3" t="str">
        <f>IF(Table1[[#This Row],[Nutrition_Quality_Score]]&lt;60, "Poor Nutrition",IF(AND(Table1[[#This Row],[Nutrition_Quality_Score]]&gt;=60,Table1[[#This Row],[Nutrition_Quality_Score]]&lt;=80),"Average Nutrition", "Good Nutrition"))</f>
        <v>Average Nutrition</v>
      </c>
      <c r="S408">
        <v>1</v>
      </c>
      <c r="T408" t="str">
        <f>IF(Table1[[#This Row],[Warmup_Routine_Adherence]]=1, "Adherent","Non-Adherent")</f>
        <v>Adherent</v>
      </c>
      <c r="U408">
        <v>0</v>
      </c>
      <c r="V408" t="str">
        <f>IF(Table1[[#This Row],[Injury_Next_Season]]=1, "Injury","No Injury")</f>
        <v>No Injury</v>
      </c>
      <c r="W408" s="3">
        <v>23.939480992052001</v>
      </c>
    </row>
    <row r="409" spans="1:23" x14ac:dyDescent="0.25">
      <c r="A409" s="6">
        <v>22</v>
      </c>
      <c r="B409" s="8" t="str">
        <f>CONCATENATE(Table1[[#This Row],[Age]]," ", "years")</f>
        <v>22 years</v>
      </c>
      <c r="C409">
        <v>177</v>
      </c>
      <c r="D409">
        <v>63</v>
      </c>
      <c r="E409" t="s">
        <v>19</v>
      </c>
      <c r="F409" s="3">
        <v>11.192997257411101</v>
      </c>
      <c r="G409" s="3">
        <v>7</v>
      </c>
      <c r="H409">
        <v>1</v>
      </c>
      <c r="I409" s="3">
        <v>75.302738517099101</v>
      </c>
      <c r="J409" s="3">
        <v>100</v>
      </c>
      <c r="K409" s="3">
        <v>253.16449832194499</v>
      </c>
      <c r="L409" s="3">
        <v>87.0023941624098</v>
      </c>
      <c r="M409" s="3">
        <v>5.96630839798895</v>
      </c>
      <c r="N409" s="3">
        <v>81.970600484678002</v>
      </c>
      <c r="O409" s="3">
        <v>7.9490272193072897</v>
      </c>
      <c r="P409" s="3">
        <v>40.706747667847203</v>
      </c>
      <c r="Q409" s="3">
        <v>86.458435300727302</v>
      </c>
      <c r="R409" s="3" t="str">
        <f>IF(Table1[[#This Row],[Nutrition_Quality_Score]]&lt;60, "Poor Nutrition",IF(AND(Table1[[#This Row],[Nutrition_Quality_Score]]&gt;=60,Table1[[#This Row],[Nutrition_Quality_Score]]&lt;=80),"Average Nutrition", "Good Nutrition"))</f>
        <v>Good Nutrition</v>
      </c>
      <c r="S409">
        <v>1</v>
      </c>
      <c r="T409" t="str">
        <f>IF(Table1[[#This Row],[Warmup_Routine_Adherence]]=1, "Adherent","Non-Adherent")</f>
        <v>Adherent</v>
      </c>
      <c r="U409">
        <v>0</v>
      </c>
      <c r="V409" t="str">
        <f>IF(Table1[[#This Row],[Injury_Next_Season]]=1, "Injury","No Injury")</f>
        <v>No Injury</v>
      </c>
      <c r="W409" s="3">
        <v>20.109164033323701</v>
      </c>
    </row>
    <row r="410" spans="1:23" x14ac:dyDescent="0.25">
      <c r="A410" s="6">
        <v>21</v>
      </c>
      <c r="B410" s="8" t="str">
        <f>CONCATENATE(Table1[[#This Row],[Age]]," ", "years")</f>
        <v>21 years</v>
      </c>
      <c r="C410">
        <v>172</v>
      </c>
      <c r="D410">
        <v>73</v>
      </c>
      <c r="E410" t="s">
        <v>19</v>
      </c>
      <c r="F410" s="3">
        <v>7.6523626881588198</v>
      </c>
      <c r="G410" s="3">
        <v>21</v>
      </c>
      <c r="H410">
        <v>4</v>
      </c>
      <c r="I410" s="3">
        <v>69.171817550873399</v>
      </c>
      <c r="J410" s="3">
        <v>78.372268970340997</v>
      </c>
      <c r="K410" s="3">
        <v>268.67468856047202</v>
      </c>
      <c r="L410" s="3">
        <v>72.130137590367298</v>
      </c>
      <c r="M410" s="3">
        <v>5.47155527716279</v>
      </c>
      <c r="N410" s="3">
        <v>72.216756894959005</v>
      </c>
      <c r="O410" s="3">
        <v>6.8465844342866404</v>
      </c>
      <c r="P410" s="3">
        <v>62.526406283859998</v>
      </c>
      <c r="Q410" s="3">
        <v>62.262762048644298</v>
      </c>
      <c r="R410" s="3" t="str">
        <f>IF(Table1[[#This Row],[Nutrition_Quality_Score]]&lt;60, "Poor Nutrition",IF(AND(Table1[[#This Row],[Nutrition_Quality_Score]]&gt;=60,Table1[[#This Row],[Nutrition_Quality_Score]]&lt;=80),"Average Nutrition", "Good Nutrition"))</f>
        <v>Average Nutrition</v>
      </c>
      <c r="S410">
        <v>0</v>
      </c>
      <c r="T410" t="str">
        <f>IF(Table1[[#This Row],[Warmup_Routine_Adherence]]=1, "Adherent","Non-Adherent")</f>
        <v>Non-Adherent</v>
      </c>
      <c r="U410">
        <v>1</v>
      </c>
      <c r="V410" t="str">
        <f>IF(Table1[[#This Row],[Injury_Next_Season]]=1, "Injury","No Injury")</f>
        <v>Injury</v>
      </c>
      <c r="W410" s="3">
        <v>24.6755002704164</v>
      </c>
    </row>
    <row r="411" spans="1:23" x14ac:dyDescent="0.25">
      <c r="A411" s="6">
        <v>22</v>
      </c>
      <c r="B411" s="8" t="str">
        <f>CONCATENATE(Table1[[#This Row],[Age]]," ", "years")</f>
        <v>22 years</v>
      </c>
      <c r="C411">
        <v>158</v>
      </c>
      <c r="D411">
        <v>81</v>
      </c>
      <c r="E411" t="s">
        <v>22</v>
      </c>
      <c r="F411" s="3">
        <v>7.8961089544397201</v>
      </c>
      <c r="G411" s="3">
        <v>10</v>
      </c>
      <c r="H411">
        <v>2</v>
      </c>
      <c r="I411" s="3">
        <v>69.847395201111595</v>
      </c>
      <c r="J411" s="3">
        <v>77.418837886142697</v>
      </c>
      <c r="K411" s="3">
        <v>306.73085101216299</v>
      </c>
      <c r="L411" s="3">
        <v>88.645153693710398</v>
      </c>
      <c r="M411" s="3">
        <v>5.71317620307076</v>
      </c>
      <c r="N411" s="3">
        <v>75.470647642454395</v>
      </c>
      <c r="O411" s="3">
        <v>7.6823497240548999</v>
      </c>
      <c r="P411" s="3">
        <v>65.518436621080198</v>
      </c>
      <c r="Q411" s="3">
        <v>62.6641136192031</v>
      </c>
      <c r="R411" s="3" t="str">
        <f>IF(Table1[[#This Row],[Nutrition_Quality_Score]]&lt;60, "Poor Nutrition",IF(AND(Table1[[#This Row],[Nutrition_Quality_Score]]&gt;=60,Table1[[#This Row],[Nutrition_Quality_Score]]&lt;=80),"Average Nutrition", "Good Nutrition"))</f>
        <v>Average Nutrition</v>
      </c>
      <c r="S411">
        <v>1</v>
      </c>
      <c r="T411" t="str">
        <f>IF(Table1[[#This Row],[Warmup_Routine_Adherence]]=1, "Adherent","Non-Adherent")</f>
        <v>Adherent</v>
      </c>
      <c r="U411">
        <v>1</v>
      </c>
      <c r="V411" t="str">
        <f>IF(Table1[[#This Row],[Injury_Next_Season]]=1, "Injury","No Injury")</f>
        <v>Injury</v>
      </c>
      <c r="W411" s="3">
        <v>32.446723281525301</v>
      </c>
    </row>
    <row r="412" spans="1:23" x14ac:dyDescent="0.25">
      <c r="A412" s="6">
        <v>24</v>
      </c>
      <c r="B412" s="8" t="str">
        <f>CONCATENATE(Table1[[#This Row],[Age]]," ", "years")</f>
        <v>24 years</v>
      </c>
      <c r="C412">
        <v>179</v>
      </c>
      <c r="D412">
        <v>78</v>
      </c>
      <c r="E412" t="s">
        <v>19</v>
      </c>
      <c r="F412" s="3">
        <v>10.5026356159537</v>
      </c>
      <c r="G412" s="3">
        <v>9</v>
      </c>
      <c r="H412">
        <v>0</v>
      </c>
      <c r="I412" s="3">
        <v>73.947296896433997</v>
      </c>
      <c r="J412" s="3">
        <v>79.999710973870293</v>
      </c>
      <c r="K412" s="3">
        <v>226.37677566066799</v>
      </c>
      <c r="L412" s="3">
        <v>87.999697431719895</v>
      </c>
      <c r="M412" s="3">
        <v>5.7742133616108298</v>
      </c>
      <c r="N412" s="3">
        <v>67.925695196581003</v>
      </c>
      <c r="O412" s="3">
        <v>7.5380959704459398</v>
      </c>
      <c r="P412" s="3">
        <v>27.5308653755881</v>
      </c>
      <c r="Q412" s="3">
        <v>79.027759083402003</v>
      </c>
      <c r="R412" s="3" t="str">
        <f>IF(Table1[[#This Row],[Nutrition_Quality_Score]]&lt;60, "Poor Nutrition",IF(AND(Table1[[#This Row],[Nutrition_Quality_Score]]&gt;=60,Table1[[#This Row],[Nutrition_Quality_Score]]&lt;=80),"Average Nutrition", "Good Nutrition"))</f>
        <v>Average Nutrition</v>
      </c>
      <c r="S412">
        <v>0</v>
      </c>
      <c r="T412" t="str">
        <f>IF(Table1[[#This Row],[Warmup_Routine_Adherence]]=1, "Adherent","Non-Adherent")</f>
        <v>Non-Adherent</v>
      </c>
      <c r="U412">
        <v>0</v>
      </c>
      <c r="V412" t="str">
        <f>IF(Table1[[#This Row],[Injury_Next_Season]]=1, "Injury","No Injury")</f>
        <v>No Injury</v>
      </c>
      <c r="W412" s="3">
        <v>24.343809494085701</v>
      </c>
    </row>
    <row r="413" spans="1:23" x14ac:dyDescent="0.25">
      <c r="A413" s="6">
        <v>20</v>
      </c>
      <c r="B413" s="8" t="str">
        <f>CONCATENATE(Table1[[#This Row],[Age]]," ", "years")</f>
        <v>20 years</v>
      </c>
      <c r="C413">
        <v>188</v>
      </c>
      <c r="D413">
        <v>80</v>
      </c>
      <c r="E413" t="s">
        <v>21</v>
      </c>
      <c r="F413" s="3">
        <v>7.5407441906009396</v>
      </c>
      <c r="G413" s="3">
        <v>5</v>
      </c>
      <c r="H413">
        <v>1</v>
      </c>
      <c r="I413" s="3">
        <v>81.284382979384702</v>
      </c>
      <c r="J413" s="3">
        <v>77.059999931824294</v>
      </c>
      <c r="K413" s="3">
        <v>231.35811650777401</v>
      </c>
      <c r="L413" s="3">
        <v>79.334199484209705</v>
      </c>
      <c r="M413" s="3">
        <v>6.3960184592435603</v>
      </c>
      <c r="N413" s="3">
        <v>76.673254124364902</v>
      </c>
      <c r="O413" s="3">
        <v>8.3526655252160502</v>
      </c>
      <c r="P413" s="3">
        <v>43.793608402805603</v>
      </c>
      <c r="Q413" s="3">
        <v>72.974336802043297</v>
      </c>
      <c r="R413" s="3" t="str">
        <f>IF(Table1[[#This Row],[Nutrition_Quality_Score]]&lt;60, "Poor Nutrition",IF(AND(Table1[[#This Row],[Nutrition_Quality_Score]]&gt;=60,Table1[[#This Row],[Nutrition_Quality_Score]]&lt;=80),"Average Nutrition", "Good Nutrition"))</f>
        <v>Average Nutrition</v>
      </c>
      <c r="S413">
        <v>1</v>
      </c>
      <c r="T413" t="str">
        <f>IF(Table1[[#This Row],[Warmup_Routine_Adherence]]=1, "Adherent","Non-Adherent")</f>
        <v>Adherent</v>
      </c>
      <c r="U413">
        <v>0</v>
      </c>
      <c r="V413" t="str">
        <f>IF(Table1[[#This Row],[Injury_Next_Season]]=1, "Injury","No Injury")</f>
        <v>No Injury</v>
      </c>
      <c r="W413" s="3">
        <v>22.634676324128499</v>
      </c>
    </row>
    <row r="414" spans="1:23" x14ac:dyDescent="0.25">
      <c r="A414" s="6">
        <v>21</v>
      </c>
      <c r="B414" s="8" t="str">
        <f>CONCATENATE(Table1[[#This Row],[Age]]," ", "years")</f>
        <v>21 years</v>
      </c>
      <c r="C414">
        <v>191</v>
      </c>
      <c r="D414">
        <v>78</v>
      </c>
      <c r="E414" t="s">
        <v>20</v>
      </c>
      <c r="F414" s="3">
        <v>9.4402988680587701</v>
      </c>
      <c r="G414" s="3">
        <v>22</v>
      </c>
      <c r="H414">
        <v>3</v>
      </c>
      <c r="I414" s="3">
        <v>67.01919159821</v>
      </c>
      <c r="J414" s="3">
        <v>75.624502830941495</v>
      </c>
      <c r="K414" s="3">
        <v>251.347975513958</v>
      </c>
      <c r="L414" s="3">
        <v>84.027552789518197</v>
      </c>
      <c r="M414" s="3">
        <v>5.7075059310176401</v>
      </c>
      <c r="N414" s="3">
        <v>79.385565372884002</v>
      </c>
      <c r="O414" s="3">
        <v>6.4707806113901798</v>
      </c>
      <c r="P414" s="3">
        <v>73.856673174619203</v>
      </c>
      <c r="Q414" s="3">
        <v>66.692747959492706</v>
      </c>
      <c r="R414" s="3" t="str">
        <f>IF(Table1[[#This Row],[Nutrition_Quality_Score]]&lt;60, "Poor Nutrition",IF(AND(Table1[[#This Row],[Nutrition_Quality_Score]]&gt;=60,Table1[[#This Row],[Nutrition_Quality_Score]]&lt;=80),"Average Nutrition", "Good Nutrition"))</f>
        <v>Average Nutrition</v>
      </c>
      <c r="S414">
        <v>1</v>
      </c>
      <c r="T414" t="str">
        <f>IF(Table1[[#This Row],[Warmup_Routine_Adherence]]=1, "Adherent","Non-Adherent")</f>
        <v>Adherent</v>
      </c>
      <c r="U414">
        <v>1</v>
      </c>
      <c r="V414" t="str">
        <f>IF(Table1[[#This Row],[Injury_Next_Season]]=1, "Injury","No Injury")</f>
        <v>Injury</v>
      </c>
      <c r="W414" s="3">
        <v>21.3809928455908</v>
      </c>
    </row>
    <row r="415" spans="1:23" x14ac:dyDescent="0.25">
      <c r="A415" s="6">
        <v>24</v>
      </c>
      <c r="B415" s="8" t="str">
        <f>CONCATENATE(Table1[[#This Row],[Age]]," ", "years")</f>
        <v>24 years</v>
      </c>
      <c r="C415">
        <v>170</v>
      </c>
      <c r="D415">
        <v>83</v>
      </c>
      <c r="E415" t="s">
        <v>20</v>
      </c>
      <c r="F415" s="3">
        <v>6.8650819281311204</v>
      </c>
      <c r="G415" s="3">
        <v>38</v>
      </c>
      <c r="H415">
        <v>0</v>
      </c>
      <c r="I415" s="3">
        <v>84.366777116202996</v>
      </c>
      <c r="J415" s="3">
        <v>81.615350626740295</v>
      </c>
      <c r="K415" s="3">
        <v>236.57387049453601</v>
      </c>
      <c r="L415" s="3">
        <v>93.309474717138499</v>
      </c>
      <c r="M415" s="3">
        <v>5.9836284921141702</v>
      </c>
      <c r="N415" s="3">
        <v>81.815058007612294</v>
      </c>
      <c r="O415" s="3">
        <v>7.0295909600656898</v>
      </c>
      <c r="P415" s="3">
        <v>61.949191353710198</v>
      </c>
      <c r="Q415" s="3">
        <v>78.607608842657697</v>
      </c>
      <c r="R415" s="3" t="str">
        <f>IF(Table1[[#This Row],[Nutrition_Quality_Score]]&lt;60, "Poor Nutrition",IF(AND(Table1[[#This Row],[Nutrition_Quality_Score]]&gt;=60,Table1[[#This Row],[Nutrition_Quality_Score]]&lt;=80),"Average Nutrition", "Good Nutrition"))</f>
        <v>Average Nutrition</v>
      </c>
      <c r="S415">
        <v>1</v>
      </c>
      <c r="T415" t="str">
        <f>IF(Table1[[#This Row],[Warmup_Routine_Adherence]]=1, "Adherent","Non-Adherent")</f>
        <v>Adherent</v>
      </c>
      <c r="U415">
        <v>0</v>
      </c>
      <c r="V415" t="str">
        <f>IF(Table1[[#This Row],[Injury_Next_Season]]=1, "Injury","No Injury")</f>
        <v>No Injury</v>
      </c>
      <c r="W415" s="3">
        <v>28.719723183391</v>
      </c>
    </row>
    <row r="416" spans="1:23" x14ac:dyDescent="0.25">
      <c r="A416" s="6">
        <v>18</v>
      </c>
      <c r="B416" s="8" t="str">
        <f>CONCATENATE(Table1[[#This Row],[Age]]," ", "years")</f>
        <v>18 years</v>
      </c>
      <c r="C416">
        <v>181</v>
      </c>
      <c r="D416">
        <v>74</v>
      </c>
      <c r="E416" t="s">
        <v>22</v>
      </c>
      <c r="F416" s="3">
        <v>12.6078393396055</v>
      </c>
      <c r="G416" s="3">
        <v>13</v>
      </c>
      <c r="H416">
        <v>0</v>
      </c>
      <c r="I416" s="3">
        <v>68.759446406188403</v>
      </c>
      <c r="J416" s="3">
        <v>91.974109811575303</v>
      </c>
      <c r="K416" s="3">
        <v>208.82492128130701</v>
      </c>
      <c r="L416" s="3">
        <v>81.630041839150394</v>
      </c>
      <c r="M416" s="3">
        <v>5.9768184464363303</v>
      </c>
      <c r="N416" s="3">
        <v>82.327790173815202</v>
      </c>
      <c r="O416" s="3">
        <v>7.93639949067577</v>
      </c>
      <c r="P416" s="3">
        <v>63.332634124018902</v>
      </c>
      <c r="Q416" s="3">
        <v>82.444212287824499</v>
      </c>
      <c r="R416" s="3" t="str">
        <f>IF(Table1[[#This Row],[Nutrition_Quality_Score]]&lt;60, "Poor Nutrition",IF(AND(Table1[[#This Row],[Nutrition_Quality_Score]]&gt;=60,Table1[[#This Row],[Nutrition_Quality_Score]]&lt;=80),"Average Nutrition", "Good Nutrition"))</f>
        <v>Good Nutrition</v>
      </c>
      <c r="S416">
        <v>1</v>
      </c>
      <c r="T416" t="str">
        <f>IF(Table1[[#This Row],[Warmup_Routine_Adherence]]=1, "Adherent","Non-Adherent")</f>
        <v>Adherent</v>
      </c>
      <c r="U416">
        <v>0</v>
      </c>
      <c r="V416" t="str">
        <f>IF(Table1[[#This Row],[Injury_Next_Season]]=1, "Injury","No Injury")</f>
        <v>No Injury</v>
      </c>
      <c r="W416" s="3">
        <v>22.587833094227801</v>
      </c>
    </row>
    <row r="417" spans="1:23" x14ac:dyDescent="0.25">
      <c r="A417" s="6">
        <v>22</v>
      </c>
      <c r="B417" s="8" t="str">
        <f>CONCATENATE(Table1[[#This Row],[Age]]," ", "years")</f>
        <v>22 years</v>
      </c>
      <c r="C417">
        <v>180</v>
      </c>
      <c r="D417">
        <v>86</v>
      </c>
      <c r="E417" t="s">
        <v>20</v>
      </c>
      <c r="F417" s="3">
        <v>11.6063243799634</v>
      </c>
      <c r="G417" s="3">
        <v>22</v>
      </c>
      <c r="H417">
        <v>1</v>
      </c>
      <c r="I417" s="3">
        <v>73.901659197652506</v>
      </c>
      <c r="J417" s="3">
        <v>86.450279233228798</v>
      </c>
      <c r="K417" s="3">
        <v>228.567506598601</v>
      </c>
      <c r="L417" s="3">
        <v>98.3322918517311</v>
      </c>
      <c r="M417" s="3">
        <v>6.0697665965191003</v>
      </c>
      <c r="N417" s="3">
        <v>63.780041834047601</v>
      </c>
      <c r="O417" s="3">
        <v>6.9489369572673496</v>
      </c>
      <c r="P417" s="3">
        <v>49.562686776924203</v>
      </c>
      <c r="Q417" s="3">
        <v>72.799349893721896</v>
      </c>
      <c r="R417" s="3" t="str">
        <f>IF(Table1[[#This Row],[Nutrition_Quality_Score]]&lt;60, "Poor Nutrition",IF(AND(Table1[[#This Row],[Nutrition_Quality_Score]]&gt;=60,Table1[[#This Row],[Nutrition_Quality_Score]]&lt;=80),"Average Nutrition", "Good Nutrition"))</f>
        <v>Average Nutrition</v>
      </c>
      <c r="S417">
        <v>1</v>
      </c>
      <c r="T417" t="str">
        <f>IF(Table1[[#This Row],[Warmup_Routine_Adherence]]=1, "Adherent","Non-Adherent")</f>
        <v>Adherent</v>
      </c>
      <c r="U417">
        <v>0</v>
      </c>
      <c r="V417" t="str">
        <f>IF(Table1[[#This Row],[Injury_Next_Season]]=1, "Injury","No Injury")</f>
        <v>No Injury</v>
      </c>
      <c r="W417" s="3">
        <v>26.543209876543202</v>
      </c>
    </row>
    <row r="418" spans="1:23" x14ac:dyDescent="0.25">
      <c r="A418" s="6">
        <v>23</v>
      </c>
      <c r="B418" s="8" t="str">
        <f>CONCATENATE(Table1[[#This Row],[Age]]," ", "years")</f>
        <v>23 years</v>
      </c>
      <c r="C418">
        <v>181</v>
      </c>
      <c r="D418">
        <v>75</v>
      </c>
      <c r="E418" t="s">
        <v>20</v>
      </c>
      <c r="F418" s="3">
        <v>10.9751702237541</v>
      </c>
      <c r="G418" s="3">
        <v>31</v>
      </c>
      <c r="H418">
        <v>2</v>
      </c>
      <c r="I418" s="3">
        <v>77.359049683178995</v>
      </c>
      <c r="J418" s="3">
        <v>73.951722330723499</v>
      </c>
      <c r="K418" s="3">
        <v>229.11348046994601</v>
      </c>
      <c r="L418" s="3">
        <v>91.149745414940298</v>
      </c>
      <c r="M418" s="3">
        <v>6.2851240678574696</v>
      </c>
      <c r="N418" s="3">
        <v>88.223213543577401</v>
      </c>
      <c r="O418" s="3">
        <v>7.8815678801223799</v>
      </c>
      <c r="P418" s="3">
        <v>58.903197268407197</v>
      </c>
      <c r="Q418" s="3">
        <v>87.325858226658298</v>
      </c>
      <c r="R418" s="3" t="str">
        <f>IF(Table1[[#This Row],[Nutrition_Quality_Score]]&lt;60, "Poor Nutrition",IF(AND(Table1[[#This Row],[Nutrition_Quality_Score]]&gt;=60,Table1[[#This Row],[Nutrition_Quality_Score]]&lt;=80),"Average Nutrition", "Good Nutrition"))</f>
        <v>Good Nutrition</v>
      </c>
      <c r="S418">
        <v>1</v>
      </c>
      <c r="T418" t="str">
        <f>IF(Table1[[#This Row],[Warmup_Routine_Adherence]]=1, "Adherent","Non-Adherent")</f>
        <v>Adherent</v>
      </c>
      <c r="U418">
        <v>0</v>
      </c>
      <c r="V418" t="str">
        <f>IF(Table1[[#This Row],[Injury_Next_Season]]=1, "Injury","No Injury")</f>
        <v>No Injury</v>
      </c>
      <c r="W418" s="3">
        <v>22.893074081987699</v>
      </c>
    </row>
    <row r="419" spans="1:23" x14ac:dyDescent="0.25">
      <c r="A419" s="6">
        <v>24</v>
      </c>
      <c r="B419" s="8" t="str">
        <f>CONCATENATE(Table1[[#This Row],[Age]]," ", "years")</f>
        <v>24 years</v>
      </c>
      <c r="C419">
        <v>168</v>
      </c>
      <c r="D419">
        <v>82</v>
      </c>
      <c r="E419" t="s">
        <v>20</v>
      </c>
      <c r="F419" s="3">
        <v>7.9844434004718101</v>
      </c>
      <c r="G419" s="3">
        <v>38</v>
      </c>
      <c r="H419">
        <v>2</v>
      </c>
      <c r="I419" s="3">
        <v>76.707911921463094</v>
      </c>
      <c r="J419" s="3">
        <v>78.873169185538401</v>
      </c>
      <c r="K419" s="3">
        <v>185.36270743557199</v>
      </c>
      <c r="L419" s="3">
        <v>72.998318965277505</v>
      </c>
      <c r="M419" s="3">
        <v>5.4866512728427503</v>
      </c>
      <c r="N419" s="3">
        <v>76.268704319859197</v>
      </c>
      <c r="O419" s="3">
        <v>7.17093247256296</v>
      </c>
      <c r="P419" s="3">
        <v>61.624175865515198</v>
      </c>
      <c r="Q419" s="3">
        <v>71.766124346438204</v>
      </c>
      <c r="R419" s="3" t="str">
        <f>IF(Table1[[#This Row],[Nutrition_Quality_Score]]&lt;60, "Poor Nutrition",IF(AND(Table1[[#This Row],[Nutrition_Quality_Score]]&gt;=60,Table1[[#This Row],[Nutrition_Quality_Score]]&lt;=80),"Average Nutrition", "Good Nutrition"))</f>
        <v>Average Nutrition</v>
      </c>
      <c r="S419">
        <v>0</v>
      </c>
      <c r="T419" t="str">
        <f>IF(Table1[[#This Row],[Warmup_Routine_Adherence]]=1, "Adherent","Non-Adherent")</f>
        <v>Non-Adherent</v>
      </c>
      <c r="U419">
        <v>1</v>
      </c>
      <c r="V419" t="str">
        <f>IF(Table1[[#This Row],[Injury_Next_Season]]=1, "Injury","No Injury")</f>
        <v>Injury</v>
      </c>
      <c r="W419" s="3">
        <v>29.053287981859398</v>
      </c>
    </row>
    <row r="420" spans="1:23" x14ac:dyDescent="0.25">
      <c r="A420" s="6">
        <v>20</v>
      </c>
      <c r="B420" s="8" t="str">
        <f>CONCATENATE(Table1[[#This Row],[Age]]," ", "years")</f>
        <v>20 years</v>
      </c>
      <c r="C420">
        <v>181</v>
      </c>
      <c r="D420">
        <v>65</v>
      </c>
      <c r="E420" t="s">
        <v>19</v>
      </c>
      <c r="F420" s="3">
        <v>12.3860877491307</v>
      </c>
      <c r="G420" s="3">
        <v>37</v>
      </c>
      <c r="H420">
        <v>2</v>
      </c>
      <c r="I420" s="3">
        <v>71.381035658270605</v>
      </c>
      <c r="J420" s="3">
        <v>71.192450985080399</v>
      </c>
      <c r="K420" s="3">
        <v>274.14734952014697</v>
      </c>
      <c r="L420" s="3">
        <v>77.832802643629506</v>
      </c>
      <c r="M420" s="3">
        <v>5.9422444279431401</v>
      </c>
      <c r="N420" s="3">
        <v>81.712403109150799</v>
      </c>
      <c r="O420" s="3">
        <v>6.4785314405670604</v>
      </c>
      <c r="P420" s="3">
        <v>65.173179458666993</v>
      </c>
      <c r="Q420" s="3">
        <v>65.122154086472193</v>
      </c>
      <c r="R420" s="3" t="str">
        <f>IF(Table1[[#This Row],[Nutrition_Quality_Score]]&lt;60, "Poor Nutrition",IF(AND(Table1[[#This Row],[Nutrition_Quality_Score]]&gt;=60,Table1[[#This Row],[Nutrition_Quality_Score]]&lt;=80),"Average Nutrition", "Good Nutrition"))</f>
        <v>Average Nutrition</v>
      </c>
      <c r="S420">
        <v>0</v>
      </c>
      <c r="T420" t="str">
        <f>IF(Table1[[#This Row],[Warmup_Routine_Adherence]]=1, "Adherent","Non-Adherent")</f>
        <v>Non-Adherent</v>
      </c>
      <c r="U420">
        <v>1</v>
      </c>
      <c r="V420" t="str">
        <f>IF(Table1[[#This Row],[Injury_Next_Season]]=1, "Injury","No Injury")</f>
        <v>Injury</v>
      </c>
      <c r="W420" s="3">
        <v>19.840664204389299</v>
      </c>
    </row>
    <row r="421" spans="1:23" x14ac:dyDescent="0.25">
      <c r="A421" s="6">
        <v>22</v>
      </c>
      <c r="B421" s="8" t="str">
        <f>CONCATENATE(Table1[[#This Row],[Age]]," ", "years")</f>
        <v>22 years</v>
      </c>
      <c r="C421">
        <v>174</v>
      </c>
      <c r="D421">
        <v>69</v>
      </c>
      <c r="E421" t="s">
        <v>20</v>
      </c>
      <c r="F421" s="3">
        <v>8.9949230174960508</v>
      </c>
      <c r="G421" s="3">
        <v>20</v>
      </c>
      <c r="H421">
        <v>1</v>
      </c>
      <c r="I421" s="3">
        <v>85.393646376701298</v>
      </c>
      <c r="J421" s="3">
        <v>80.598536656569607</v>
      </c>
      <c r="K421" s="3">
        <v>272.59539867685697</v>
      </c>
      <c r="L421" s="3">
        <v>90.936501890842095</v>
      </c>
      <c r="M421" s="3">
        <v>5.76866799355198</v>
      </c>
      <c r="N421" s="3">
        <v>70.311427129778906</v>
      </c>
      <c r="O421" s="3">
        <v>6.94120262674587</v>
      </c>
      <c r="P421" s="3">
        <v>44.965777591595803</v>
      </c>
      <c r="Q421" s="3">
        <v>75.898887962239399</v>
      </c>
      <c r="R421" s="3" t="str">
        <f>IF(Table1[[#This Row],[Nutrition_Quality_Score]]&lt;60, "Poor Nutrition",IF(AND(Table1[[#This Row],[Nutrition_Quality_Score]]&gt;=60,Table1[[#This Row],[Nutrition_Quality_Score]]&lt;=80),"Average Nutrition", "Good Nutrition"))</f>
        <v>Average Nutrition</v>
      </c>
      <c r="S421">
        <v>1</v>
      </c>
      <c r="T421" t="str">
        <f>IF(Table1[[#This Row],[Warmup_Routine_Adherence]]=1, "Adherent","Non-Adherent")</f>
        <v>Adherent</v>
      </c>
      <c r="U421">
        <v>0</v>
      </c>
      <c r="V421" t="str">
        <f>IF(Table1[[#This Row],[Injury_Next_Season]]=1, "Injury","No Injury")</f>
        <v>No Injury</v>
      </c>
      <c r="W421" s="3">
        <v>22.7903289734443</v>
      </c>
    </row>
    <row r="422" spans="1:23" x14ac:dyDescent="0.25">
      <c r="A422" s="6">
        <v>23</v>
      </c>
      <c r="B422" s="8" t="str">
        <f>CONCATENATE(Table1[[#This Row],[Age]]," ", "years")</f>
        <v>23 years</v>
      </c>
      <c r="C422">
        <v>190</v>
      </c>
      <c r="D422">
        <v>65</v>
      </c>
      <c r="E422" t="s">
        <v>19</v>
      </c>
      <c r="F422" s="3">
        <v>9.3324032357393794</v>
      </c>
      <c r="G422" s="3">
        <v>5</v>
      </c>
      <c r="H422">
        <v>0</v>
      </c>
      <c r="I422" s="3">
        <v>65.196291163176397</v>
      </c>
      <c r="J422" s="3">
        <v>81.399220555850604</v>
      </c>
      <c r="K422" s="3">
        <v>239.21785394777399</v>
      </c>
      <c r="L422" s="3">
        <v>87.701646342919503</v>
      </c>
      <c r="M422" s="3">
        <v>5.9027398867523502</v>
      </c>
      <c r="N422" s="3">
        <v>88.574795681862994</v>
      </c>
      <c r="O422" s="3">
        <v>7.6748737268588396</v>
      </c>
      <c r="P422" s="3">
        <v>58.301521642169</v>
      </c>
      <c r="Q422" s="3">
        <v>85.133083297957896</v>
      </c>
      <c r="R422" s="3" t="str">
        <f>IF(Table1[[#This Row],[Nutrition_Quality_Score]]&lt;60, "Poor Nutrition",IF(AND(Table1[[#This Row],[Nutrition_Quality_Score]]&gt;=60,Table1[[#This Row],[Nutrition_Quality_Score]]&lt;=80),"Average Nutrition", "Good Nutrition"))</f>
        <v>Good Nutrition</v>
      </c>
      <c r="S422">
        <v>1</v>
      </c>
      <c r="T422" t="str">
        <f>IF(Table1[[#This Row],[Warmup_Routine_Adherence]]=1, "Adherent","Non-Adherent")</f>
        <v>Adherent</v>
      </c>
      <c r="U422">
        <v>0</v>
      </c>
      <c r="V422" t="str">
        <f>IF(Table1[[#This Row],[Injury_Next_Season]]=1, "Injury","No Injury")</f>
        <v>No Injury</v>
      </c>
      <c r="W422" s="3">
        <v>18.005540166204899</v>
      </c>
    </row>
    <row r="423" spans="1:23" x14ac:dyDescent="0.25">
      <c r="A423" s="6">
        <v>19</v>
      </c>
      <c r="B423" s="8" t="str">
        <f>CONCATENATE(Table1[[#This Row],[Age]]," ", "years")</f>
        <v>19 years</v>
      </c>
      <c r="C423">
        <v>176</v>
      </c>
      <c r="D423">
        <v>95</v>
      </c>
      <c r="E423" t="s">
        <v>20</v>
      </c>
      <c r="F423" s="3">
        <v>16.165071683951801</v>
      </c>
      <c r="G423" s="3">
        <v>20</v>
      </c>
      <c r="H423">
        <v>2</v>
      </c>
      <c r="I423" s="3">
        <v>82.569779899276199</v>
      </c>
      <c r="J423" s="3">
        <v>79.604989586584196</v>
      </c>
      <c r="K423" s="3">
        <v>249.35391889025601</v>
      </c>
      <c r="L423" s="3">
        <v>71.305330064315896</v>
      </c>
      <c r="M423" s="3">
        <v>6.6212914894735304</v>
      </c>
      <c r="N423" s="3">
        <v>85.915592252812999</v>
      </c>
      <c r="O423" s="3">
        <v>7.9879786935160304</v>
      </c>
      <c r="P423" s="3">
        <v>54.379838728311</v>
      </c>
      <c r="Q423" s="3">
        <v>81.987065717637194</v>
      </c>
      <c r="R423" s="3" t="str">
        <f>IF(Table1[[#This Row],[Nutrition_Quality_Score]]&lt;60, "Poor Nutrition",IF(AND(Table1[[#This Row],[Nutrition_Quality_Score]]&gt;=60,Table1[[#This Row],[Nutrition_Quality_Score]]&lt;=80),"Average Nutrition", "Good Nutrition"))</f>
        <v>Good Nutrition</v>
      </c>
      <c r="S423">
        <v>1</v>
      </c>
      <c r="T423" t="str">
        <f>IF(Table1[[#This Row],[Warmup_Routine_Adherence]]=1, "Adherent","Non-Adherent")</f>
        <v>Adherent</v>
      </c>
      <c r="U423">
        <v>0</v>
      </c>
      <c r="V423" t="str">
        <f>IF(Table1[[#This Row],[Injury_Next_Season]]=1, "Injury","No Injury")</f>
        <v>No Injury</v>
      </c>
      <c r="W423" s="3">
        <v>30.668904958677601</v>
      </c>
    </row>
    <row r="424" spans="1:23" x14ac:dyDescent="0.25">
      <c r="A424" s="6">
        <v>21</v>
      </c>
      <c r="B424" s="8" t="str">
        <f>CONCATENATE(Table1[[#This Row],[Age]]," ", "years")</f>
        <v>21 years</v>
      </c>
      <c r="C424">
        <v>181</v>
      </c>
      <c r="D424">
        <v>68</v>
      </c>
      <c r="E424" t="s">
        <v>19</v>
      </c>
      <c r="F424" s="3">
        <v>7.1659448056620203</v>
      </c>
      <c r="G424" s="3">
        <v>30</v>
      </c>
      <c r="H424">
        <v>0</v>
      </c>
      <c r="I424" s="3">
        <v>64.239848013747604</v>
      </c>
      <c r="J424" s="3">
        <v>73.124385444230498</v>
      </c>
      <c r="K424" s="3">
        <v>251.873227630586</v>
      </c>
      <c r="L424" s="3">
        <v>86.561595814315496</v>
      </c>
      <c r="M424" s="3">
        <v>5.5530208554420497</v>
      </c>
      <c r="N424" s="3">
        <v>84.922484449297798</v>
      </c>
      <c r="O424" s="3">
        <v>7.0946773332362003</v>
      </c>
      <c r="P424" s="3">
        <v>66.474693119832594</v>
      </c>
      <c r="Q424" s="3">
        <v>72.523997724545694</v>
      </c>
      <c r="R424" s="3" t="str">
        <f>IF(Table1[[#This Row],[Nutrition_Quality_Score]]&lt;60, "Poor Nutrition",IF(AND(Table1[[#This Row],[Nutrition_Quality_Score]]&gt;=60,Table1[[#This Row],[Nutrition_Quality_Score]]&lt;=80),"Average Nutrition", "Good Nutrition"))</f>
        <v>Average Nutrition</v>
      </c>
      <c r="S424">
        <v>1</v>
      </c>
      <c r="T424" t="str">
        <f>IF(Table1[[#This Row],[Warmup_Routine_Adherence]]=1, "Adherent","Non-Adherent")</f>
        <v>Adherent</v>
      </c>
      <c r="U424">
        <v>1</v>
      </c>
      <c r="V424" t="str">
        <f>IF(Table1[[#This Row],[Injury_Next_Season]]=1, "Injury","No Injury")</f>
        <v>Injury</v>
      </c>
      <c r="W424" s="3">
        <v>20.756387167668802</v>
      </c>
    </row>
    <row r="425" spans="1:23" x14ac:dyDescent="0.25">
      <c r="A425" s="6">
        <v>23</v>
      </c>
      <c r="B425" s="8" t="str">
        <f>CONCATENATE(Table1[[#This Row],[Age]]," ", "years")</f>
        <v>23 years</v>
      </c>
      <c r="C425">
        <v>182</v>
      </c>
      <c r="D425">
        <v>85</v>
      </c>
      <c r="E425" t="s">
        <v>21</v>
      </c>
      <c r="F425" s="3">
        <v>14.434976467608699</v>
      </c>
      <c r="G425" s="3">
        <v>37</v>
      </c>
      <c r="H425">
        <v>3</v>
      </c>
      <c r="I425" s="3">
        <v>70.888452190301194</v>
      </c>
      <c r="J425" s="3">
        <v>85.273316937772293</v>
      </c>
      <c r="K425" s="3">
        <v>245.17722153720399</v>
      </c>
      <c r="L425" s="3">
        <v>80.115597425564999</v>
      </c>
      <c r="M425" s="3">
        <v>5.9810127005613296</v>
      </c>
      <c r="N425" s="3">
        <v>88.271406540338901</v>
      </c>
      <c r="O425" s="3">
        <v>6.2871054112705202</v>
      </c>
      <c r="P425" s="3">
        <v>69.968829400789204</v>
      </c>
      <c r="Q425" s="3">
        <v>79.511612895081598</v>
      </c>
      <c r="R425" s="3" t="str">
        <f>IF(Table1[[#This Row],[Nutrition_Quality_Score]]&lt;60, "Poor Nutrition",IF(AND(Table1[[#This Row],[Nutrition_Quality_Score]]&gt;=60,Table1[[#This Row],[Nutrition_Quality_Score]]&lt;=80),"Average Nutrition", "Good Nutrition"))</f>
        <v>Average Nutrition</v>
      </c>
      <c r="S425">
        <v>0</v>
      </c>
      <c r="T425" t="str">
        <f>IF(Table1[[#This Row],[Warmup_Routine_Adherence]]=1, "Adherent","Non-Adherent")</f>
        <v>Non-Adherent</v>
      </c>
      <c r="U425">
        <v>1</v>
      </c>
      <c r="V425" t="str">
        <f>IF(Table1[[#This Row],[Injury_Next_Season]]=1, "Injury","No Injury")</f>
        <v>Injury</v>
      </c>
      <c r="W425" s="3">
        <v>25.6611520347784</v>
      </c>
    </row>
    <row r="426" spans="1:23" x14ac:dyDescent="0.25">
      <c r="A426" s="6">
        <v>18</v>
      </c>
      <c r="B426" s="8" t="str">
        <f>CONCATENATE(Table1[[#This Row],[Age]]," ", "years")</f>
        <v>18 years</v>
      </c>
      <c r="C426">
        <v>174</v>
      </c>
      <c r="D426">
        <v>65</v>
      </c>
      <c r="E426" t="s">
        <v>19</v>
      </c>
      <c r="F426" s="3">
        <v>9.9480034016241401</v>
      </c>
      <c r="G426" s="3">
        <v>23</v>
      </c>
      <c r="H426">
        <v>1</v>
      </c>
      <c r="I426" s="3">
        <v>87.364302519954904</v>
      </c>
      <c r="J426" s="3">
        <v>72.480132657297005</v>
      </c>
      <c r="K426" s="3">
        <v>260.00724435350901</v>
      </c>
      <c r="L426" s="3">
        <v>86.158376297416496</v>
      </c>
      <c r="M426" s="3">
        <v>5.7994720040616397</v>
      </c>
      <c r="N426" s="3">
        <v>78.352599619399399</v>
      </c>
      <c r="O426" s="3">
        <v>7.9884631454964996</v>
      </c>
      <c r="P426" s="3">
        <v>39.200732397040703</v>
      </c>
      <c r="Q426" s="3">
        <v>66.731950982910206</v>
      </c>
      <c r="R426" s="3" t="str">
        <f>IF(Table1[[#This Row],[Nutrition_Quality_Score]]&lt;60, "Poor Nutrition",IF(AND(Table1[[#This Row],[Nutrition_Quality_Score]]&gt;=60,Table1[[#This Row],[Nutrition_Quality_Score]]&lt;=80),"Average Nutrition", "Good Nutrition"))</f>
        <v>Average Nutrition</v>
      </c>
      <c r="S426">
        <v>1</v>
      </c>
      <c r="T426" t="str">
        <f>IF(Table1[[#This Row],[Warmup_Routine_Adherence]]=1, "Adherent","Non-Adherent")</f>
        <v>Adherent</v>
      </c>
      <c r="U426">
        <v>0</v>
      </c>
      <c r="V426" t="str">
        <f>IF(Table1[[#This Row],[Injury_Next_Season]]=1, "Injury","No Injury")</f>
        <v>No Injury</v>
      </c>
      <c r="W426" s="3">
        <v>21.469150482230098</v>
      </c>
    </row>
    <row r="427" spans="1:23" x14ac:dyDescent="0.25">
      <c r="A427" s="6">
        <v>18</v>
      </c>
      <c r="B427" s="8" t="str">
        <f>CONCATENATE(Table1[[#This Row],[Age]]," ", "years")</f>
        <v>18 years</v>
      </c>
      <c r="C427">
        <v>172</v>
      </c>
      <c r="D427">
        <v>71</v>
      </c>
      <c r="E427" t="s">
        <v>21</v>
      </c>
      <c r="F427" s="3">
        <v>12.018524939878001</v>
      </c>
      <c r="G427" s="3">
        <v>24</v>
      </c>
      <c r="H427">
        <v>0</v>
      </c>
      <c r="I427" s="3">
        <v>84.057876655455104</v>
      </c>
      <c r="J427" s="3">
        <v>77.8192512775381</v>
      </c>
      <c r="K427" s="3">
        <v>264.657430851291</v>
      </c>
      <c r="L427" s="3">
        <v>89.757521004684506</v>
      </c>
      <c r="M427" s="3">
        <v>6.3354858771758602</v>
      </c>
      <c r="N427" s="3">
        <v>91.2232917295009</v>
      </c>
      <c r="O427" s="3">
        <v>8.2589528721987993</v>
      </c>
      <c r="P427" s="3">
        <v>67.726261021944893</v>
      </c>
      <c r="Q427" s="3">
        <v>73.676208362964601</v>
      </c>
      <c r="R427" s="3" t="str">
        <f>IF(Table1[[#This Row],[Nutrition_Quality_Score]]&lt;60, "Poor Nutrition",IF(AND(Table1[[#This Row],[Nutrition_Quality_Score]]&gt;=60,Table1[[#This Row],[Nutrition_Quality_Score]]&lt;=80),"Average Nutrition", "Good Nutrition"))</f>
        <v>Average Nutrition</v>
      </c>
      <c r="S427">
        <v>1</v>
      </c>
      <c r="T427" t="str">
        <f>IF(Table1[[#This Row],[Warmup_Routine_Adherence]]=1, "Adherent","Non-Adherent")</f>
        <v>Adherent</v>
      </c>
      <c r="U427">
        <v>0</v>
      </c>
      <c r="V427" t="str">
        <f>IF(Table1[[#This Row],[Injury_Next_Season]]=1, "Injury","No Injury")</f>
        <v>No Injury</v>
      </c>
      <c r="W427" s="3">
        <v>23.999459167117301</v>
      </c>
    </row>
    <row r="428" spans="1:23" x14ac:dyDescent="0.25">
      <c r="A428" s="6">
        <v>24</v>
      </c>
      <c r="B428" s="8" t="str">
        <f>CONCATENATE(Table1[[#This Row],[Age]]," ", "years")</f>
        <v>24 years</v>
      </c>
      <c r="C428">
        <v>179</v>
      </c>
      <c r="D428">
        <v>72</v>
      </c>
      <c r="E428" t="s">
        <v>21</v>
      </c>
      <c r="F428" s="3">
        <v>6.8467621812738404</v>
      </c>
      <c r="G428" s="3">
        <v>17</v>
      </c>
      <c r="H428">
        <v>3</v>
      </c>
      <c r="I428" s="3">
        <v>72.224312022421401</v>
      </c>
      <c r="J428" s="3">
        <v>72.788449426497095</v>
      </c>
      <c r="K428" s="3">
        <v>281.18937591960201</v>
      </c>
      <c r="L428" s="3">
        <v>76.4378570273593</v>
      </c>
      <c r="M428" s="3">
        <v>5.4099302055661296</v>
      </c>
      <c r="N428" s="3">
        <v>72.424933875261402</v>
      </c>
      <c r="O428" s="3">
        <v>5.8241923154615796</v>
      </c>
      <c r="P428" s="3">
        <v>49.1130282842363</v>
      </c>
      <c r="Q428" s="3">
        <v>58.9495884222911</v>
      </c>
      <c r="R428" s="3" t="str">
        <f>IF(Table1[[#This Row],[Nutrition_Quality_Score]]&lt;60, "Poor Nutrition",IF(AND(Table1[[#This Row],[Nutrition_Quality_Score]]&gt;=60,Table1[[#This Row],[Nutrition_Quality_Score]]&lt;=80),"Average Nutrition", "Good Nutrition"))</f>
        <v>Poor Nutrition</v>
      </c>
      <c r="S428">
        <v>1</v>
      </c>
      <c r="T428" t="str">
        <f>IF(Table1[[#This Row],[Warmup_Routine_Adherence]]=1, "Adherent","Non-Adherent")</f>
        <v>Adherent</v>
      </c>
      <c r="U428">
        <v>1</v>
      </c>
      <c r="V428" t="str">
        <f>IF(Table1[[#This Row],[Injury_Next_Season]]=1, "Injury","No Injury")</f>
        <v>Injury</v>
      </c>
      <c r="W428" s="3">
        <v>22.471208763771401</v>
      </c>
    </row>
    <row r="429" spans="1:23" x14ac:dyDescent="0.25">
      <c r="A429" s="6">
        <v>20</v>
      </c>
      <c r="B429" s="8" t="str">
        <f>CONCATENATE(Table1[[#This Row],[Age]]," ", "years")</f>
        <v>20 years</v>
      </c>
      <c r="C429">
        <v>173</v>
      </c>
      <c r="D429">
        <v>51</v>
      </c>
      <c r="E429" t="s">
        <v>22</v>
      </c>
      <c r="F429" s="3">
        <v>8.2843231514034894</v>
      </c>
      <c r="G429" s="3">
        <v>24</v>
      </c>
      <c r="H429">
        <v>1</v>
      </c>
      <c r="I429" s="3">
        <v>79.748629584558898</v>
      </c>
      <c r="J429" s="3">
        <v>85.573308870816405</v>
      </c>
      <c r="K429" s="3">
        <v>233.49691943960801</v>
      </c>
      <c r="L429" s="3">
        <v>87.099046569357796</v>
      </c>
      <c r="M429" s="3">
        <v>6.0648968851451004</v>
      </c>
      <c r="N429" s="3">
        <v>73.688492544292103</v>
      </c>
      <c r="O429" s="3">
        <v>7.8899848334055003</v>
      </c>
      <c r="P429" s="3">
        <v>55.660363141508398</v>
      </c>
      <c r="Q429" s="3">
        <v>91.162955026166898</v>
      </c>
      <c r="R429" s="3" t="str">
        <f>IF(Table1[[#This Row],[Nutrition_Quality_Score]]&lt;60, "Poor Nutrition",IF(AND(Table1[[#This Row],[Nutrition_Quality_Score]]&gt;=60,Table1[[#This Row],[Nutrition_Quality_Score]]&lt;=80),"Average Nutrition", "Good Nutrition"))</f>
        <v>Good Nutrition</v>
      </c>
      <c r="S429">
        <v>1</v>
      </c>
      <c r="T429" t="str">
        <f>IF(Table1[[#This Row],[Warmup_Routine_Adherence]]=1, "Adherent","Non-Adherent")</f>
        <v>Adherent</v>
      </c>
      <c r="U429">
        <v>0</v>
      </c>
      <c r="V429" t="str">
        <f>IF(Table1[[#This Row],[Injury_Next_Season]]=1, "Injury","No Injury")</f>
        <v>No Injury</v>
      </c>
      <c r="W429" s="3">
        <v>17.040328778108101</v>
      </c>
    </row>
    <row r="430" spans="1:23" x14ac:dyDescent="0.25">
      <c r="A430" s="6">
        <v>20</v>
      </c>
      <c r="B430" s="8" t="str">
        <f>CONCATENATE(Table1[[#This Row],[Age]]," ", "years")</f>
        <v>20 years</v>
      </c>
      <c r="C430">
        <v>178</v>
      </c>
      <c r="D430">
        <v>75</v>
      </c>
      <c r="E430" t="s">
        <v>19</v>
      </c>
      <c r="F430" s="3">
        <v>12.0929399656212</v>
      </c>
      <c r="G430" s="3">
        <v>21</v>
      </c>
      <c r="H430">
        <v>0</v>
      </c>
      <c r="I430" s="3">
        <v>72.739842377496004</v>
      </c>
      <c r="J430" s="3">
        <v>71.895215193298895</v>
      </c>
      <c r="K430" s="3">
        <v>266.48105582872103</v>
      </c>
      <c r="L430" s="3">
        <v>89.6359387423486</v>
      </c>
      <c r="M430" s="3">
        <v>5.5578532812691801</v>
      </c>
      <c r="N430" s="3">
        <v>93.095407687952104</v>
      </c>
      <c r="O430" s="3">
        <v>7.5690334164761204</v>
      </c>
      <c r="P430" s="3">
        <v>47.993509901881403</v>
      </c>
      <c r="Q430" s="3">
        <v>79.436009713475798</v>
      </c>
      <c r="R430" s="3" t="str">
        <f>IF(Table1[[#This Row],[Nutrition_Quality_Score]]&lt;60, "Poor Nutrition",IF(AND(Table1[[#This Row],[Nutrition_Quality_Score]]&gt;=60,Table1[[#This Row],[Nutrition_Quality_Score]]&lt;=80),"Average Nutrition", "Good Nutrition"))</f>
        <v>Average Nutrition</v>
      </c>
      <c r="S430">
        <v>0</v>
      </c>
      <c r="T430" t="str">
        <f>IF(Table1[[#This Row],[Warmup_Routine_Adherence]]=1, "Adherent","Non-Adherent")</f>
        <v>Non-Adherent</v>
      </c>
      <c r="U430">
        <v>1</v>
      </c>
      <c r="V430" t="str">
        <f>IF(Table1[[#This Row],[Injury_Next_Season]]=1, "Injury","No Injury")</f>
        <v>Injury</v>
      </c>
      <c r="W430" s="3">
        <v>23.671253629592201</v>
      </c>
    </row>
    <row r="431" spans="1:23" x14ac:dyDescent="0.25">
      <c r="A431" s="6">
        <v>24</v>
      </c>
      <c r="B431" s="8" t="str">
        <f>CONCATENATE(Table1[[#This Row],[Age]]," ", "years")</f>
        <v>24 years</v>
      </c>
      <c r="C431">
        <v>185</v>
      </c>
      <c r="D431">
        <v>65</v>
      </c>
      <c r="E431" t="s">
        <v>19</v>
      </c>
      <c r="F431" s="3">
        <v>13.3324930904065</v>
      </c>
      <c r="G431" s="3">
        <v>30</v>
      </c>
      <c r="H431">
        <v>1</v>
      </c>
      <c r="I431" s="3">
        <v>74.112285894575706</v>
      </c>
      <c r="J431" s="3">
        <v>82.195303328724194</v>
      </c>
      <c r="K431" s="3">
        <v>204.969468512774</v>
      </c>
      <c r="L431" s="3">
        <v>88.858335120881193</v>
      </c>
      <c r="M431" s="3">
        <v>5.8692199809975598</v>
      </c>
      <c r="N431" s="3">
        <v>83.404682403832197</v>
      </c>
      <c r="O431" s="3">
        <v>7.4630498241692003</v>
      </c>
      <c r="P431" s="3">
        <v>40.5644585834564</v>
      </c>
      <c r="Q431" s="3">
        <v>69.039979405382496</v>
      </c>
      <c r="R431" s="3" t="str">
        <f>IF(Table1[[#This Row],[Nutrition_Quality_Score]]&lt;60, "Poor Nutrition",IF(AND(Table1[[#This Row],[Nutrition_Quality_Score]]&gt;=60,Table1[[#This Row],[Nutrition_Quality_Score]]&lt;=80),"Average Nutrition", "Good Nutrition"))</f>
        <v>Average Nutrition</v>
      </c>
      <c r="S431">
        <v>1</v>
      </c>
      <c r="T431" t="str">
        <f>IF(Table1[[#This Row],[Warmup_Routine_Adherence]]=1, "Adherent","Non-Adherent")</f>
        <v>Adherent</v>
      </c>
      <c r="U431">
        <v>0</v>
      </c>
      <c r="V431" t="str">
        <f>IF(Table1[[#This Row],[Injury_Next_Season]]=1, "Injury","No Injury")</f>
        <v>No Injury</v>
      </c>
      <c r="W431" s="3">
        <v>18.991964937910801</v>
      </c>
    </row>
    <row r="432" spans="1:23" x14ac:dyDescent="0.25">
      <c r="A432" s="6">
        <v>22</v>
      </c>
      <c r="B432" s="8" t="str">
        <f>CONCATENATE(Table1[[#This Row],[Age]]," ", "years")</f>
        <v>22 years</v>
      </c>
      <c r="C432">
        <v>169</v>
      </c>
      <c r="D432">
        <v>76</v>
      </c>
      <c r="E432" t="s">
        <v>21</v>
      </c>
      <c r="F432" s="3">
        <v>5</v>
      </c>
      <c r="G432" s="3">
        <v>39</v>
      </c>
      <c r="H432">
        <v>0</v>
      </c>
      <c r="I432" s="3">
        <v>87.022740683653595</v>
      </c>
      <c r="J432" s="3">
        <v>88.111827668613302</v>
      </c>
      <c r="K432" s="3">
        <v>214.95254174960601</v>
      </c>
      <c r="L432" s="3">
        <v>86.359981480403704</v>
      </c>
      <c r="M432" s="3">
        <v>6.2993815782572797</v>
      </c>
      <c r="N432" s="3">
        <v>80.058464763690196</v>
      </c>
      <c r="O432" s="3">
        <v>8.5564486082063098</v>
      </c>
      <c r="P432" s="3">
        <v>43.494904958373198</v>
      </c>
      <c r="Q432" s="3">
        <v>61.4728424779939</v>
      </c>
      <c r="R432" s="3" t="str">
        <f>IF(Table1[[#This Row],[Nutrition_Quality_Score]]&lt;60, "Poor Nutrition",IF(AND(Table1[[#This Row],[Nutrition_Quality_Score]]&gt;=60,Table1[[#This Row],[Nutrition_Quality_Score]]&lt;=80),"Average Nutrition", "Good Nutrition"))</f>
        <v>Average Nutrition</v>
      </c>
      <c r="S432">
        <v>0</v>
      </c>
      <c r="T432" t="str">
        <f>IF(Table1[[#This Row],[Warmup_Routine_Adherence]]=1, "Adherent","Non-Adherent")</f>
        <v>Non-Adherent</v>
      </c>
      <c r="U432">
        <v>0</v>
      </c>
      <c r="V432" t="str">
        <f>IF(Table1[[#This Row],[Injury_Next_Season]]=1, "Injury","No Injury")</f>
        <v>No Injury</v>
      </c>
      <c r="W432" s="3">
        <v>26.609712545078899</v>
      </c>
    </row>
    <row r="433" spans="1:23" x14ac:dyDescent="0.25">
      <c r="A433" s="6">
        <v>21</v>
      </c>
      <c r="B433" s="8" t="str">
        <f>CONCATENATE(Table1[[#This Row],[Age]]," ", "years")</f>
        <v>21 years</v>
      </c>
      <c r="C433">
        <v>177</v>
      </c>
      <c r="D433">
        <v>82</v>
      </c>
      <c r="E433" t="s">
        <v>20</v>
      </c>
      <c r="F433" s="3">
        <v>10.738831187915901</v>
      </c>
      <c r="G433" s="3">
        <v>6</v>
      </c>
      <c r="H433">
        <v>0</v>
      </c>
      <c r="I433" s="3">
        <v>72.805635345027099</v>
      </c>
      <c r="J433" s="3">
        <v>85.160268761549304</v>
      </c>
      <c r="K433" s="3">
        <v>247.149162805446</v>
      </c>
      <c r="L433" s="3">
        <v>81.098960900966006</v>
      </c>
      <c r="M433" s="3">
        <v>5.9050473424100298</v>
      </c>
      <c r="N433" s="3">
        <v>62.379755130211201</v>
      </c>
      <c r="O433" s="3">
        <v>7.5881287642073501</v>
      </c>
      <c r="P433" s="3">
        <v>40.269490493580399</v>
      </c>
      <c r="Q433" s="3">
        <v>72.867095448667996</v>
      </c>
      <c r="R433" s="3" t="str">
        <f>IF(Table1[[#This Row],[Nutrition_Quality_Score]]&lt;60, "Poor Nutrition",IF(AND(Table1[[#This Row],[Nutrition_Quality_Score]]&gt;=60,Table1[[#This Row],[Nutrition_Quality_Score]]&lt;=80),"Average Nutrition", "Good Nutrition"))</f>
        <v>Average Nutrition</v>
      </c>
      <c r="S433">
        <v>1</v>
      </c>
      <c r="T433" t="str">
        <f>IF(Table1[[#This Row],[Warmup_Routine_Adherence]]=1, "Adherent","Non-Adherent")</f>
        <v>Adherent</v>
      </c>
      <c r="U433">
        <v>0</v>
      </c>
      <c r="V433" t="str">
        <f>IF(Table1[[#This Row],[Injury_Next_Season]]=1, "Injury","No Injury")</f>
        <v>No Injury</v>
      </c>
      <c r="W433" s="3">
        <v>26.173832551310198</v>
      </c>
    </row>
    <row r="434" spans="1:23" x14ac:dyDescent="0.25">
      <c r="A434" s="6">
        <v>19</v>
      </c>
      <c r="B434" s="8" t="str">
        <f>CONCATENATE(Table1[[#This Row],[Age]]," ", "years")</f>
        <v>19 years</v>
      </c>
      <c r="C434">
        <v>165</v>
      </c>
      <c r="D434">
        <v>81</v>
      </c>
      <c r="E434" t="s">
        <v>19</v>
      </c>
      <c r="F434" s="3">
        <v>10.5367935308543</v>
      </c>
      <c r="G434" s="3">
        <v>15</v>
      </c>
      <c r="H434">
        <v>1</v>
      </c>
      <c r="I434" s="3">
        <v>81.997895810522905</v>
      </c>
      <c r="J434" s="3">
        <v>67.973466690057904</v>
      </c>
      <c r="K434" s="3">
        <v>238.790415063311</v>
      </c>
      <c r="L434" s="3">
        <v>79.811806404077203</v>
      </c>
      <c r="M434" s="3">
        <v>6.0115970512899297</v>
      </c>
      <c r="N434" s="3">
        <v>54.022145167827503</v>
      </c>
      <c r="O434" s="3">
        <v>6.7597953122707199</v>
      </c>
      <c r="P434" s="3">
        <v>40.833089919326497</v>
      </c>
      <c r="Q434" s="3">
        <v>52.732628147108599</v>
      </c>
      <c r="R434" s="3" t="str">
        <f>IF(Table1[[#This Row],[Nutrition_Quality_Score]]&lt;60, "Poor Nutrition",IF(AND(Table1[[#This Row],[Nutrition_Quality_Score]]&gt;=60,Table1[[#This Row],[Nutrition_Quality_Score]]&lt;=80),"Average Nutrition", "Good Nutrition"))</f>
        <v>Poor Nutrition</v>
      </c>
      <c r="S434">
        <v>0</v>
      </c>
      <c r="T434" t="str">
        <f>IF(Table1[[#This Row],[Warmup_Routine_Adherence]]=1, "Adherent","Non-Adherent")</f>
        <v>Non-Adherent</v>
      </c>
      <c r="U434">
        <v>1</v>
      </c>
      <c r="V434" t="str">
        <f>IF(Table1[[#This Row],[Injury_Next_Season]]=1, "Injury","No Injury")</f>
        <v>Injury</v>
      </c>
      <c r="W434" s="3">
        <v>29.752066115702402</v>
      </c>
    </row>
    <row r="435" spans="1:23" x14ac:dyDescent="0.25">
      <c r="A435" s="6">
        <v>22</v>
      </c>
      <c r="B435" s="8" t="str">
        <f>CONCATENATE(Table1[[#This Row],[Age]]," ", "years")</f>
        <v>22 years</v>
      </c>
      <c r="C435">
        <v>180</v>
      </c>
      <c r="D435">
        <v>76</v>
      </c>
      <c r="E435" t="s">
        <v>20</v>
      </c>
      <c r="F435" s="3">
        <v>5.6682661356443296</v>
      </c>
      <c r="G435" s="3">
        <v>22</v>
      </c>
      <c r="H435">
        <v>5</v>
      </c>
      <c r="I435" s="3">
        <v>69.696656257747406</v>
      </c>
      <c r="J435" s="3">
        <v>82.339014422290205</v>
      </c>
      <c r="K435" s="3">
        <v>204.91481634092401</v>
      </c>
      <c r="L435" s="3">
        <v>73.988443749104704</v>
      </c>
      <c r="M435" s="3">
        <v>5.8397891233237198</v>
      </c>
      <c r="N435" s="3">
        <v>75.690665494349503</v>
      </c>
      <c r="O435" s="3">
        <v>6.0531454414051797</v>
      </c>
      <c r="P435" s="3">
        <v>67.062430695355104</v>
      </c>
      <c r="Q435" s="3">
        <v>67.815826948363807</v>
      </c>
      <c r="R435" s="3" t="str">
        <f>IF(Table1[[#This Row],[Nutrition_Quality_Score]]&lt;60, "Poor Nutrition",IF(AND(Table1[[#This Row],[Nutrition_Quality_Score]]&gt;=60,Table1[[#This Row],[Nutrition_Quality_Score]]&lt;=80),"Average Nutrition", "Good Nutrition"))</f>
        <v>Average Nutrition</v>
      </c>
      <c r="S435">
        <v>1</v>
      </c>
      <c r="T435" t="str">
        <f>IF(Table1[[#This Row],[Warmup_Routine_Adherence]]=1, "Adherent","Non-Adherent")</f>
        <v>Adherent</v>
      </c>
      <c r="U435">
        <v>1</v>
      </c>
      <c r="V435" t="str">
        <f>IF(Table1[[#This Row],[Injury_Next_Season]]=1, "Injury","No Injury")</f>
        <v>Injury</v>
      </c>
      <c r="W435" s="3">
        <v>23.456790123456699</v>
      </c>
    </row>
    <row r="436" spans="1:23" x14ac:dyDescent="0.25">
      <c r="A436" s="6">
        <v>20</v>
      </c>
      <c r="B436" s="8" t="str">
        <f>CONCATENATE(Table1[[#This Row],[Age]]," ", "years")</f>
        <v>20 years</v>
      </c>
      <c r="C436">
        <v>184</v>
      </c>
      <c r="D436">
        <v>79</v>
      </c>
      <c r="E436" t="s">
        <v>19</v>
      </c>
      <c r="F436" s="3">
        <v>8.9806841102299408</v>
      </c>
      <c r="G436" s="3">
        <v>39</v>
      </c>
      <c r="H436">
        <v>1</v>
      </c>
      <c r="I436" s="3">
        <v>82.790030624890804</v>
      </c>
      <c r="J436" s="3">
        <v>78.478533522800603</v>
      </c>
      <c r="K436" s="3">
        <v>248.139730910911</v>
      </c>
      <c r="L436" s="3">
        <v>86.927541034627097</v>
      </c>
      <c r="M436" s="3">
        <v>6.6117063432600203</v>
      </c>
      <c r="N436" s="3">
        <v>82.516534491565807</v>
      </c>
      <c r="O436" s="3">
        <v>7.2222524547454698</v>
      </c>
      <c r="P436" s="3">
        <v>34.617305744153001</v>
      </c>
      <c r="Q436" s="3">
        <v>72.003438797205106</v>
      </c>
      <c r="R436" s="3" t="str">
        <f>IF(Table1[[#This Row],[Nutrition_Quality_Score]]&lt;60, "Poor Nutrition",IF(AND(Table1[[#This Row],[Nutrition_Quality_Score]]&gt;=60,Table1[[#This Row],[Nutrition_Quality_Score]]&lt;=80),"Average Nutrition", "Good Nutrition"))</f>
        <v>Average Nutrition</v>
      </c>
      <c r="S436">
        <v>1</v>
      </c>
      <c r="T436" t="str">
        <f>IF(Table1[[#This Row],[Warmup_Routine_Adherence]]=1, "Adherent","Non-Adherent")</f>
        <v>Adherent</v>
      </c>
      <c r="U436">
        <v>0</v>
      </c>
      <c r="V436" t="str">
        <f>IF(Table1[[#This Row],[Injury_Next_Season]]=1, "Injury","No Injury")</f>
        <v>No Injury</v>
      </c>
      <c r="W436" s="3">
        <v>23.3341209829867</v>
      </c>
    </row>
    <row r="437" spans="1:23" x14ac:dyDescent="0.25">
      <c r="A437" s="6">
        <v>20</v>
      </c>
      <c r="B437" s="8" t="str">
        <f>CONCATENATE(Table1[[#This Row],[Age]]," ", "years")</f>
        <v>20 years</v>
      </c>
      <c r="C437">
        <v>179</v>
      </c>
      <c r="D437">
        <v>75</v>
      </c>
      <c r="E437" t="s">
        <v>20</v>
      </c>
      <c r="F437" s="3">
        <v>11.1645052795973</v>
      </c>
      <c r="G437" s="3">
        <v>36</v>
      </c>
      <c r="H437">
        <v>0</v>
      </c>
      <c r="I437" s="3">
        <v>75.798458172353193</v>
      </c>
      <c r="J437" s="3">
        <v>76.536669545900907</v>
      </c>
      <c r="K437" s="3">
        <v>260.43083282877001</v>
      </c>
      <c r="L437" s="3">
        <v>71.917011812869603</v>
      </c>
      <c r="M437" s="3">
        <v>5.9804347128944304</v>
      </c>
      <c r="N437" s="3">
        <v>82.066762913805704</v>
      </c>
      <c r="O437" s="3">
        <v>6.60868742744473</v>
      </c>
      <c r="P437" s="3">
        <v>84.353308057618406</v>
      </c>
      <c r="Q437" s="3">
        <v>74.599675977231698</v>
      </c>
      <c r="R437" s="3" t="str">
        <f>IF(Table1[[#This Row],[Nutrition_Quality_Score]]&lt;60, "Poor Nutrition",IF(AND(Table1[[#This Row],[Nutrition_Quality_Score]]&gt;=60,Table1[[#This Row],[Nutrition_Quality_Score]]&lt;=80),"Average Nutrition", "Good Nutrition"))</f>
        <v>Average Nutrition</v>
      </c>
      <c r="S437">
        <v>1</v>
      </c>
      <c r="T437" t="str">
        <f>IF(Table1[[#This Row],[Warmup_Routine_Adherence]]=1, "Adherent","Non-Adherent")</f>
        <v>Adherent</v>
      </c>
      <c r="U437">
        <v>1</v>
      </c>
      <c r="V437" t="str">
        <f>IF(Table1[[#This Row],[Injury_Next_Season]]=1, "Injury","No Injury")</f>
        <v>Injury</v>
      </c>
      <c r="W437" s="3">
        <v>23.407509128928499</v>
      </c>
    </row>
    <row r="438" spans="1:23" x14ac:dyDescent="0.25">
      <c r="A438" s="6">
        <v>24</v>
      </c>
      <c r="B438" s="8" t="str">
        <f>CONCATENATE(Table1[[#This Row],[Age]]," ", "years")</f>
        <v>24 years</v>
      </c>
      <c r="C438">
        <v>174</v>
      </c>
      <c r="D438">
        <v>63</v>
      </c>
      <c r="E438" t="s">
        <v>19</v>
      </c>
      <c r="F438" s="3">
        <v>6.5714437733616498</v>
      </c>
      <c r="G438" s="3">
        <v>23</v>
      </c>
      <c r="H438">
        <v>2</v>
      </c>
      <c r="I438" s="3">
        <v>71.245760738881501</v>
      </c>
      <c r="J438" s="3">
        <v>79.236641325205298</v>
      </c>
      <c r="K438" s="3">
        <v>234.728160270877</v>
      </c>
      <c r="L438" s="3">
        <v>84.309182756442496</v>
      </c>
      <c r="M438" s="3">
        <v>5.8258576874245502</v>
      </c>
      <c r="N438" s="3">
        <v>68.690774644026206</v>
      </c>
      <c r="O438" s="3">
        <v>5.9970719361882496</v>
      </c>
      <c r="P438" s="3">
        <v>67.123212185947196</v>
      </c>
      <c r="Q438" s="3">
        <v>74.807515808648404</v>
      </c>
      <c r="R438" s="3" t="str">
        <f>IF(Table1[[#This Row],[Nutrition_Quality_Score]]&lt;60, "Poor Nutrition",IF(AND(Table1[[#This Row],[Nutrition_Quality_Score]]&gt;=60,Table1[[#This Row],[Nutrition_Quality_Score]]&lt;=80),"Average Nutrition", "Good Nutrition"))</f>
        <v>Average Nutrition</v>
      </c>
      <c r="S438">
        <v>1</v>
      </c>
      <c r="T438" t="str">
        <f>IF(Table1[[#This Row],[Warmup_Routine_Adherence]]=1, "Adherent","Non-Adherent")</f>
        <v>Adherent</v>
      </c>
      <c r="U438">
        <v>1</v>
      </c>
      <c r="V438" t="str">
        <f>IF(Table1[[#This Row],[Injury_Next_Season]]=1, "Injury","No Injury")</f>
        <v>Injury</v>
      </c>
      <c r="W438" s="3">
        <v>20.808561236623</v>
      </c>
    </row>
    <row r="439" spans="1:23" x14ac:dyDescent="0.25">
      <c r="A439" s="6">
        <v>24</v>
      </c>
      <c r="B439" s="8" t="str">
        <f>CONCATENATE(Table1[[#This Row],[Age]]," ", "years")</f>
        <v>24 years</v>
      </c>
      <c r="C439">
        <v>173</v>
      </c>
      <c r="D439">
        <v>61</v>
      </c>
      <c r="E439" t="s">
        <v>20</v>
      </c>
      <c r="F439" s="3">
        <v>9.9554446590935992</v>
      </c>
      <c r="G439" s="3">
        <v>12</v>
      </c>
      <c r="H439">
        <v>1</v>
      </c>
      <c r="I439" s="3">
        <v>74.592012830372894</v>
      </c>
      <c r="J439" s="3">
        <v>79.878461194877005</v>
      </c>
      <c r="K439" s="3">
        <v>254.77185955681099</v>
      </c>
      <c r="L439" s="3">
        <v>87.435974546563898</v>
      </c>
      <c r="M439" s="3">
        <v>5.8885870651246899</v>
      </c>
      <c r="N439" s="3">
        <v>79.133493588388504</v>
      </c>
      <c r="O439" s="3">
        <v>6.0777915625882502</v>
      </c>
      <c r="P439" s="3">
        <v>57.967089932255</v>
      </c>
      <c r="Q439" s="3">
        <v>63.644673366384801</v>
      </c>
      <c r="R439" s="3" t="str">
        <f>IF(Table1[[#This Row],[Nutrition_Quality_Score]]&lt;60, "Poor Nutrition",IF(AND(Table1[[#This Row],[Nutrition_Quality_Score]]&gt;=60,Table1[[#This Row],[Nutrition_Quality_Score]]&lt;=80),"Average Nutrition", "Good Nutrition"))</f>
        <v>Average Nutrition</v>
      </c>
      <c r="S439">
        <v>1</v>
      </c>
      <c r="T439" t="str">
        <f>IF(Table1[[#This Row],[Warmup_Routine_Adherence]]=1, "Adherent","Non-Adherent")</f>
        <v>Adherent</v>
      </c>
      <c r="U439">
        <v>1</v>
      </c>
      <c r="V439" t="str">
        <f>IF(Table1[[#This Row],[Injury_Next_Season]]=1, "Injury","No Injury")</f>
        <v>Injury</v>
      </c>
      <c r="W439" s="3">
        <v>20.3815697149921</v>
      </c>
    </row>
    <row r="440" spans="1:23" x14ac:dyDescent="0.25">
      <c r="A440" s="6">
        <v>19</v>
      </c>
      <c r="B440" s="8" t="str">
        <f>CONCATENATE(Table1[[#This Row],[Age]]," ", "years")</f>
        <v>19 years</v>
      </c>
      <c r="C440">
        <v>180</v>
      </c>
      <c r="D440">
        <v>69</v>
      </c>
      <c r="E440" t="s">
        <v>22</v>
      </c>
      <c r="F440" s="3">
        <v>5.4892280222690202</v>
      </c>
      <c r="G440" s="3">
        <v>31</v>
      </c>
      <c r="H440">
        <v>3</v>
      </c>
      <c r="I440" s="3">
        <v>61.669939975899901</v>
      </c>
      <c r="J440" s="3">
        <v>80.407993285066496</v>
      </c>
      <c r="K440" s="3">
        <v>245.69703452538599</v>
      </c>
      <c r="L440" s="3">
        <v>72.513805968369596</v>
      </c>
      <c r="M440" s="3">
        <v>5.2970229344932003</v>
      </c>
      <c r="N440" s="3">
        <v>68.554066909364195</v>
      </c>
      <c r="O440" s="3">
        <v>5.7166054904278703</v>
      </c>
      <c r="P440" s="3">
        <v>51.221563399286602</v>
      </c>
      <c r="Q440" s="3">
        <v>64.887354289192103</v>
      </c>
      <c r="R440" s="3" t="str">
        <f>IF(Table1[[#This Row],[Nutrition_Quality_Score]]&lt;60, "Poor Nutrition",IF(AND(Table1[[#This Row],[Nutrition_Quality_Score]]&gt;=60,Table1[[#This Row],[Nutrition_Quality_Score]]&lt;=80),"Average Nutrition", "Good Nutrition"))</f>
        <v>Average Nutrition</v>
      </c>
      <c r="S440">
        <v>1</v>
      </c>
      <c r="T440" t="str">
        <f>IF(Table1[[#This Row],[Warmup_Routine_Adherence]]=1, "Adherent","Non-Adherent")</f>
        <v>Adherent</v>
      </c>
      <c r="U440">
        <v>1</v>
      </c>
      <c r="V440" t="str">
        <f>IF(Table1[[#This Row],[Injury_Next_Season]]=1, "Injury","No Injury")</f>
        <v>Injury</v>
      </c>
      <c r="W440" s="3">
        <v>21.296296296296202</v>
      </c>
    </row>
    <row r="441" spans="1:23" x14ac:dyDescent="0.25">
      <c r="A441" s="6">
        <v>23</v>
      </c>
      <c r="B441" s="8" t="str">
        <f>CONCATENATE(Table1[[#This Row],[Age]]," ", "years")</f>
        <v>23 years</v>
      </c>
      <c r="C441">
        <v>168</v>
      </c>
      <c r="D441">
        <v>64</v>
      </c>
      <c r="E441" t="s">
        <v>20</v>
      </c>
      <c r="F441" s="3">
        <v>10.5205375194229</v>
      </c>
      <c r="G441" s="3">
        <v>38</v>
      </c>
      <c r="H441">
        <v>4</v>
      </c>
      <c r="I441" s="3">
        <v>80.234022498841199</v>
      </c>
      <c r="J441" s="3">
        <v>84.794523040012393</v>
      </c>
      <c r="K441" s="3">
        <v>245.60525512404399</v>
      </c>
      <c r="L441" s="3">
        <v>88.806433258384402</v>
      </c>
      <c r="M441" s="3">
        <v>5.7406230594857801</v>
      </c>
      <c r="N441" s="3">
        <v>83.530731410756403</v>
      </c>
      <c r="O441" s="3">
        <v>7.4465593463006297</v>
      </c>
      <c r="P441" s="3">
        <v>59.385263899331598</v>
      </c>
      <c r="Q441" s="3">
        <v>60.932570600262601</v>
      </c>
      <c r="R441" s="3" t="str">
        <f>IF(Table1[[#This Row],[Nutrition_Quality_Score]]&lt;60, "Poor Nutrition",IF(AND(Table1[[#This Row],[Nutrition_Quality_Score]]&gt;=60,Table1[[#This Row],[Nutrition_Quality_Score]]&lt;=80),"Average Nutrition", "Good Nutrition"))</f>
        <v>Average Nutrition</v>
      </c>
      <c r="S441">
        <v>1</v>
      </c>
      <c r="T441" t="str">
        <f>IF(Table1[[#This Row],[Warmup_Routine_Adherence]]=1, "Adherent","Non-Adherent")</f>
        <v>Adherent</v>
      </c>
      <c r="U441">
        <v>1</v>
      </c>
      <c r="V441" t="str">
        <f>IF(Table1[[#This Row],[Injury_Next_Season]]=1, "Injury","No Injury")</f>
        <v>Injury</v>
      </c>
      <c r="W441" s="3">
        <v>22.6757369614512</v>
      </c>
    </row>
    <row r="442" spans="1:23" x14ac:dyDescent="0.25">
      <c r="A442" s="6">
        <v>22</v>
      </c>
      <c r="B442" s="8" t="str">
        <f>CONCATENATE(Table1[[#This Row],[Age]]," ", "years")</f>
        <v>22 years</v>
      </c>
      <c r="C442">
        <v>172</v>
      </c>
      <c r="D442">
        <v>87</v>
      </c>
      <c r="E442" t="s">
        <v>20</v>
      </c>
      <c r="F442" s="3">
        <v>8.2327914529521298</v>
      </c>
      <c r="G442" s="3">
        <v>7</v>
      </c>
      <c r="H442">
        <v>1</v>
      </c>
      <c r="I442" s="3">
        <v>65.934459155409897</v>
      </c>
      <c r="J442" s="3">
        <v>85.963130203114801</v>
      </c>
      <c r="K442" s="3">
        <v>306.41222564885999</v>
      </c>
      <c r="L442" s="3">
        <v>86.132749964780203</v>
      </c>
      <c r="M442" s="3">
        <v>5.6053525134984001</v>
      </c>
      <c r="N442" s="3">
        <v>69.3713130619808</v>
      </c>
      <c r="O442" s="3">
        <v>6.5816589446254099</v>
      </c>
      <c r="P442" s="3">
        <v>45.146670760933603</v>
      </c>
      <c r="Q442" s="3">
        <v>77.2430573086328</v>
      </c>
      <c r="R442" s="3" t="str">
        <f>IF(Table1[[#This Row],[Nutrition_Quality_Score]]&lt;60, "Poor Nutrition",IF(AND(Table1[[#This Row],[Nutrition_Quality_Score]]&gt;=60,Table1[[#This Row],[Nutrition_Quality_Score]]&lt;=80),"Average Nutrition", "Good Nutrition"))</f>
        <v>Average Nutrition</v>
      </c>
      <c r="S442">
        <v>1</v>
      </c>
      <c r="T442" t="str">
        <f>IF(Table1[[#This Row],[Warmup_Routine_Adherence]]=1, "Adherent","Non-Adherent")</f>
        <v>Adherent</v>
      </c>
      <c r="U442">
        <v>1</v>
      </c>
      <c r="V442" t="str">
        <f>IF(Table1[[#This Row],[Injury_Next_Season]]=1, "Injury","No Injury")</f>
        <v>Injury</v>
      </c>
      <c r="W442" s="3">
        <v>29.407787993509999</v>
      </c>
    </row>
    <row r="443" spans="1:23" x14ac:dyDescent="0.25">
      <c r="A443" s="6">
        <v>21</v>
      </c>
      <c r="B443" s="8" t="str">
        <f>CONCATENATE(Table1[[#This Row],[Age]]," ", "years")</f>
        <v>21 years</v>
      </c>
      <c r="C443">
        <v>180</v>
      </c>
      <c r="D443">
        <v>64</v>
      </c>
      <c r="E443" t="s">
        <v>22</v>
      </c>
      <c r="F443" s="3">
        <v>9.6796697152324604</v>
      </c>
      <c r="G443" s="3">
        <v>13</v>
      </c>
      <c r="H443">
        <v>3</v>
      </c>
      <c r="I443" s="3">
        <v>68.191442752575398</v>
      </c>
      <c r="J443" s="3">
        <v>83.622496264650906</v>
      </c>
      <c r="K443" s="3">
        <v>228.696049916204</v>
      </c>
      <c r="L443" s="3">
        <v>75.274973995216101</v>
      </c>
      <c r="M443" s="3">
        <v>5.4309370586338899</v>
      </c>
      <c r="N443" s="3">
        <v>74.889725618366299</v>
      </c>
      <c r="O443" s="3">
        <v>8.0954003140981303</v>
      </c>
      <c r="P443" s="3">
        <v>58.059560519070999</v>
      </c>
      <c r="Q443" s="3">
        <v>72.285015451979504</v>
      </c>
      <c r="R443" s="3" t="str">
        <f>IF(Table1[[#This Row],[Nutrition_Quality_Score]]&lt;60, "Poor Nutrition",IF(AND(Table1[[#This Row],[Nutrition_Quality_Score]]&gt;=60,Table1[[#This Row],[Nutrition_Quality_Score]]&lt;=80),"Average Nutrition", "Good Nutrition"))</f>
        <v>Average Nutrition</v>
      </c>
      <c r="S443">
        <v>0</v>
      </c>
      <c r="T443" t="str">
        <f>IF(Table1[[#This Row],[Warmup_Routine_Adherence]]=1, "Adherent","Non-Adherent")</f>
        <v>Non-Adherent</v>
      </c>
      <c r="U443">
        <v>1</v>
      </c>
      <c r="V443" t="str">
        <f>IF(Table1[[#This Row],[Injury_Next_Season]]=1, "Injury","No Injury")</f>
        <v>Injury</v>
      </c>
      <c r="W443" s="3">
        <v>19.753086419753</v>
      </c>
    </row>
    <row r="444" spans="1:23" x14ac:dyDescent="0.25">
      <c r="A444" s="6">
        <v>23</v>
      </c>
      <c r="B444" s="8" t="str">
        <f>CONCATENATE(Table1[[#This Row],[Age]]," ", "years")</f>
        <v>23 years</v>
      </c>
      <c r="C444">
        <v>184</v>
      </c>
      <c r="D444">
        <v>61</v>
      </c>
      <c r="E444" t="s">
        <v>20</v>
      </c>
      <c r="F444" s="3">
        <v>10.2065950623302</v>
      </c>
      <c r="G444" s="3">
        <v>9</v>
      </c>
      <c r="H444">
        <v>1</v>
      </c>
      <c r="I444" s="3">
        <v>66.285811977017104</v>
      </c>
      <c r="J444" s="3">
        <v>77.662368958161807</v>
      </c>
      <c r="K444" s="3">
        <v>232.427702460147</v>
      </c>
      <c r="L444" s="3">
        <v>71.105338308661103</v>
      </c>
      <c r="M444" s="3">
        <v>5.7412147375712301</v>
      </c>
      <c r="N444" s="3">
        <v>76.607198855372104</v>
      </c>
      <c r="O444" s="3">
        <v>6.2934584760504002</v>
      </c>
      <c r="P444" s="3">
        <v>40.873844096242898</v>
      </c>
      <c r="Q444" s="3">
        <v>70.026056998522293</v>
      </c>
      <c r="R444" s="3" t="str">
        <f>IF(Table1[[#This Row],[Nutrition_Quality_Score]]&lt;60, "Poor Nutrition",IF(AND(Table1[[#This Row],[Nutrition_Quality_Score]]&gt;=60,Table1[[#This Row],[Nutrition_Quality_Score]]&lt;=80),"Average Nutrition", "Good Nutrition"))</f>
        <v>Average Nutrition</v>
      </c>
      <c r="S444">
        <v>1</v>
      </c>
      <c r="T444" t="str">
        <f>IF(Table1[[#This Row],[Warmup_Routine_Adherence]]=1, "Adherent","Non-Adherent")</f>
        <v>Adherent</v>
      </c>
      <c r="U444">
        <v>1</v>
      </c>
      <c r="V444" t="str">
        <f>IF(Table1[[#This Row],[Injury_Next_Season]]=1, "Injury","No Injury")</f>
        <v>Injury</v>
      </c>
      <c r="W444" s="3">
        <v>18.017485822306199</v>
      </c>
    </row>
    <row r="445" spans="1:23" x14ac:dyDescent="0.25">
      <c r="A445" s="6">
        <v>20</v>
      </c>
      <c r="B445" s="8" t="str">
        <f>CONCATENATE(Table1[[#This Row],[Age]]," ", "years")</f>
        <v>20 years</v>
      </c>
      <c r="C445">
        <v>185</v>
      </c>
      <c r="D445">
        <v>60</v>
      </c>
      <c r="E445" t="s">
        <v>21</v>
      </c>
      <c r="F445" s="3">
        <v>6.14737943758269</v>
      </c>
      <c r="G445" s="3">
        <v>29</v>
      </c>
      <c r="H445">
        <v>2</v>
      </c>
      <c r="I445" s="3">
        <v>81.712567831825496</v>
      </c>
      <c r="J445" s="3">
        <v>82.130753278409799</v>
      </c>
      <c r="K445" s="3">
        <v>235.848828228184</v>
      </c>
      <c r="L445" s="3">
        <v>89.478611956625798</v>
      </c>
      <c r="M445" s="3">
        <v>6.3474536636189098</v>
      </c>
      <c r="N445" s="3">
        <v>81.396535380837193</v>
      </c>
      <c r="O445" s="3">
        <v>8.2185237693831201</v>
      </c>
      <c r="P445" s="3">
        <v>57.4176536808679</v>
      </c>
      <c r="Q445" s="3">
        <v>82.835631359126495</v>
      </c>
      <c r="R445" s="3" t="str">
        <f>IF(Table1[[#This Row],[Nutrition_Quality_Score]]&lt;60, "Poor Nutrition",IF(AND(Table1[[#This Row],[Nutrition_Quality_Score]]&gt;=60,Table1[[#This Row],[Nutrition_Quality_Score]]&lt;=80),"Average Nutrition", "Good Nutrition"))</f>
        <v>Good Nutrition</v>
      </c>
      <c r="S445">
        <v>1</v>
      </c>
      <c r="T445" t="str">
        <f>IF(Table1[[#This Row],[Warmup_Routine_Adherence]]=1, "Adherent","Non-Adherent")</f>
        <v>Adherent</v>
      </c>
      <c r="U445">
        <v>0</v>
      </c>
      <c r="V445" t="str">
        <f>IF(Table1[[#This Row],[Injury_Next_Season]]=1, "Injury","No Injury")</f>
        <v>No Injury</v>
      </c>
      <c r="W445" s="3">
        <v>17.5310445580715</v>
      </c>
    </row>
    <row r="446" spans="1:23" x14ac:dyDescent="0.25">
      <c r="A446" s="6">
        <v>24</v>
      </c>
      <c r="B446" s="8" t="str">
        <f>CONCATENATE(Table1[[#This Row],[Age]]," ", "years")</f>
        <v>24 years</v>
      </c>
      <c r="C446">
        <v>172</v>
      </c>
      <c r="D446">
        <v>74</v>
      </c>
      <c r="E446" t="s">
        <v>19</v>
      </c>
      <c r="F446" s="3">
        <v>15.7556053815929</v>
      </c>
      <c r="G446" s="3">
        <v>28</v>
      </c>
      <c r="H446">
        <v>1</v>
      </c>
      <c r="I446" s="3">
        <v>86.766437521623104</v>
      </c>
      <c r="J446" s="3">
        <v>74.144049201015505</v>
      </c>
      <c r="K446" s="3">
        <v>251.13249789144899</v>
      </c>
      <c r="L446" s="3">
        <v>92.249702618199393</v>
      </c>
      <c r="M446" s="3">
        <v>5.7201356007955999</v>
      </c>
      <c r="N446" s="3">
        <v>73.712892637453905</v>
      </c>
      <c r="O446" s="3">
        <v>7.4247029586919897</v>
      </c>
      <c r="P446" s="3">
        <v>62.920249140541699</v>
      </c>
      <c r="Q446" s="3">
        <v>58.275646704641197</v>
      </c>
      <c r="R446" s="3" t="str">
        <f>IF(Table1[[#This Row],[Nutrition_Quality_Score]]&lt;60, "Poor Nutrition",IF(AND(Table1[[#This Row],[Nutrition_Quality_Score]]&gt;=60,Table1[[#This Row],[Nutrition_Quality_Score]]&lt;=80),"Average Nutrition", "Good Nutrition"))</f>
        <v>Poor Nutrition</v>
      </c>
      <c r="S446">
        <v>1</v>
      </c>
      <c r="T446" t="str">
        <f>IF(Table1[[#This Row],[Warmup_Routine_Adherence]]=1, "Adherent","Non-Adherent")</f>
        <v>Adherent</v>
      </c>
      <c r="U446">
        <v>1</v>
      </c>
      <c r="V446" t="str">
        <f>IF(Table1[[#This Row],[Injury_Next_Season]]=1, "Injury","No Injury")</f>
        <v>Injury</v>
      </c>
      <c r="W446" s="3">
        <v>25.0135208220659</v>
      </c>
    </row>
    <row r="447" spans="1:23" x14ac:dyDescent="0.25">
      <c r="A447" s="6">
        <v>24</v>
      </c>
      <c r="B447" s="8" t="str">
        <f>CONCATENATE(Table1[[#This Row],[Age]]," ", "years")</f>
        <v>24 years</v>
      </c>
      <c r="C447">
        <v>184</v>
      </c>
      <c r="D447">
        <v>95</v>
      </c>
      <c r="E447" t="s">
        <v>21</v>
      </c>
      <c r="F447" s="3">
        <v>13.145674113052699</v>
      </c>
      <c r="G447" s="3">
        <v>10</v>
      </c>
      <c r="H447">
        <v>1</v>
      </c>
      <c r="I447" s="3">
        <v>86.791618685051205</v>
      </c>
      <c r="J447" s="3">
        <v>70.176218972561301</v>
      </c>
      <c r="K447" s="3">
        <v>238.07398710353101</v>
      </c>
      <c r="L447" s="3">
        <v>85.960946114375403</v>
      </c>
      <c r="M447" s="3">
        <v>5.2501541857927396</v>
      </c>
      <c r="N447" s="3">
        <v>84.252580948146004</v>
      </c>
      <c r="O447" s="3">
        <v>6.9179040151511</v>
      </c>
      <c r="P447" s="3">
        <v>61.935105053474899</v>
      </c>
      <c r="Q447" s="3">
        <v>83.557968814892604</v>
      </c>
      <c r="R447" s="3" t="str">
        <f>IF(Table1[[#This Row],[Nutrition_Quality_Score]]&lt;60, "Poor Nutrition",IF(AND(Table1[[#This Row],[Nutrition_Quality_Score]]&gt;=60,Table1[[#This Row],[Nutrition_Quality_Score]]&lt;=80),"Average Nutrition", "Good Nutrition"))</f>
        <v>Good Nutrition</v>
      </c>
      <c r="S447">
        <v>1</v>
      </c>
      <c r="T447" t="str">
        <f>IF(Table1[[#This Row],[Warmup_Routine_Adherence]]=1, "Adherent","Non-Adherent")</f>
        <v>Adherent</v>
      </c>
      <c r="U447">
        <v>1</v>
      </c>
      <c r="V447" t="str">
        <f>IF(Table1[[#This Row],[Injury_Next_Season]]=1, "Injury","No Injury")</f>
        <v>Injury</v>
      </c>
      <c r="W447" s="3">
        <v>28.060018903591601</v>
      </c>
    </row>
    <row r="448" spans="1:23" x14ac:dyDescent="0.25">
      <c r="A448" s="6">
        <v>23</v>
      </c>
      <c r="B448" s="8" t="str">
        <f>CONCATENATE(Table1[[#This Row],[Age]]," ", "years")</f>
        <v>23 years</v>
      </c>
      <c r="C448">
        <v>178</v>
      </c>
      <c r="D448">
        <v>69</v>
      </c>
      <c r="E448" t="s">
        <v>21</v>
      </c>
      <c r="F448" s="3">
        <v>13.169171084283301</v>
      </c>
      <c r="G448" s="3">
        <v>38</v>
      </c>
      <c r="H448">
        <v>1</v>
      </c>
      <c r="I448" s="3">
        <v>77.557290900017705</v>
      </c>
      <c r="J448" s="3">
        <v>88.062243252959206</v>
      </c>
      <c r="K448" s="3">
        <v>221.64483915606601</v>
      </c>
      <c r="L448" s="3">
        <v>88.422619303444407</v>
      </c>
      <c r="M448" s="3">
        <v>6.04630133955677</v>
      </c>
      <c r="N448" s="3">
        <v>74.889131605619596</v>
      </c>
      <c r="O448" s="3">
        <v>8.3690232306144807</v>
      </c>
      <c r="P448" s="3">
        <v>40.843825209213698</v>
      </c>
      <c r="Q448" s="3">
        <v>75.908631801365303</v>
      </c>
      <c r="R448" s="3" t="str">
        <f>IF(Table1[[#This Row],[Nutrition_Quality_Score]]&lt;60, "Poor Nutrition",IF(AND(Table1[[#This Row],[Nutrition_Quality_Score]]&gt;=60,Table1[[#This Row],[Nutrition_Quality_Score]]&lt;=80),"Average Nutrition", "Good Nutrition"))</f>
        <v>Average Nutrition</v>
      </c>
      <c r="S448">
        <v>1</v>
      </c>
      <c r="T448" t="str">
        <f>IF(Table1[[#This Row],[Warmup_Routine_Adherence]]=1, "Adherent","Non-Adherent")</f>
        <v>Adherent</v>
      </c>
      <c r="U448">
        <v>0</v>
      </c>
      <c r="V448" t="str">
        <f>IF(Table1[[#This Row],[Injury_Next_Season]]=1, "Injury","No Injury")</f>
        <v>No Injury</v>
      </c>
      <c r="W448" s="3">
        <v>21.777553339224799</v>
      </c>
    </row>
    <row r="449" spans="1:23" x14ac:dyDescent="0.25">
      <c r="A449" s="6">
        <v>20</v>
      </c>
      <c r="B449" s="8" t="str">
        <f>CONCATENATE(Table1[[#This Row],[Age]]," ", "years")</f>
        <v>20 years</v>
      </c>
      <c r="C449">
        <v>177</v>
      </c>
      <c r="D449">
        <v>66</v>
      </c>
      <c r="E449" t="s">
        <v>22</v>
      </c>
      <c r="F449" s="3">
        <v>6.3520149706058504</v>
      </c>
      <c r="G449" s="3">
        <v>35</v>
      </c>
      <c r="H449">
        <v>2</v>
      </c>
      <c r="I449" s="3">
        <v>78.940239582539206</v>
      </c>
      <c r="J449" s="3">
        <v>74.305564743789702</v>
      </c>
      <c r="K449" s="3">
        <v>239.88319018126501</v>
      </c>
      <c r="L449" s="3">
        <v>77.5528365266685</v>
      </c>
      <c r="M449" s="3">
        <v>5.5637607483357003</v>
      </c>
      <c r="N449" s="3">
        <v>64.703403919426805</v>
      </c>
      <c r="O449" s="3">
        <v>6.7915537623103202</v>
      </c>
      <c r="P449" s="3">
        <v>54.513765020850599</v>
      </c>
      <c r="Q449" s="3">
        <v>56.696268232724002</v>
      </c>
      <c r="R449" s="3" t="str">
        <f>IF(Table1[[#This Row],[Nutrition_Quality_Score]]&lt;60, "Poor Nutrition",IF(AND(Table1[[#This Row],[Nutrition_Quality_Score]]&gt;=60,Table1[[#This Row],[Nutrition_Quality_Score]]&lt;=80),"Average Nutrition", "Good Nutrition"))</f>
        <v>Poor Nutrition</v>
      </c>
      <c r="S449">
        <v>0</v>
      </c>
      <c r="T449" t="str">
        <f>IF(Table1[[#This Row],[Warmup_Routine_Adherence]]=1, "Adherent","Non-Adherent")</f>
        <v>Non-Adherent</v>
      </c>
      <c r="U449">
        <v>1</v>
      </c>
      <c r="V449" t="str">
        <f>IF(Table1[[#This Row],[Injury_Next_Season]]=1, "Injury","No Injury")</f>
        <v>Injury</v>
      </c>
      <c r="W449" s="3">
        <v>21.066743273005802</v>
      </c>
    </row>
    <row r="450" spans="1:23" x14ac:dyDescent="0.25">
      <c r="A450" s="6">
        <v>19</v>
      </c>
      <c r="B450" s="8" t="str">
        <f>CONCATENATE(Table1[[#This Row],[Age]]," ", "years")</f>
        <v>19 years</v>
      </c>
      <c r="C450">
        <v>177</v>
      </c>
      <c r="D450">
        <v>68</v>
      </c>
      <c r="E450" t="s">
        <v>19</v>
      </c>
      <c r="F450" s="3">
        <v>13.955668872476901</v>
      </c>
      <c r="G450" s="3">
        <v>6</v>
      </c>
      <c r="H450">
        <v>0</v>
      </c>
      <c r="I450" s="3">
        <v>74.786036560057894</v>
      </c>
      <c r="J450" s="3">
        <v>82.602772607840095</v>
      </c>
      <c r="K450" s="3">
        <v>258.29683032468802</v>
      </c>
      <c r="L450" s="3">
        <v>91.785184782987798</v>
      </c>
      <c r="M450" s="3">
        <v>5.9800366343320697</v>
      </c>
      <c r="N450" s="3">
        <v>83.255284184479606</v>
      </c>
      <c r="O450" s="3">
        <v>8.4554240432128402</v>
      </c>
      <c r="P450" s="3">
        <v>43.0998661536577</v>
      </c>
      <c r="Q450" s="3">
        <v>69.519002807950002</v>
      </c>
      <c r="R450" s="3" t="str">
        <f>IF(Table1[[#This Row],[Nutrition_Quality_Score]]&lt;60, "Poor Nutrition",IF(AND(Table1[[#This Row],[Nutrition_Quality_Score]]&gt;=60,Table1[[#This Row],[Nutrition_Quality_Score]]&lt;=80),"Average Nutrition", "Good Nutrition"))</f>
        <v>Average Nutrition</v>
      </c>
      <c r="S450">
        <v>1</v>
      </c>
      <c r="T450" t="str">
        <f>IF(Table1[[#This Row],[Warmup_Routine_Adherence]]=1, "Adherent","Non-Adherent")</f>
        <v>Adherent</v>
      </c>
      <c r="U450">
        <v>0</v>
      </c>
      <c r="V450" t="str">
        <f>IF(Table1[[#This Row],[Injury_Next_Season]]=1, "Injury","No Injury")</f>
        <v>No Injury</v>
      </c>
      <c r="W450" s="3">
        <v>21.7051294327938</v>
      </c>
    </row>
    <row r="451" spans="1:23" x14ac:dyDescent="0.25">
      <c r="A451" s="6">
        <v>24</v>
      </c>
      <c r="B451" s="8" t="str">
        <f>CONCATENATE(Table1[[#This Row],[Age]]," ", "years")</f>
        <v>24 years</v>
      </c>
      <c r="C451">
        <v>177</v>
      </c>
      <c r="D451">
        <v>95</v>
      </c>
      <c r="E451" t="s">
        <v>22</v>
      </c>
      <c r="F451" s="3">
        <v>8.9325990237087094</v>
      </c>
      <c r="G451" s="3">
        <v>21</v>
      </c>
      <c r="H451">
        <v>0</v>
      </c>
      <c r="I451" s="3">
        <v>77.168326376023202</v>
      </c>
      <c r="J451" s="3">
        <v>79.985570555233906</v>
      </c>
      <c r="K451" s="3">
        <v>253.21553041994699</v>
      </c>
      <c r="L451" s="3">
        <v>84.390517029603899</v>
      </c>
      <c r="M451" s="3">
        <v>5.9286109511795502</v>
      </c>
      <c r="N451" s="3">
        <v>75.854806685662496</v>
      </c>
      <c r="O451" s="3">
        <v>7.73194231995347</v>
      </c>
      <c r="P451" s="3">
        <v>53.720338940794697</v>
      </c>
      <c r="Q451" s="3">
        <v>86.133623610132602</v>
      </c>
      <c r="R451" s="3" t="str">
        <f>IF(Table1[[#This Row],[Nutrition_Quality_Score]]&lt;60, "Poor Nutrition",IF(AND(Table1[[#This Row],[Nutrition_Quality_Score]]&gt;=60,Table1[[#This Row],[Nutrition_Quality_Score]]&lt;=80),"Average Nutrition", "Good Nutrition"))</f>
        <v>Good Nutrition</v>
      </c>
      <c r="S451">
        <v>1</v>
      </c>
      <c r="T451" t="str">
        <f>IF(Table1[[#This Row],[Warmup_Routine_Adherence]]=1, "Adherent","Non-Adherent")</f>
        <v>Adherent</v>
      </c>
      <c r="U451">
        <v>0</v>
      </c>
      <c r="V451" t="str">
        <f>IF(Table1[[#This Row],[Injury_Next_Season]]=1, "Injury","No Injury")</f>
        <v>No Injury</v>
      </c>
      <c r="W451" s="3">
        <v>30.323342589932601</v>
      </c>
    </row>
    <row r="452" spans="1:23" x14ac:dyDescent="0.25">
      <c r="A452" s="6">
        <v>24</v>
      </c>
      <c r="B452" s="8" t="str">
        <f>CONCATENATE(Table1[[#This Row],[Age]]," ", "years")</f>
        <v>24 years</v>
      </c>
      <c r="C452">
        <v>179</v>
      </c>
      <c r="D452">
        <v>84</v>
      </c>
      <c r="E452" t="s">
        <v>19</v>
      </c>
      <c r="F452" s="3">
        <v>11.081907548541</v>
      </c>
      <c r="G452" s="3">
        <v>34</v>
      </c>
      <c r="H452">
        <v>2</v>
      </c>
      <c r="I452" s="3">
        <v>71.091961082447796</v>
      </c>
      <c r="J452" s="3">
        <v>76.976981945139698</v>
      </c>
      <c r="K452" s="3">
        <v>255.28713775140801</v>
      </c>
      <c r="L452" s="3">
        <v>84.237683848252701</v>
      </c>
      <c r="M452" s="3">
        <v>5.9755139381469196</v>
      </c>
      <c r="N452" s="3">
        <v>91.642365145217198</v>
      </c>
      <c r="O452" s="3">
        <v>6.3451182239845902</v>
      </c>
      <c r="P452" s="3">
        <v>58.866177270385698</v>
      </c>
      <c r="Q452" s="3">
        <v>77.789192333123793</v>
      </c>
      <c r="R452" s="3" t="str">
        <f>IF(Table1[[#This Row],[Nutrition_Quality_Score]]&lt;60, "Poor Nutrition",IF(AND(Table1[[#This Row],[Nutrition_Quality_Score]]&gt;=60,Table1[[#This Row],[Nutrition_Quality_Score]]&lt;=80),"Average Nutrition", "Good Nutrition"))</f>
        <v>Average Nutrition</v>
      </c>
      <c r="S452">
        <v>0</v>
      </c>
      <c r="T452" t="str">
        <f>IF(Table1[[#This Row],[Warmup_Routine_Adherence]]=1, "Adherent","Non-Adherent")</f>
        <v>Non-Adherent</v>
      </c>
      <c r="U452">
        <v>1</v>
      </c>
      <c r="V452" t="str">
        <f>IF(Table1[[#This Row],[Injury_Next_Season]]=1, "Injury","No Injury")</f>
        <v>Injury</v>
      </c>
      <c r="W452" s="3">
        <v>26.216410224399901</v>
      </c>
    </row>
    <row r="453" spans="1:23" x14ac:dyDescent="0.25">
      <c r="A453" s="6">
        <v>20</v>
      </c>
      <c r="B453" s="8" t="str">
        <f>CONCATENATE(Table1[[#This Row],[Age]]," ", "years")</f>
        <v>20 years</v>
      </c>
      <c r="C453">
        <v>176</v>
      </c>
      <c r="D453">
        <v>71</v>
      </c>
      <c r="E453" t="s">
        <v>19</v>
      </c>
      <c r="F453" s="3">
        <v>5</v>
      </c>
      <c r="G453" s="3">
        <v>24</v>
      </c>
      <c r="H453">
        <v>3</v>
      </c>
      <c r="I453" s="3">
        <v>78.8013966903371</v>
      </c>
      <c r="J453" s="3">
        <v>72.483470217264895</v>
      </c>
      <c r="K453" s="3">
        <v>228.01282193596001</v>
      </c>
      <c r="L453" s="3">
        <v>78.070268565136502</v>
      </c>
      <c r="M453" s="3">
        <v>6.0610823738399997</v>
      </c>
      <c r="N453" s="3">
        <v>91.861987269732097</v>
      </c>
      <c r="O453" s="3">
        <v>7.44337863099428</v>
      </c>
      <c r="P453" s="3">
        <v>45.4768487551218</v>
      </c>
      <c r="Q453" s="3">
        <v>63.815621399155603</v>
      </c>
      <c r="R453" s="3" t="str">
        <f>IF(Table1[[#This Row],[Nutrition_Quality_Score]]&lt;60, "Poor Nutrition",IF(AND(Table1[[#This Row],[Nutrition_Quality_Score]]&gt;=60,Table1[[#This Row],[Nutrition_Quality_Score]]&lt;=80),"Average Nutrition", "Good Nutrition"))</f>
        <v>Average Nutrition</v>
      </c>
      <c r="S453">
        <v>0</v>
      </c>
      <c r="T453" t="str">
        <f>IF(Table1[[#This Row],[Warmup_Routine_Adherence]]=1, "Adherent","Non-Adherent")</f>
        <v>Non-Adherent</v>
      </c>
      <c r="U453">
        <v>1</v>
      </c>
      <c r="V453" t="str">
        <f>IF(Table1[[#This Row],[Injury_Next_Season]]=1, "Injury","No Injury")</f>
        <v>Injury</v>
      </c>
      <c r="W453" s="3">
        <v>22.920971074380098</v>
      </c>
    </row>
    <row r="454" spans="1:23" x14ac:dyDescent="0.25">
      <c r="A454" s="6">
        <v>21</v>
      </c>
      <c r="B454" s="8" t="str">
        <f>CONCATENATE(Table1[[#This Row],[Age]]," ", "years")</f>
        <v>21 years</v>
      </c>
      <c r="C454">
        <v>191</v>
      </c>
      <c r="D454">
        <v>78</v>
      </c>
      <c r="E454" t="s">
        <v>20</v>
      </c>
      <c r="F454" s="3">
        <v>7.3247416985214002</v>
      </c>
      <c r="G454" s="3">
        <v>27</v>
      </c>
      <c r="H454">
        <v>2</v>
      </c>
      <c r="I454" s="3">
        <v>68.990944609002298</v>
      </c>
      <c r="J454" s="3">
        <v>73.061742922921795</v>
      </c>
      <c r="K454" s="3">
        <v>246.83442029843599</v>
      </c>
      <c r="L454" s="3">
        <v>86.464046222133703</v>
      </c>
      <c r="M454" s="3">
        <v>5.6682800644814204</v>
      </c>
      <c r="N454" s="3">
        <v>63.471222442949099</v>
      </c>
      <c r="O454" s="3">
        <v>6.6591365347478497</v>
      </c>
      <c r="P454" s="3">
        <v>59.204366273963998</v>
      </c>
      <c r="Q454" s="3">
        <v>80.096717014359399</v>
      </c>
      <c r="R454" s="3" t="str">
        <f>IF(Table1[[#This Row],[Nutrition_Quality_Score]]&lt;60, "Poor Nutrition",IF(AND(Table1[[#This Row],[Nutrition_Quality_Score]]&gt;=60,Table1[[#This Row],[Nutrition_Quality_Score]]&lt;=80),"Average Nutrition", "Good Nutrition"))</f>
        <v>Good Nutrition</v>
      </c>
      <c r="S454">
        <v>0</v>
      </c>
      <c r="T454" t="str">
        <f>IF(Table1[[#This Row],[Warmup_Routine_Adherence]]=1, "Adherent","Non-Adherent")</f>
        <v>Non-Adherent</v>
      </c>
      <c r="U454">
        <v>1</v>
      </c>
      <c r="V454" t="str">
        <f>IF(Table1[[#This Row],[Injury_Next_Season]]=1, "Injury","No Injury")</f>
        <v>Injury</v>
      </c>
      <c r="W454" s="3">
        <v>21.3809928455908</v>
      </c>
    </row>
    <row r="455" spans="1:23" x14ac:dyDescent="0.25">
      <c r="A455" s="6">
        <v>21</v>
      </c>
      <c r="B455" s="8" t="str">
        <f>CONCATENATE(Table1[[#This Row],[Age]]," ", "years")</f>
        <v>21 years</v>
      </c>
      <c r="C455">
        <v>185</v>
      </c>
      <c r="D455">
        <v>81</v>
      </c>
      <c r="E455" t="s">
        <v>20</v>
      </c>
      <c r="F455" s="3">
        <v>14.903956559421999</v>
      </c>
      <c r="G455" s="3">
        <v>36</v>
      </c>
      <c r="H455">
        <v>1</v>
      </c>
      <c r="I455" s="3">
        <v>78.082125728763202</v>
      </c>
      <c r="J455" s="3">
        <v>86.859240678462896</v>
      </c>
      <c r="K455" s="3">
        <v>232.50394996282199</v>
      </c>
      <c r="L455" s="3">
        <v>88.545364029195696</v>
      </c>
      <c r="M455" s="3">
        <v>6.4313629527397804</v>
      </c>
      <c r="N455" s="3">
        <v>84.104825864582594</v>
      </c>
      <c r="O455" s="3">
        <v>7.4786730175823797</v>
      </c>
      <c r="P455" s="3">
        <v>43.361216937157003</v>
      </c>
      <c r="Q455" s="3">
        <v>77.877038560746101</v>
      </c>
      <c r="R455" s="3" t="str">
        <f>IF(Table1[[#This Row],[Nutrition_Quality_Score]]&lt;60, "Poor Nutrition",IF(AND(Table1[[#This Row],[Nutrition_Quality_Score]]&gt;=60,Table1[[#This Row],[Nutrition_Quality_Score]]&lt;=80),"Average Nutrition", "Good Nutrition"))</f>
        <v>Average Nutrition</v>
      </c>
      <c r="S455">
        <v>0</v>
      </c>
      <c r="T455" t="str">
        <f>IF(Table1[[#This Row],[Warmup_Routine_Adherence]]=1, "Adherent","Non-Adherent")</f>
        <v>Non-Adherent</v>
      </c>
      <c r="U455">
        <v>0</v>
      </c>
      <c r="V455" t="str">
        <f>IF(Table1[[#This Row],[Injury_Next_Season]]=1, "Injury","No Injury")</f>
        <v>No Injury</v>
      </c>
      <c r="W455" s="3">
        <v>23.6669101533966</v>
      </c>
    </row>
    <row r="456" spans="1:23" x14ac:dyDescent="0.25">
      <c r="A456" s="6">
        <v>22</v>
      </c>
      <c r="B456" s="8" t="str">
        <f>CONCATENATE(Table1[[#This Row],[Age]]," ", "years")</f>
        <v>22 years</v>
      </c>
      <c r="C456">
        <v>164</v>
      </c>
      <c r="D456">
        <v>78</v>
      </c>
      <c r="E456" t="s">
        <v>22</v>
      </c>
      <c r="F456" s="3">
        <v>10.9747182251919</v>
      </c>
      <c r="G456" s="3">
        <v>36</v>
      </c>
      <c r="H456">
        <v>2</v>
      </c>
      <c r="I456" s="3">
        <v>68.234542625607702</v>
      </c>
      <c r="J456" s="3">
        <v>80.447030028809294</v>
      </c>
      <c r="K456" s="3">
        <v>237.51262557821599</v>
      </c>
      <c r="L456" s="3">
        <v>72.800429719131699</v>
      </c>
      <c r="M456" s="3">
        <v>5.6174518694437996</v>
      </c>
      <c r="N456" s="3">
        <v>85.6414834024458</v>
      </c>
      <c r="O456" s="3">
        <v>6.4384156151114098</v>
      </c>
      <c r="P456" s="3">
        <v>51.4306192312145</v>
      </c>
      <c r="Q456" s="3">
        <v>69.8942421531533</v>
      </c>
      <c r="R456" s="3" t="str">
        <f>IF(Table1[[#This Row],[Nutrition_Quality_Score]]&lt;60, "Poor Nutrition",IF(AND(Table1[[#This Row],[Nutrition_Quality_Score]]&gt;=60,Table1[[#This Row],[Nutrition_Quality_Score]]&lt;=80),"Average Nutrition", "Good Nutrition"))</f>
        <v>Average Nutrition</v>
      </c>
      <c r="S456">
        <v>1</v>
      </c>
      <c r="T456" t="str">
        <f>IF(Table1[[#This Row],[Warmup_Routine_Adherence]]=1, "Adherent","Non-Adherent")</f>
        <v>Adherent</v>
      </c>
      <c r="U456">
        <v>1</v>
      </c>
      <c r="V456" t="str">
        <f>IF(Table1[[#This Row],[Injury_Next_Season]]=1, "Injury","No Injury")</f>
        <v>Injury</v>
      </c>
      <c r="W456" s="3">
        <v>29.0005948839976</v>
      </c>
    </row>
    <row r="457" spans="1:23" x14ac:dyDescent="0.25">
      <c r="A457" s="6">
        <v>22</v>
      </c>
      <c r="B457" s="8" t="str">
        <f>CONCATENATE(Table1[[#This Row],[Age]]," ", "years")</f>
        <v>22 years</v>
      </c>
      <c r="C457">
        <v>179</v>
      </c>
      <c r="D457">
        <v>81</v>
      </c>
      <c r="E457" t="s">
        <v>20</v>
      </c>
      <c r="F457" s="3">
        <v>12.3751877015688</v>
      </c>
      <c r="G457" s="3">
        <v>35</v>
      </c>
      <c r="H457">
        <v>1</v>
      </c>
      <c r="I457" s="3">
        <v>72.038920881292</v>
      </c>
      <c r="J457" s="3">
        <v>82.563988343034794</v>
      </c>
      <c r="K457" s="3">
        <v>282.37263285355601</v>
      </c>
      <c r="L457" s="3">
        <v>80.031222416484098</v>
      </c>
      <c r="M457" s="3">
        <v>5.6412044063645199</v>
      </c>
      <c r="N457" s="3">
        <v>65.366581841856302</v>
      </c>
      <c r="O457" s="3">
        <v>6.0920326122575297</v>
      </c>
      <c r="P457" s="3">
        <v>58.2879825936731</v>
      </c>
      <c r="Q457" s="3">
        <v>74.116373198306306</v>
      </c>
      <c r="R457" s="3" t="str">
        <f>IF(Table1[[#This Row],[Nutrition_Quality_Score]]&lt;60, "Poor Nutrition",IF(AND(Table1[[#This Row],[Nutrition_Quality_Score]]&gt;=60,Table1[[#This Row],[Nutrition_Quality_Score]]&lt;=80),"Average Nutrition", "Good Nutrition"))</f>
        <v>Average Nutrition</v>
      </c>
      <c r="S457">
        <v>1</v>
      </c>
      <c r="T457" t="str">
        <f>IF(Table1[[#This Row],[Warmup_Routine_Adherence]]=1, "Adherent","Non-Adherent")</f>
        <v>Adherent</v>
      </c>
      <c r="U457">
        <v>1</v>
      </c>
      <c r="V457" t="str">
        <f>IF(Table1[[#This Row],[Injury_Next_Season]]=1, "Injury","No Injury")</f>
        <v>Injury</v>
      </c>
      <c r="W457" s="3">
        <v>25.280109859242799</v>
      </c>
    </row>
    <row r="458" spans="1:23" x14ac:dyDescent="0.25">
      <c r="A458" s="6">
        <v>21</v>
      </c>
      <c r="B458" s="8" t="str">
        <f>CONCATENATE(Table1[[#This Row],[Age]]," ", "years")</f>
        <v>21 years</v>
      </c>
      <c r="C458">
        <v>179</v>
      </c>
      <c r="D458">
        <v>78</v>
      </c>
      <c r="E458" t="s">
        <v>22</v>
      </c>
      <c r="F458" s="3">
        <v>9.84146673333405</v>
      </c>
      <c r="G458" s="3">
        <v>24</v>
      </c>
      <c r="H458">
        <v>1</v>
      </c>
      <c r="I458" s="3">
        <v>68.7862780221446</v>
      </c>
      <c r="J458" s="3">
        <v>76.352052476348405</v>
      </c>
      <c r="K458" s="3">
        <v>259.57985279746703</v>
      </c>
      <c r="L458" s="3">
        <v>80.764234734580597</v>
      </c>
      <c r="M458" s="3">
        <v>5.8484093416988001</v>
      </c>
      <c r="N458" s="3">
        <v>72.901843464470403</v>
      </c>
      <c r="O458" s="3">
        <v>6.8035158956493103</v>
      </c>
      <c r="P458" s="3">
        <v>75.646327578566101</v>
      </c>
      <c r="Q458" s="3">
        <v>85.164041951753205</v>
      </c>
      <c r="R458" s="3" t="str">
        <f>IF(Table1[[#This Row],[Nutrition_Quality_Score]]&lt;60, "Poor Nutrition",IF(AND(Table1[[#This Row],[Nutrition_Quality_Score]]&gt;=60,Table1[[#This Row],[Nutrition_Quality_Score]]&lt;=80),"Average Nutrition", "Good Nutrition"))</f>
        <v>Good Nutrition</v>
      </c>
      <c r="S458">
        <v>0</v>
      </c>
      <c r="T458" t="str">
        <f>IF(Table1[[#This Row],[Warmup_Routine_Adherence]]=1, "Adherent","Non-Adherent")</f>
        <v>Non-Adherent</v>
      </c>
      <c r="U458">
        <v>1</v>
      </c>
      <c r="V458" t="str">
        <f>IF(Table1[[#This Row],[Injury_Next_Season]]=1, "Injury","No Injury")</f>
        <v>Injury</v>
      </c>
      <c r="W458" s="3">
        <v>24.343809494085701</v>
      </c>
    </row>
    <row r="459" spans="1:23" x14ac:dyDescent="0.25">
      <c r="A459" s="6">
        <v>18</v>
      </c>
      <c r="B459" s="8" t="str">
        <f>CONCATENATE(Table1[[#This Row],[Age]]," ", "years")</f>
        <v>18 years</v>
      </c>
      <c r="C459">
        <v>186</v>
      </c>
      <c r="D459">
        <v>81</v>
      </c>
      <c r="E459" t="s">
        <v>20</v>
      </c>
      <c r="F459" s="3">
        <v>9.7289636661102303</v>
      </c>
      <c r="G459" s="3">
        <v>30</v>
      </c>
      <c r="H459">
        <v>2</v>
      </c>
      <c r="I459" s="3">
        <v>67.699626058038902</v>
      </c>
      <c r="J459" s="3">
        <v>68.878337010795306</v>
      </c>
      <c r="K459" s="3">
        <v>258.35233564968797</v>
      </c>
      <c r="L459" s="3">
        <v>88.737933929358206</v>
      </c>
      <c r="M459" s="3">
        <v>5.9492608735367103</v>
      </c>
      <c r="N459" s="3">
        <v>80.891386163528097</v>
      </c>
      <c r="O459" s="3">
        <v>7.4140722958337104</v>
      </c>
      <c r="P459" s="3">
        <v>61.306006663485803</v>
      </c>
      <c r="Q459" s="3">
        <v>72.017924524801202</v>
      </c>
      <c r="R459" s="3" t="str">
        <f>IF(Table1[[#This Row],[Nutrition_Quality_Score]]&lt;60, "Poor Nutrition",IF(AND(Table1[[#This Row],[Nutrition_Quality_Score]]&gt;=60,Table1[[#This Row],[Nutrition_Quality_Score]]&lt;=80),"Average Nutrition", "Good Nutrition"))</f>
        <v>Average Nutrition</v>
      </c>
      <c r="S459">
        <v>0</v>
      </c>
      <c r="T459" t="str">
        <f>IF(Table1[[#This Row],[Warmup_Routine_Adherence]]=1, "Adherent","Non-Adherent")</f>
        <v>Non-Adherent</v>
      </c>
      <c r="U459">
        <v>1</v>
      </c>
      <c r="V459" t="str">
        <f>IF(Table1[[#This Row],[Injury_Next_Season]]=1, "Injury","No Injury")</f>
        <v>Injury</v>
      </c>
      <c r="W459" s="3">
        <v>23.413111342351701</v>
      </c>
    </row>
    <row r="460" spans="1:23" x14ac:dyDescent="0.25">
      <c r="A460" s="6">
        <v>21</v>
      </c>
      <c r="B460" s="8" t="str">
        <f>CONCATENATE(Table1[[#This Row],[Age]]," ", "years")</f>
        <v>21 years</v>
      </c>
      <c r="C460">
        <v>166</v>
      </c>
      <c r="D460">
        <v>71</v>
      </c>
      <c r="E460" t="s">
        <v>19</v>
      </c>
      <c r="F460" s="3">
        <v>12.853857415920301</v>
      </c>
      <c r="G460" s="3">
        <v>24</v>
      </c>
      <c r="H460">
        <v>4</v>
      </c>
      <c r="I460" s="3">
        <v>73.822377053667196</v>
      </c>
      <c r="J460" s="3">
        <v>83.020732608456598</v>
      </c>
      <c r="K460" s="3">
        <v>286.930749287575</v>
      </c>
      <c r="L460" s="3">
        <v>84.497758336621203</v>
      </c>
      <c r="M460" s="3">
        <v>6.04096554073758</v>
      </c>
      <c r="N460" s="3">
        <v>60.527621623776199</v>
      </c>
      <c r="O460" s="3">
        <v>6.03677296854144</v>
      </c>
      <c r="P460" s="3">
        <v>65.385372208786904</v>
      </c>
      <c r="Q460" s="3">
        <v>62.9743857724348</v>
      </c>
      <c r="R460" s="3" t="str">
        <f>IF(Table1[[#This Row],[Nutrition_Quality_Score]]&lt;60, "Poor Nutrition",IF(AND(Table1[[#This Row],[Nutrition_Quality_Score]]&gt;=60,Table1[[#This Row],[Nutrition_Quality_Score]]&lt;=80),"Average Nutrition", "Good Nutrition"))</f>
        <v>Average Nutrition</v>
      </c>
      <c r="S460">
        <v>1</v>
      </c>
      <c r="T460" t="str">
        <f>IF(Table1[[#This Row],[Warmup_Routine_Adherence]]=1, "Adherent","Non-Adherent")</f>
        <v>Adherent</v>
      </c>
      <c r="U460">
        <v>1</v>
      </c>
      <c r="V460" t="str">
        <f>IF(Table1[[#This Row],[Injury_Next_Season]]=1, "Injury","No Injury")</f>
        <v>Injury</v>
      </c>
      <c r="W460" s="3">
        <v>25.765713456234501</v>
      </c>
    </row>
    <row r="461" spans="1:23" x14ac:dyDescent="0.25">
      <c r="A461" s="6">
        <v>24</v>
      </c>
      <c r="B461" s="8" t="str">
        <f>CONCATENATE(Table1[[#This Row],[Age]]," ", "years")</f>
        <v>24 years</v>
      </c>
      <c r="C461">
        <v>163</v>
      </c>
      <c r="D461">
        <v>72</v>
      </c>
      <c r="E461" t="s">
        <v>20</v>
      </c>
      <c r="F461" s="3">
        <v>8.4904176080253198</v>
      </c>
      <c r="G461" s="3">
        <v>30</v>
      </c>
      <c r="H461">
        <v>0</v>
      </c>
      <c r="I461" s="3">
        <v>77.544139635002395</v>
      </c>
      <c r="J461" s="3">
        <v>78.629602693324799</v>
      </c>
      <c r="K461" s="3">
        <v>220.25114978331899</v>
      </c>
      <c r="L461" s="3">
        <v>85.934536585649596</v>
      </c>
      <c r="M461" s="3">
        <v>6.1030427158587797</v>
      </c>
      <c r="N461" s="3">
        <v>76.461513769741998</v>
      </c>
      <c r="O461" s="3">
        <v>6.6536781557855296</v>
      </c>
      <c r="P461" s="3">
        <v>47.674060179586299</v>
      </c>
      <c r="Q461" s="3">
        <v>70.421118168273196</v>
      </c>
      <c r="R461" s="3" t="str">
        <f>IF(Table1[[#This Row],[Nutrition_Quality_Score]]&lt;60, "Poor Nutrition",IF(AND(Table1[[#This Row],[Nutrition_Quality_Score]]&gt;=60,Table1[[#This Row],[Nutrition_Quality_Score]]&lt;=80),"Average Nutrition", "Good Nutrition"))</f>
        <v>Average Nutrition</v>
      </c>
      <c r="S461">
        <v>1</v>
      </c>
      <c r="T461" t="str">
        <f>IF(Table1[[#This Row],[Warmup_Routine_Adherence]]=1, "Adherent","Non-Adherent")</f>
        <v>Adherent</v>
      </c>
      <c r="U461">
        <v>0</v>
      </c>
      <c r="V461" t="str">
        <f>IF(Table1[[#This Row],[Injury_Next_Season]]=1, "Injury","No Injury")</f>
        <v>No Injury</v>
      </c>
      <c r="W461" s="3">
        <v>27.099251006812398</v>
      </c>
    </row>
    <row r="462" spans="1:23" x14ac:dyDescent="0.25">
      <c r="A462" s="6">
        <v>24</v>
      </c>
      <c r="B462" s="8" t="str">
        <f>CONCATENATE(Table1[[#This Row],[Age]]," ", "years")</f>
        <v>24 years</v>
      </c>
      <c r="C462">
        <v>175</v>
      </c>
      <c r="D462">
        <v>66</v>
      </c>
      <c r="E462" t="s">
        <v>19</v>
      </c>
      <c r="F462" s="3">
        <v>5.2973074880397997</v>
      </c>
      <c r="G462" s="3">
        <v>35</v>
      </c>
      <c r="H462">
        <v>0</v>
      </c>
      <c r="I462" s="3">
        <v>83.971949090992993</v>
      </c>
      <c r="J462" s="3">
        <v>78.540648656095101</v>
      </c>
      <c r="K462" s="3">
        <v>242.702712808934</v>
      </c>
      <c r="L462" s="3">
        <v>83.573757851577597</v>
      </c>
      <c r="M462" s="3">
        <v>6.1885621271158398</v>
      </c>
      <c r="N462" s="3">
        <v>71.807197572975099</v>
      </c>
      <c r="O462" s="3">
        <v>8.4010617198388697</v>
      </c>
      <c r="P462" s="3">
        <v>51.635921830049298</v>
      </c>
      <c r="Q462" s="3">
        <v>89.583195799834002</v>
      </c>
      <c r="R462" s="3" t="str">
        <f>IF(Table1[[#This Row],[Nutrition_Quality_Score]]&lt;60, "Poor Nutrition",IF(AND(Table1[[#This Row],[Nutrition_Quality_Score]]&gt;=60,Table1[[#This Row],[Nutrition_Quality_Score]]&lt;=80),"Average Nutrition", "Good Nutrition"))</f>
        <v>Good Nutrition</v>
      </c>
      <c r="S462">
        <v>1</v>
      </c>
      <c r="T462" t="str">
        <f>IF(Table1[[#This Row],[Warmup_Routine_Adherence]]=1, "Adherent","Non-Adherent")</f>
        <v>Adherent</v>
      </c>
      <c r="U462">
        <v>0</v>
      </c>
      <c r="V462" t="str">
        <f>IF(Table1[[#This Row],[Injury_Next_Season]]=1, "Injury","No Injury")</f>
        <v>No Injury</v>
      </c>
      <c r="W462" s="3">
        <v>21.5510204081632</v>
      </c>
    </row>
    <row r="463" spans="1:23" x14ac:dyDescent="0.25">
      <c r="A463" s="6">
        <v>20</v>
      </c>
      <c r="B463" s="8" t="str">
        <f>CONCATENATE(Table1[[#This Row],[Age]]," ", "years")</f>
        <v>20 years</v>
      </c>
      <c r="C463">
        <v>190</v>
      </c>
      <c r="D463">
        <v>70</v>
      </c>
      <c r="E463" t="s">
        <v>22</v>
      </c>
      <c r="F463" s="3">
        <v>8.7331724081511108</v>
      </c>
      <c r="G463" s="3">
        <v>19</v>
      </c>
      <c r="H463">
        <v>0</v>
      </c>
      <c r="I463" s="3">
        <v>86.157769636508704</v>
      </c>
      <c r="J463" s="3">
        <v>87.118241610694398</v>
      </c>
      <c r="K463" s="3">
        <v>259.81583860319</v>
      </c>
      <c r="L463" s="3">
        <v>80.331074504549505</v>
      </c>
      <c r="M463" s="3">
        <v>5.7715691063546499</v>
      </c>
      <c r="N463" s="3">
        <v>85.649293299724107</v>
      </c>
      <c r="O463" s="3">
        <v>7.6742405119205497</v>
      </c>
      <c r="P463" s="3">
        <v>23.122009247109801</v>
      </c>
      <c r="Q463" s="3">
        <v>94.9181635465022</v>
      </c>
      <c r="R463" s="3" t="str">
        <f>IF(Table1[[#This Row],[Nutrition_Quality_Score]]&lt;60, "Poor Nutrition",IF(AND(Table1[[#This Row],[Nutrition_Quality_Score]]&gt;=60,Table1[[#This Row],[Nutrition_Quality_Score]]&lt;=80),"Average Nutrition", "Good Nutrition"))</f>
        <v>Good Nutrition</v>
      </c>
      <c r="S463">
        <v>1</v>
      </c>
      <c r="T463" t="str">
        <f>IF(Table1[[#This Row],[Warmup_Routine_Adherence]]=1, "Adherent","Non-Adherent")</f>
        <v>Adherent</v>
      </c>
      <c r="U463">
        <v>0</v>
      </c>
      <c r="V463" t="str">
        <f>IF(Table1[[#This Row],[Injury_Next_Season]]=1, "Injury","No Injury")</f>
        <v>No Injury</v>
      </c>
      <c r="W463" s="3">
        <v>19.3905817174515</v>
      </c>
    </row>
    <row r="464" spans="1:23" x14ac:dyDescent="0.25">
      <c r="A464" s="6">
        <v>24</v>
      </c>
      <c r="B464" s="8" t="str">
        <f>CONCATENATE(Table1[[#This Row],[Age]]," ", "years")</f>
        <v>24 years</v>
      </c>
      <c r="C464">
        <v>176</v>
      </c>
      <c r="D464">
        <v>73</v>
      </c>
      <c r="E464" t="s">
        <v>20</v>
      </c>
      <c r="F464" s="3">
        <v>10.525976483002699</v>
      </c>
      <c r="G464" s="3">
        <v>35</v>
      </c>
      <c r="H464">
        <v>1</v>
      </c>
      <c r="I464" s="3">
        <v>69.442556779545697</v>
      </c>
      <c r="J464" s="3">
        <v>82.593714944157</v>
      </c>
      <c r="K464" s="3">
        <v>251.81759870677999</v>
      </c>
      <c r="L464" s="3">
        <v>76.582819242953093</v>
      </c>
      <c r="M464" s="3">
        <v>5.9447048127156696</v>
      </c>
      <c r="N464" s="3">
        <v>64.3724493945181</v>
      </c>
      <c r="O464" s="3">
        <v>7.0571792659545096</v>
      </c>
      <c r="P464" s="3">
        <v>46.085431634978399</v>
      </c>
      <c r="Q464" s="3">
        <v>62.525750517099702</v>
      </c>
      <c r="R464" s="3" t="str">
        <f>IF(Table1[[#This Row],[Nutrition_Quality_Score]]&lt;60, "Poor Nutrition",IF(AND(Table1[[#This Row],[Nutrition_Quality_Score]]&gt;=60,Table1[[#This Row],[Nutrition_Quality_Score]]&lt;=80),"Average Nutrition", "Good Nutrition"))</f>
        <v>Average Nutrition</v>
      </c>
      <c r="S464">
        <v>0</v>
      </c>
      <c r="T464" t="str">
        <f>IF(Table1[[#This Row],[Warmup_Routine_Adherence]]=1, "Adherent","Non-Adherent")</f>
        <v>Non-Adherent</v>
      </c>
      <c r="U464">
        <v>1</v>
      </c>
      <c r="V464" t="str">
        <f>IF(Table1[[#This Row],[Injury_Next_Season]]=1, "Injury","No Injury")</f>
        <v>Injury</v>
      </c>
      <c r="W464" s="3">
        <v>23.566632231404899</v>
      </c>
    </row>
    <row r="465" spans="1:23" x14ac:dyDescent="0.25">
      <c r="A465" s="6">
        <v>23</v>
      </c>
      <c r="B465" s="8" t="str">
        <f>CONCATENATE(Table1[[#This Row],[Age]]," ", "years")</f>
        <v>23 years</v>
      </c>
      <c r="C465">
        <v>175</v>
      </c>
      <c r="D465">
        <v>76</v>
      </c>
      <c r="E465" t="s">
        <v>20</v>
      </c>
      <c r="F465" s="3">
        <v>12.981327070847</v>
      </c>
      <c r="G465" s="3">
        <v>19</v>
      </c>
      <c r="H465">
        <v>0</v>
      </c>
      <c r="I465" s="3">
        <v>59.542823253324997</v>
      </c>
      <c r="J465" s="3">
        <v>77.8606476638939</v>
      </c>
      <c r="K465" s="3">
        <v>243.95081468718001</v>
      </c>
      <c r="L465" s="3">
        <v>92.919081492768299</v>
      </c>
      <c r="M465" s="3">
        <v>5.9334322274864899</v>
      </c>
      <c r="N465" s="3">
        <v>78.157622021583094</v>
      </c>
      <c r="O465" s="3">
        <v>7.7914075698047904</v>
      </c>
      <c r="P465" s="3">
        <v>49.126406168681797</v>
      </c>
      <c r="Q465" s="3">
        <v>55.310167588327801</v>
      </c>
      <c r="R465" s="3" t="str">
        <f>IF(Table1[[#This Row],[Nutrition_Quality_Score]]&lt;60, "Poor Nutrition",IF(AND(Table1[[#This Row],[Nutrition_Quality_Score]]&gt;=60,Table1[[#This Row],[Nutrition_Quality_Score]]&lt;=80),"Average Nutrition", "Good Nutrition"))</f>
        <v>Poor Nutrition</v>
      </c>
      <c r="S465">
        <v>1</v>
      </c>
      <c r="T465" t="str">
        <f>IF(Table1[[#This Row],[Warmup_Routine_Adherence]]=1, "Adherent","Non-Adherent")</f>
        <v>Adherent</v>
      </c>
      <c r="U465">
        <v>0</v>
      </c>
      <c r="V465" t="str">
        <f>IF(Table1[[#This Row],[Injury_Next_Season]]=1, "Injury","No Injury")</f>
        <v>No Injury</v>
      </c>
      <c r="W465" s="3">
        <v>24.816326530612201</v>
      </c>
    </row>
    <row r="466" spans="1:23" x14ac:dyDescent="0.25">
      <c r="A466" s="6">
        <v>18</v>
      </c>
      <c r="B466" s="8" t="str">
        <f>CONCATENATE(Table1[[#This Row],[Age]]," ", "years")</f>
        <v>18 years</v>
      </c>
      <c r="C466">
        <v>167</v>
      </c>
      <c r="D466">
        <v>79</v>
      </c>
      <c r="E466" t="s">
        <v>21</v>
      </c>
      <c r="F466" s="3">
        <v>9.8136217518399107</v>
      </c>
      <c r="G466" s="3">
        <v>29</v>
      </c>
      <c r="H466">
        <v>1</v>
      </c>
      <c r="I466" s="3">
        <v>75.859138944377406</v>
      </c>
      <c r="J466" s="3">
        <v>80.777097786380494</v>
      </c>
      <c r="K466" s="3">
        <v>277.53445552777799</v>
      </c>
      <c r="L466" s="3">
        <v>85.421682205473402</v>
      </c>
      <c r="M466" s="3">
        <v>5.5746055906687202</v>
      </c>
      <c r="N466" s="3">
        <v>79.235705344870794</v>
      </c>
      <c r="O466" s="3">
        <v>7.2086081072867199</v>
      </c>
      <c r="P466" s="3">
        <v>48.4207504776899</v>
      </c>
      <c r="Q466" s="3">
        <v>72.038961185287704</v>
      </c>
      <c r="R466" s="3" t="str">
        <f>IF(Table1[[#This Row],[Nutrition_Quality_Score]]&lt;60, "Poor Nutrition",IF(AND(Table1[[#This Row],[Nutrition_Quality_Score]]&gt;=60,Table1[[#This Row],[Nutrition_Quality_Score]]&lt;=80),"Average Nutrition", "Good Nutrition"))</f>
        <v>Average Nutrition</v>
      </c>
      <c r="S466">
        <v>0</v>
      </c>
      <c r="T466" t="str">
        <f>IF(Table1[[#This Row],[Warmup_Routine_Adherence]]=1, "Adherent","Non-Adherent")</f>
        <v>Non-Adherent</v>
      </c>
      <c r="U466">
        <v>1</v>
      </c>
      <c r="V466" t="str">
        <f>IF(Table1[[#This Row],[Injury_Next_Season]]=1, "Injury","No Injury")</f>
        <v>Injury</v>
      </c>
      <c r="W466" s="3">
        <v>28.326580372189699</v>
      </c>
    </row>
    <row r="467" spans="1:23" x14ac:dyDescent="0.25">
      <c r="A467" s="6">
        <v>22</v>
      </c>
      <c r="B467" s="8" t="str">
        <f>CONCATENATE(Table1[[#This Row],[Age]]," ", "years")</f>
        <v>22 years</v>
      </c>
      <c r="C467">
        <v>169</v>
      </c>
      <c r="D467">
        <v>79</v>
      </c>
      <c r="E467" t="s">
        <v>21</v>
      </c>
      <c r="F467" s="3">
        <v>7.1434683303023796</v>
      </c>
      <c r="G467" s="3">
        <v>19</v>
      </c>
      <c r="H467">
        <v>3</v>
      </c>
      <c r="I467" s="3">
        <v>86.3449744517158</v>
      </c>
      <c r="J467" s="3">
        <v>76.620014550530996</v>
      </c>
      <c r="K467" s="3">
        <v>272.116424461946</v>
      </c>
      <c r="L467" s="3">
        <v>87.184276822955297</v>
      </c>
      <c r="M467" s="3">
        <v>6.1314011119345704</v>
      </c>
      <c r="N467" s="3">
        <v>73.167001629563899</v>
      </c>
      <c r="O467" s="3">
        <v>6.4732644351383701</v>
      </c>
      <c r="P467" s="3">
        <v>73.482804300658401</v>
      </c>
      <c r="Q467" s="3">
        <v>74.289128533890803</v>
      </c>
      <c r="R467" s="3" t="str">
        <f>IF(Table1[[#This Row],[Nutrition_Quality_Score]]&lt;60, "Poor Nutrition",IF(AND(Table1[[#This Row],[Nutrition_Quality_Score]]&gt;=60,Table1[[#This Row],[Nutrition_Quality_Score]]&lt;=80),"Average Nutrition", "Good Nutrition"))</f>
        <v>Average Nutrition</v>
      </c>
      <c r="S467">
        <v>0</v>
      </c>
      <c r="T467" t="str">
        <f>IF(Table1[[#This Row],[Warmup_Routine_Adherence]]=1, "Adherent","Non-Adherent")</f>
        <v>Non-Adherent</v>
      </c>
      <c r="U467">
        <v>1</v>
      </c>
      <c r="V467" t="str">
        <f>IF(Table1[[#This Row],[Injury_Next_Season]]=1, "Injury","No Injury")</f>
        <v>Injury</v>
      </c>
      <c r="W467" s="3">
        <v>27.660095935016201</v>
      </c>
    </row>
    <row r="468" spans="1:23" x14ac:dyDescent="0.25">
      <c r="A468" s="6">
        <v>20</v>
      </c>
      <c r="B468" s="8" t="str">
        <f>CONCATENATE(Table1[[#This Row],[Age]]," ", "years")</f>
        <v>20 years</v>
      </c>
      <c r="C468">
        <v>184</v>
      </c>
      <c r="D468">
        <v>74</v>
      </c>
      <c r="E468" t="s">
        <v>21</v>
      </c>
      <c r="F468" s="3">
        <v>11.625095837123499</v>
      </c>
      <c r="G468" s="3">
        <v>38</v>
      </c>
      <c r="H468">
        <v>1</v>
      </c>
      <c r="I468" s="3">
        <v>79.726633008359002</v>
      </c>
      <c r="J468" s="3">
        <v>74.118766457887403</v>
      </c>
      <c r="K468" s="3">
        <v>225.82216095283499</v>
      </c>
      <c r="L468" s="3">
        <v>78.075870093211293</v>
      </c>
      <c r="M468" s="3">
        <v>6.0225215777136203</v>
      </c>
      <c r="N468" s="3">
        <v>82.490572264523607</v>
      </c>
      <c r="O468" s="3">
        <v>7.8196477935068396</v>
      </c>
      <c r="P468" s="3">
        <v>65.629875603233899</v>
      </c>
      <c r="Q468" s="3">
        <v>84.683895590670303</v>
      </c>
      <c r="R468" s="3" t="str">
        <f>IF(Table1[[#This Row],[Nutrition_Quality_Score]]&lt;60, "Poor Nutrition",IF(AND(Table1[[#This Row],[Nutrition_Quality_Score]]&gt;=60,Table1[[#This Row],[Nutrition_Quality_Score]]&lt;=80),"Average Nutrition", "Good Nutrition"))</f>
        <v>Good Nutrition</v>
      </c>
      <c r="S468">
        <v>0</v>
      </c>
      <c r="T468" t="str">
        <f>IF(Table1[[#This Row],[Warmup_Routine_Adherence]]=1, "Adherent","Non-Adherent")</f>
        <v>Non-Adherent</v>
      </c>
      <c r="U468">
        <v>0</v>
      </c>
      <c r="V468" t="str">
        <f>IF(Table1[[#This Row],[Injury_Next_Season]]=1, "Injury","No Injury")</f>
        <v>No Injury</v>
      </c>
      <c r="W468" s="3">
        <v>21.8572778827977</v>
      </c>
    </row>
    <row r="469" spans="1:23" x14ac:dyDescent="0.25">
      <c r="A469" s="6">
        <v>24</v>
      </c>
      <c r="B469" s="8" t="str">
        <f>CONCATENATE(Table1[[#This Row],[Age]]," ", "years")</f>
        <v>24 years</v>
      </c>
      <c r="C469">
        <v>176</v>
      </c>
      <c r="D469">
        <v>79</v>
      </c>
      <c r="E469" t="s">
        <v>21</v>
      </c>
      <c r="F469" s="3">
        <v>9.8938456161235795</v>
      </c>
      <c r="G469" s="3">
        <v>17</v>
      </c>
      <c r="H469">
        <v>0</v>
      </c>
      <c r="I469" s="3">
        <v>79.239499363557798</v>
      </c>
      <c r="J469" s="3">
        <v>91.553998876111507</v>
      </c>
      <c r="K469" s="3">
        <v>241.91697768033799</v>
      </c>
      <c r="L469" s="3">
        <v>87.489638791896994</v>
      </c>
      <c r="M469" s="3">
        <v>5.8556197428321699</v>
      </c>
      <c r="N469" s="3">
        <v>85.978124220328894</v>
      </c>
      <c r="O469" s="3">
        <v>8.1627380236819498</v>
      </c>
      <c r="P469" s="3">
        <v>38.845551218361301</v>
      </c>
      <c r="Q469" s="3">
        <v>62.964948566551499</v>
      </c>
      <c r="R469" s="3" t="str">
        <f>IF(Table1[[#This Row],[Nutrition_Quality_Score]]&lt;60, "Poor Nutrition",IF(AND(Table1[[#This Row],[Nutrition_Quality_Score]]&gt;=60,Table1[[#This Row],[Nutrition_Quality_Score]]&lt;=80),"Average Nutrition", "Good Nutrition"))</f>
        <v>Average Nutrition</v>
      </c>
      <c r="S469">
        <v>1</v>
      </c>
      <c r="T469" t="str">
        <f>IF(Table1[[#This Row],[Warmup_Routine_Adherence]]=1, "Adherent","Non-Adherent")</f>
        <v>Adherent</v>
      </c>
      <c r="U469">
        <v>0</v>
      </c>
      <c r="V469" t="str">
        <f>IF(Table1[[#This Row],[Injury_Next_Season]]=1, "Injury","No Injury")</f>
        <v>No Injury</v>
      </c>
      <c r="W469" s="3">
        <v>25.503615702479301</v>
      </c>
    </row>
    <row r="470" spans="1:23" x14ac:dyDescent="0.25">
      <c r="A470" s="6">
        <v>19</v>
      </c>
      <c r="B470" s="8" t="str">
        <f>CONCATENATE(Table1[[#This Row],[Age]]," ", "years")</f>
        <v>19 years</v>
      </c>
      <c r="C470">
        <v>173</v>
      </c>
      <c r="D470">
        <v>70</v>
      </c>
      <c r="E470" t="s">
        <v>20</v>
      </c>
      <c r="F470" s="3">
        <v>12.993409704359999</v>
      </c>
      <c r="G470" s="3">
        <v>9</v>
      </c>
      <c r="H470">
        <v>1</v>
      </c>
      <c r="I470" s="3">
        <v>75.2438873628506</v>
      </c>
      <c r="J470" s="3">
        <v>73.782853801427606</v>
      </c>
      <c r="K470" s="3">
        <v>203.48678620230601</v>
      </c>
      <c r="L470" s="3">
        <v>82.992986368104894</v>
      </c>
      <c r="M470" s="3">
        <v>5.6600359865190697</v>
      </c>
      <c r="N470" s="3">
        <v>80.799049262245205</v>
      </c>
      <c r="O470" s="3">
        <v>7.6979989913039502</v>
      </c>
      <c r="P470" s="3">
        <v>53.578765964931797</v>
      </c>
      <c r="Q470" s="3">
        <v>65.855929815667196</v>
      </c>
      <c r="R470" s="3" t="str">
        <f>IF(Table1[[#This Row],[Nutrition_Quality_Score]]&lt;60, "Poor Nutrition",IF(AND(Table1[[#This Row],[Nutrition_Quality_Score]]&gt;=60,Table1[[#This Row],[Nutrition_Quality_Score]]&lt;=80),"Average Nutrition", "Good Nutrition"))</f>
        <v>Average Nutrition</v>
      </c>
      <c r="S470">
        <v>1</v>
      </c>
      <c r="T470" t="str">
        <f>IF(Table1[[#This Row],[Warmup_Routine_Adherence]]=1, "Adherent","Non-Adherent")</f>
        <v>Adherent</v>
      </c>
      <c r="U470">
        <v>1</v>
      </c>
      <c r="V470" t="str">
        <f>IF(Table1[[#This Row],[Injury_Next_Season]]=1, "Injury","No Injury")</f>
        <v>Injury</v>
      </c>
      <c r="W470" s="3">
        <v>23.3886865581877</v>
      </c>
    </row>
    <row r="471" spans="1:23" x14ac:dyDescent="0.25">
      <c r="A471" s="6">
        <v>18</v>
      </c>
      <c r="B471" s="8" t="str">
        <f>CONCATENATE(Table1[[#This Row],[Age]]," ", "years")</f>
        <v>18 years</v>
      </c>
      <c r="C471">
        <v>177</v>
      </c>
      <c r="D471">
        <v>83</v>
      </c>
      <c r="E471" t="s">
        <v>21</v>
      </c>
      <c r="F471" s="3">
        <v>12.6162903983712</v>
      </c>
      <c r="G471" s="3">
        <v>15</v>
      </c>
      <c r="H471">
        <v>1</v>
      </c>
      <c r="I471" s="3">
        <v>79.196661298651094</v>
      </c>
      <c r="J471" s="3">
        <v>87.455053342935201</v>
      </c>
      <c r="K471" s="3">
        <v>277.40886414654699</v>
      </c>
      <c r="L471" s="3">
        <v>90.010016258890801</v>
      </c>
      <c r="M471" s="3">
        <v>6.4754319632034196</v>
      </c>
      <c r="N471" s="3">
        <v>75.8636536558286</v>
      </c>
      <c r="O471" s="3">
        <v>8.36359230226725</v>
      </c>
      <c r="P471" s="3">
        <v>45.7167331163811</v>
      </c>
      <c r="Q471" s="3">
        <v>74.194794548986806</v>
      </c>
      <c r="R471" s="3" t="str">
        <f>IF(Table1[[#This Row],[Nutrition_Quality_Score]]&lt;60, "Poor Nutrition",IF(AND(Table1[[#This Row],[Nutrition_Quality_Score]]&gt;=60,Table1[[#This Row],[Nutrition_Quality_Score]]&lt;=80),"Average Nutrition", "Good Nutrition"))</f>
        <v>Average Nutrition</v>
      </c>
      <c r="S471">
        <v>1</v>
      </c>
      <c r="T471" t="str">
        <f>IF(Table1[[#This Row],[Warmup_Routine_Adherence]]=1, "Adherent","Non-Adherent")</f>
        <v>Adherent</v>
      </c>
      <c r="U471">
        <v>0</v>
      </c>
      <c r="V471" t="str">
        <f>IF(Table1[[#This Row],[Injury_Next_Season]]=1, "Injury","No Injury")</f>
        <v>No Injury</v>
      </c>
      <c r="W471" s="3">
        <v>26.493025631204301</v>
      </c>
    </row>
    <row r="472" spans="1:23" x14ac:dyDescent="0.25">
      <c r="A472" s="6">
        <v>22</v>
      </c>
      <c r="B472" s="8" t="str">
        <f>CONCATENATE(Table1[[#This Row],[Age]]," ", "years")</f>
        <v>22 years</v>
      </c>
      <c r="C472">
        <v>172</v>
      </c>
      <c r="D472">
        <v>78</v>
      </c>
      <c r="E472" t="s">
        <v>21</v>
      </c>
      <c r="F472" s="3">
        <v>8.0045105265991392</v>
      </c>
      <c r="G472" s="3">
        <v>25</v>
      </c>
      <c r="H472">
        <v>1</v>
      </c>
      <c r="I472" s="3">
        <v>70.560924736698894</v>
      </c>
      <c r="J472" s="3">
        <v>66.972871101187195</v>
      </c>
      <c r="K472" s="3">
        <v>258.57155708995299</v>
      </c>
      <c r="L472" s="3">
        <v>78.669433068681798</v>
      </c>
      <c r="M472" s="3">
        <v>5.8922185101954998</v>
      </c>
      <c r="N472" s="3">
        <v>74.821223894029202</v>
      </c>
      <c r="O472" s="3">
        <v>6.7588457870141196</v>
      </c>
      <c r="P472" s="3">
        <v>46.736003615537498</v>
      </c>
      <c r="Q472" s="3">
        <v>57.781613904046999</v>
      </c>
      <c r="R472" s="3" t="str">
        <f>IF(Table1[[#This Row],[Nutrition_Quality_Score]]&lt;60, "Poor Nutrition",IF(AND(Table1[[#This Row],[Nutrition_Quality_Score]]&gt;=60,Table1[[#This Row],[Nutrition_Quality_Score]]&lt;=80),"Average Nutrition", "Good Nutrition"))</f>
        <v>Poor Nutrition</v>
      </c>
      <c r="S472">
        <v>0</v>
      </c>
      <c r="T472" t="str">
        <f>IF(Table1[[#This Row],[Warmup_Routine_Adherence]]=1, "Adherent","Non-Adherent")</f>
        <v>Non-Adherent</v>
      </c>
      <c r="U472">
        <v>1</v>
      </c>
      <c r="V472" t="str">
        <f>IF(Table1[[#This Row],[Injury_Next_Season]]=1, "Injury","No Injury")</f>
        <v>Injury</v>
      </c>
      <c r="W472" s="3">
        <v>26.365603028664101</v>
      </c>
    </row>
    <row r="473" spans="1:23" x14ac:dyDescent="0.25">
      <c r="A473" s="6">
        <v>19</v>
      </c>
      <c r="B473" s="8" t="str">
        <f>CONCATENATE(Table1[[#This Row],[Age]]," ", "years")</f>
        <v>19 years</v>
      </c>
      <c r="C473">
        <v>172</v>
      </c>
      <c r="D473">
        <v>76</v>
      </c>
      <c r="E473" t="s">
        <v>20</v>
      </c>
      <c r="F473" s="3">
        <v>9.7129551385570192</v>
      </c>
      <c r="G473" s="3">
        <v>27</v>
      </c>
      <c r="H473">
        <v>1</v>
      </c>
      <c r="I473" s="3">
        <v>72.059537821160305</v>
      </c>
      <c r="J473" s="3">
        <v>72.527170120114306</v>
      </c>
      <c r="K473" s="3">
        <v>274.25886135067202</v>
      </c>
      <c r="L473" s="3">
        <v>80.055816718342399</v>
      </c>
      <c r="M473" s="3">
        <v>6.0029192239348399</v>
      </c>
      <c r="N473" s="3">
        <v>73.179145944701503</v>
      </c>
      <c r="O473" s="3">
        <v>7.8014582275229101</v>
      </c>
      <c r="P473" s="3">
        <v>47.242992577910101</v>
      </c>
      <c r="Q473" s="3">
        <v>66.541870136988294</v>
      </c>
      <c r="R473" s="3" t="str">
        <f>IF(Table1[[#This Row],[Nutrition_Quality_Score]]&lt;60, "Poor Nutrition",IF(AND(Table1[[#This Row],[Nutrition_Quality_Score]]&gt;=60,Table1[[#This Row],[Nutrition_Quality_Score]]&lt;=80),"Average Nutrition", "Good Nutrition"))</f>
        <v>Average Nutrition</v>
      </c>
      <c r="S473">
        <v>1</v>
      </c>
      <c r="T473" t="str">
        <f>IF(Table1[[#This Row],[Warmup_Routine_Adherence]]=1, "Adherent","Non-Adherent")</f>
        <v>Adherent</v>
      </c>
      <c r="U473">
        <v>1</v>
      </c>
      <c r="V473" t="str">
        <f>IF(Table1[[#This Row],[Injury_Next_Season]]=1, "Injury","No Injury")</f>
        <v>Injury</v>
      </c>
      <c r="W473" s="3">
        <v>25.689561925364998</v>
      </c>
    </row>
    <row r="474" spans="1:23" x14ac:dyDescent="0.25">
      <c r="A474" s="6">
        <v>19</v>
      </c>
      <c r="B474" s="8" t="str">
        <f>CONCATENATE(Table1[[#This Row],[Age]]," ", "years")</f>
        <v>19 years</v>
      </c>
      <c r="C474">
        <v>180</v>
      </c>
      <c r="D474">
        <v>60</v>
      </c>
      <c r="E474" t="s">
        <v>19</v>
      </c>
      <c r="F474" s="3">
        <v>12.4779106346476</v>
      </c>
      <c r="G474" s="3">
        <v>33</v>
      </c>
      <c r="H474">
        <v>2</v>
      </c>
      <c r="I474" s="3">
        <v>89.756197872669105</v>
      </c>
      <c r="J474" s="3">
        <v>77.588522387330997</v>
      </c>
      <c r="K474" s="3">
        <v>276.81165820690399</v>
      </c>
      <c r="L474" s="3">
        <v>75.805199749017106</v>
      </c>
      <c r="M474" s="3">
        <v>6.5618346295451504</v>
      </c>
      <c r="N474" s="3">
        <v>81.017667493512405</v>
      </c>
      <c r="O474" s="3">
        <v>8.9963819682929405</v>
      </c>
      <c r="P474" s="3">
        <v>54.574128731673198</v>
      </c>
      <c r="Q474" s="3">
        <v>83.212357294236398</v>
      </c>
      <c r="R474" s="3" t="str">
        <f>IF(Table1[[#This Row],[Nutrition_Quality_Score]]&lt;60, "Poor Nutrition",IF(AND(Table1[[#This Row],[Nutrition_Quality_Score]]&gt;=60,Table1[[#This Row],[Nutrition_Quality_Score]]&lt;=80),"Average Nutrition", "Good Nutrition"))</f>
        <v>Good Nutrition</v>
      </c>
      <c r="S474">
        <v>1</v>
      </c>
      <c r="T474" t="str">
        <f>IF(Table1[[#This Row],[Warmup_Routine_Adherence]]=1, "Adherent","Non-Adherent")</f>
        <v>Adherent</v>
      </c>
      <c r="U474">
        <v>0</v>
      </c>
      <c r="V474" t="str">
        <f>IF(Table1[[#This Row],[Injury_Next_Season]]=1, "Injury","No Injury")</f>
        <v>No Injury</v>
      </c>
      <c r="W474" s="3">
        <v>18.518518518518501</v>
      </c>
    </row>
    <row r="475" spans="1:23" x14ac:dyDescent="0.25">
      <c r="A475" s="6">
        <v>22</v>
      </c>
      <c r="B475" s="8" t="str">
        <f>CONCATENATE(Table1[[#This Row],[Age]]," ", "years")</f>
        <v>22 years</v>
      </c>
      <c r="C475">
        <v>173</v>
      </c>
      <c r="D475">
        <v>81</v>
      </c>
      <c r="E475" t="s">
        <v>22</v>
      </c>
      <c r="F475" s="3">
        <v>8.8013242540818393</v>
      </c>
      <c r="G475" s="3">
        <v>8</v>
      </c>
      <c r="H475">
        <v>4</v>
      </c>
      <c r="I475" s="3">
        <v>80.716749527210297</v>
      </c>
      <c r="J475" s="3">
        <v>88.413345853113597</v>
      </c>
      <c r="K475" s="3">
        <v>243.73175676654299</v>
      </c>
      <c r="L475" s="3">
        <v>80.284438506675997</v>
      </c>
      <c r="M475" s="3">
        <v>5.4944178612013399</v>
      </c>
      <c r="N475" s="3">
        <v>77.586569976337401</v>
      </c>
      <c r="O475" s="3">
        <v>6.8417810551176599</v>
      </c>
      <c r="P475" s="3">
        <v>54.8367094217923</v>
      </c>
      <c r="Q475" s="3">
        <v>79.561220081042606</v>
      </c>
      <c r="R475" s="3" t="str">
        <f>IF(Table1[[#This Row],[Nutrition_Quality_Score]]&lt;60, "Poor Nutrition",IF(AND(Table1[[#This Row],[Nutrition_Quality_Score]]&gt;=60,Table1[[#This Row],[Nutrition_Quality_Score]]&lt;=80),"Average Nutrition", "Good Nutrition"))</f>
        <v>Average Nutrition</v>
      </c>
      <c r="S475">
        <v>0</v>
      </c>
      <c r="T475" t="str">
        <f>IF(Table1[[#This Row],[Warmup_Routine_Adherence]]=1, "Adherent","Non-Adherent")</f>
        <v>Non-Adherent</v>
      </c>
      <c r="U475">
        <v>1</v>
      </c>
      <c r="V475" t="str">
        <f>IF(Table1[[#This Row],[Injury_Next_Season]]=1, "Injury","No Injury")</f>
        <v>Injury</v>
      </c>
      <c r="W475" s="3">
        <v>27.064051588760002</v>
      </c>
    </row>
    <row r="476" spans="1:23" x14ac:dyDescent="0.25">
      <c r="A476" s="6">
        <v>23</v>
      </c>
      <c r="B476" s="8" t="str">
        <f>CONCATENATE(Table1[[#This Row],[Age]]," ", "years")</f>
        <v>23 years</v>
      </c>
      <c r="C476">
        <v>171</v>
      </c>
      <c r="D476">
        <v>83</v>
      </c>
      <c r="E476" t="s">
        <v>22</v>
      </c>
      <c r="F476" s="3">
        <v>7.44656627706929</v>
      </c>
      <c r="G476" s="3">
        <v>21</v>
      </c>
      <c r="H476">
        <v>1</v>
      </c>
      <c r="I476" s="3">
        <v>69.2311603047837</v>
      </c>
      <c r="J476" s="3">
        <v>75.559934147735007</v>
      </c>
      <c r="K476" s="3">
        <v>273.88577250999299</v>
      </c>
      <c r="L476" s="3">
        <v>85.512804184404104</v>
      </c>
      <c r="M476" s="3">
        <v>5.3358286061300699</v>
      </c>
      <c r="N476" s="3">
        <v>73.425571772987993</v>
      </c>
      <c r="O476" s="3">
        <v>6.4965722873098297</v>
      </c>
      <c r="P476" s="3">
        <v>71.781270480297593</v>
      </c>
      <c r="Q476" s="3">
        <v>76.3204190686521</v>
      </c>
      <c r="R476" s="3" t="str">
        <f>IF(Table1[[#This Row],[Nutrition_Quality_Score]]&lt;60, "Poor Nutrition",IF(AND(Table1[[#This Row],[Nutrition_Quality_Score]]&gt;=60,Table1[[#This Row],[Nutrition_Quality_Score]]&lt;=80),"Average Nutrition", "Good Nutrition"))</f>
        <v>Average Nutrition</v>
      </c>
      <c r="S476">
        <v>0</v>
      </c>
      <c r="T476" t="str">
        <f>IF(Table1[[#This Row],[Warmup_Routine_Adherence]]=1, "Adherent","Non-Adherent")</f>
        <v>Non-Adherent</v>
      </c>
      <c r="U476">
        <v>1</v>
      </c>
      <c r="V476" t="str">
        <f>IF(Table1[[#This Row],[Injury_Next_Season]]=1, "Injury","No Injury")</f>
        <v>Injury</v>
      </c>
      <c r="W476" s="3">
        <v>28.384802161348698</v>
      </c>
    </row>
    <row r="477" spans="1:23" x14ac:dyDescent="0.25">
      <c r="A477" s="6">
        <v>18</v>
      </c>
      <c r="B477" s="8" t="str">
        <f>CONCATENATE(Table1[[#This Row],[Age]]," ", "years")</f>
        <v>18 years</v>
      </c>
      <c r="C477">
        <v>159</v>
      </c>
      <c r="D477">
        <v>70</v>
      </c>
      <c r="E477" t="s">
        <v>21</v>
      </c>
      <c r="F477" s="3">
        <v>17.178688443399999</v>
      </c>
      <c r="G477" s="3">
        <v>27</v>
      </c>
      <c r="H477">
        <v>1</v>
      </c>
      <c r="I477" s="3">
        <v>80.941477012628695</v>
      </c>
      <c r="J477" s="3">
        <v>80.6955746061615</v>
      </c>
      <c r="K477" s="3">
        <v>244.65960509911801</v>
      </c>
      <c r="L477" s="3">
        <v>88.977725133670106</v>
      </c>
      <c r="M477" s="3">
        <v>5.9647110241082402</v>
      </c>
      <c r="N477" s="3">
        <v>88.787548828407694</v>
      </c>
      <c r="O477" s="3">
        <v>7.9741486990755996</v>
      </c>
      <c r="P477" s="3">
        <v>32.466250498352402</v>
      </c>
      <c r="Q477" s="3">
        <v>72.2205755804505</v>
      </c>
      <c r="R477" s="3" t="str">
        <f>IF(Table1[[#This Row],[Nutrition_Quality_Score]]&lt;60, "Poor Nutrition",IF(AND(Table1[[#This Row],[Nutrition_Quality_Score]]&gt;=60,Table1[[#This Row],[Nutrition_Quality_Score]]&lt;=80),"Average Nutrition", "Good Nutrition"))</f>
        <v>Average Nutrition</v>
      </c>
      <c r="S477">
        <v>1</v>
      </c>
      <c r="T477" t="str">
        <f>IF(Table1[[#This Row],[Warmup_Routine_Adherence]]=1, "Adherent","Non-Adherent")</f>
        <v>Adherent</v>
      </c>
      <c r="U477">
        <v>0</v>
      </c>
      <c r="V477" t="str">
        <f>IF(Table1[[#This Row],[Injury_Next_Season]]=1, "Injury","No Injury")</f>
        <v>No Injury</v>
      </c>
      <c r="W477" s="3">
        <v>27.688778133776299</v>
      </c>
    </row>
    <row r="478" spans="1:23" x14ac:dyDescent="0.25">
      <c r="A478" s="6">
        <v>21</v>
      </c>
      <c r="B478" s="8" t="str">
        <f>CONCATENATE(Table1[[#This Row],[Age]]," ", "years")</f>
        <v>21 years</v>
      </c>
      <c r="C478">
        <v>180</v>
      </c>
      <c r="D478">
        <v>85</v>
      </c>
      <c r="E478" t="s">
        <v>19</v>
      </c>
      <c r="F478" s="3">
        <v>11.080302997724999</v>
      </c>
      <c r="G478" s="3">
        <v>24</v>
      </c>
      <c r="H478">
        <v>2</v>
      </c>
      <c r="I478" s="3">
        <v>78.352185092669004</v>
      </c>
      <c r="J478" s="3">
        <v>78.4389809261708</v>
      </c>
      <c r="K478" s="3">
        <v>276.21839627125598</v>
      </c>
      <c r="L478" s="3">
        <v>85.937165356168904</v>
      </c>
      <c r="M478" s="3">
        <v>5.9407942343636</v>
      </c>
      <c r="N478" s="3">
        <v>68.235174193819404</v>
      </c>
      <c r="O478" s="3">
        <v>5.6980281533320696</v>
      </c>
      <c r="P478" s="3">
        <v>52.566743200338401</v>
      </c>
      <c r="Q478" s="3">
        <v>61.577852119858001</v>
      </c>
      <c r="R478" s="3" t="str">
        <f>IF(Table1[[#This Row],[Nutrition_Quality_Score]]&lt;60, "Poor Nutrition",IF(AND(Table1[[#This Row],[Nutrition_Quality_Score]]&gt;=60,Table1[[#This Row],[Nutrition_Quality_Score]]&lt;=80),"Average Nutrition", "Good Nutrition"))</f>
        <v>Average Nutrition</v>
      </c>
      <c r="S478">
        <v>1</v>
      </c>
      <c r="T478" t="str">
        <f>IF(Table1[[#This Row],[Warmup_Routine_Adherence]]=1, "Adherent","Non-Adherent")</f>
        <v>Adherent</v>
      </c>
      <c r="U478">
        <v>1</v>
      </c>
      <c r="V478" t="str">
        <f>IF(Table1[[#This Row],[Injury_Next_Season]]=1, "Injury","No Injury")</f>
        <v>Injury</v>
      </c>
      <c r="W478" s="3">
        <v>26.234567901234499</v>
      </c>
    </row>
    <row r="479" spans="1:23" x14ac:dyDescent="0.25">
      <c r="A479" s="6">
        <v>19</v>
      </c>
      <c r="B479" s="8" t="str">
        <f>CONCATENATE(Table1[[#This Row],[Age]]," ", "years")</f>
        <v>19 years</v>
      </c>
      <c r="C479">
        <v>185</v>
      </c>
      <c r="D479">
        <v>78</v>
      </c>
      <c r="E479" t="s">
        <v>19</v>
      </c>
      <c r="F479" s="3">
        <v>9.0681497716454604</v>
      </c>
      <c r="G479" s="3">
        <v>34</v>
      </c>
      <c r="H479">
        <v>0</v>
      </c>
      <c r="I479" s="3">
        <v>76.602684007330495</v>
      </c>
      <c r="J479" s="3">
        <v>84.168822598021805</v>
      </c>
      <c r="K479" s="3">
        <v>227.52491516514999</v>
      </c>
      <c r="L479" s="3">
        <v>87.219940881830993</v>
      </c>
      <c r="M479" s="3">
        <v>6.18680113711949</v>
      </c>
      <c r="N479" s="3">
        <v>83.999771220747405</v>
      </c>
      <c r="O479" s="3">
        <v>8.3274502005653392</v>
      </c>
      <c r="P479" s="3">
        <v>56.114511513486903</v>
      </c>
      <c r="Q479" s="3">
        <v>76.183666908772693</v>
      </c>
      <c r="R479" s="3" t="str">
        <f>IF(Table1[[#This Row],[Nutrition_Quality_Score]]&lt;60, "Poor Nutrition",IF(AND(Table1[[#This Row],[Nutrition_Quality_Score]]&gt;=60,Table1[[#This Row],[Nutrition_Quality_Score]]&lt;=80),"Average Nutrition", "Good Nutrition"))</f>
        <v>Average Nutrition</v>
      </c>
      <c r="S479">
        <v>1</v>
      </c>
      <c r="T479" t="str">
        <f>IF(Table1[[#This Row],[Warmup_Routine_Adherence]]=1, "Adherent","Non-Adherent")</f>
        <v>Adherent</v>
      </c>
      <c r="U479">
        <v>0</v>
      </c>
      <c r="V479" t="str">
        <f>IF(Table1[[#This Row],[Injury_Next_Season]]=1, "Injury","No Injury")</f>
        <v>No Injury</v>
      </c>
      <c r="W479" s="3">
        <v>22.790357925493002</v>
      </c>
    </row>
    <row r="480" spans="1:23" x14ac:dyDescent="0.25">
      <c r="A480" s="6">
        <v>18</v>
      </c>
      <c r="B480" s="8" t="str">
        <f>CONCATENATE(Table1[[#This Row],[Age]]," ", "years")</f>
        <v>18 years</v>
      </c>
      <c r="C480">
        <v>175</v>
      </c>
      <c r="D480">
        <v>75</v>
      </c>
      <c r="E480" t="s">
        <v>19</v>
      </c>
      <c r="F480" s="3">
        <v>7.4979787894172798</v>
      </c>
      <c r="G480" s="3">
        <v>34</v>
      </c>
      <c r="H480">
        <v>3</v>
      </c>
      <c r="I480" s="3">
        <v>64.934012199967498</v>
      </c>
      <c r="J480" s="3">
        <v>74.898749000785202</v>
      </c>
      <c r="K480" s="3">
        <v>247.53099583958601</v>
      </c>
      <c r="L480" s="3">
        <v>95.717049180083606</v>
      </c>
      <c r="M480" s="3">
        <v>5.97119391619401</v>
      </c>
      <c r="N480" s="3">
        <v>85.065727478787807</v>
      </c>
      <c r="O480" s="3">
        <v>6.25914817565564</v>
      </c>
      <c r="P480" s="3">
        <v>77.7635017245928</v>
      </c>
      <c r="Q480" s="3">
        <v>57.795153750099601</v>
      </c>
      <c r="R480" s="3" t="str">
        <f>IF(Table1[[#This Row],[Nutrition_Quality_Score]]&lt;60, "Poor Nutrition",IF(AND(Table1[[#This Row],[Nutrition_Quality_Score]]&gt;=60,Table1[[#This Row],[Nutrition_Quality_Score]]&lt;=80),"Average Nutrition", "Good Nutrition"))</f>
        <v>Poor Nutrition</v>
      </c>
      <c r="S480">
        <v>0</v>
      </c>
      <c r="T480" t="str">
        <f>IF(Table1[[#This Row],[Warmup_Routine_Adherence]]=1, "Adherent","Non-Adherent")</f>
        <v>Non-Adherent</v>
      </c>
      <c r="U480">
        <v>1</v>
      </c>
      <c r="V480" t="str">
        <f>IF(Table1[[#This Row],[Injury_Next_Season]]=1, "Injury","No Injury")</f>
        <v>Injury</v>
      </c>
      <c r="W480" s="3">
        <v>24.4897959183673</v>
      </c>
    </row>
    <row r="481" spans="1:23" x14ac:dyDescent="0.25">
      <c r="A481" s="6">
        <v>24</v>
      </c>
      <c r="B481" s="8" t="str">
        <f>CONCATENATE(Table1[[#This Row],[Age]]," ", "years")</f>
        <v>24 years</v>
      </c>
      <c r="C481">
        <v>184</v>
      </c>
      <c r="D481">
        <v>64</v>
      </c>
      <c r="E481" t="s">
        <v>19</v>
      </c>
      <c r="F481" s="3">
        <v>12.289637602386099</v>
      </c>
      <c r="G481" s="3">
        <v>17</v>
      </c>
      <c r="H481">
        <v>2</v>
      </c>
      <c r="I481" s="3">
        <v>81.584491871465403</v>
      </c>
      <c r="J481" s="3">
        <v>76.104520951412397</v>
      </c>
      <c r="K481" s="3">
        <v>297.87571880473701</v>
      </c>
      <c r="L481" s="3">
        <v>82.122858681168694</v>
      </c>
      <c r="M481" s="3">
        <v>5.9905539581408398</v>
      </c>
      <c r="N481" s="3">
        <v>82.028531274230502</v>
      </c>
      <c r="O481" s="3">
        <v>7.2772505794901097</v>
      </c>
      <c r="P481" s="3">
        <v>68.040775472128104</v>
      </c>
      <c r="Q481" s="3">
        <v>64.154036950661194</v>
      </c>
      <c r="R481" s="3" t="str">
        <f>IF(Table1[[#This Row],[Nutrition_Quality_Score]]&lt;60, "Poor Nutrition",IF(AND(Table1[[#This Row],[Nutrition_Quality_Score]]&gt;=60,Table1[[#This Row],[Nutrition_Quality_Score]]&lt;=80),"Average Nutrition", "Good Nutrition"))</f>
        <v>Average Nutrition</v>
      </c>
      <c r="S481">
        <v>1</v>
      </c>
      <c r="T481" t="str">
        <f>IF(Table1[[#This Row],[Warmup_Routine_Adherence]]=1, "Adherent","Non-Adherent")</f>
        <v>Adherent</v>
      </c>
      <c r="U481">
        <v>1</v>
      </c>
      <c r="V481" t="str">
        <f>IF(Table1[[#This Row],[Injury_Next_Season]]=1, "Injury","No Injury")</f>
        <v>Injury</v>
      </c>
      <c r="W481" s="3">
        <v>18.903591682419599</v>
      </c>
    </row>
    <row r="482" spans="1:23" x14ac:dyDescent="0.25">
      <c r="A482" s="6">
        <v>21</v>
      </c>
      <c r="B482" s="8" t="str">
        <f>CONCATENATE(Table1[[#This Row],[Age]]," ", "years")</f>
        <v>21 years</v>
      </c>
      <c r="C482">
        <v>174</v>
      </c>
      <c r="D482">
        <v>93</v>
      </c>
      <c r="E482" t="s">
        <v>20</v>
      </c>
      <c r="F482" s="3">
        <v>11.737235788764499</v>
      </c>
      <c r="G482" s="3">
        <v>18</v>
      </c>
      <c r="H482">
        <v>4</v>
      </c>
      <c r="I482" s="3">
        <v>73.930896830262299</v>
      </c>
      <c r="J482" s="3">
        <v>85.285783819653702</v>
      </c>
      <c r="K482" s="3">
        <v>261.70025949904402</v>
      </c>
      <c r="L482" s="3">
        <v>84.289366297737303</v>
      </c>
      <c r="M482" s="3">
        <v>6.1406078001525</v>
      </c>
      <c r="N482" s="3">
        <v>69.840160131637205</v>
      </c>
      <c r="O482" s="3">
        <v>7.0789256008647596</v>
      </c>
      <c r="P482" s="3">
        <v>59.290949633349101</v>
      </c>
      <c r="Q482" s="3">
        <v>72.402894855427803</v>
      </c>
      <c r="R482" s="3" t="str">
        <f>IF(Table1[[#This Row],[Nutrition_Quality_Score]]&lt;60, "Poor Nutrition",IF(AND(Table1[[#This Row],[Nutrition_Quality_Score]]&gt;=60,Table1[[#This Row],[Nutrition_Quality_Score]]&lt;=80),"Average Nutrition", "Good Nutrition"))</f>
        <v>Average Nutrition</v>
      </c>
      <c r="S482">
        <v>1</v>
      </c>
      <c r="T482" t="str">
        <f>IF(Table1[[#This Row],[Warmup_Routine_Adherence]]=1, "Adherent","Non-Adherent")</f>
        <v>Adherent</v>
      </c>
      <c r="U482">
        <v>1</v>
      </c>
      <c r="V482" t="str">
        <f>IF(Table1[[#This Row],[Injury_Next_Season]]=1, "Injury","No Injury")</f>
        <v>Injury</v>
      </c>
      <c r="W482" s="3">
        <v>30.7173999207292</v>
      </c>
    </row>
    <row r="483" spans="1:23" x14ac:dyDescent="0.25">
      <c r="A483" s="6">
        <v>22</v>
      </c>
      <c r="B483" s="8" t="str">
        <f>CONCATENATE(Table1[[#This Row],[Age]]," ", "years")</f>
        <v>22 years</v>
      </c>
      <c r="C483">
        <v>173</v>
      </c>
      <c r="D483">
        <v>56</v>
      </c>
      <c r="E483" t="s">
        <v>20</v>
      </c>
      <c r="F483" s="3">
        <v>13.4777823299068</v>
      </c>
      <c r="G483" s="3">
        <v>31</v>
      </c>
      <c r="H483">
        <v>3</v>
      </c>
      <c r="I483" s="3">
        <v>77.526908748008907</v>
      </c>
      <c r="J483" s="3">
        <v>85.781706968196801</v>
      </c>
      <c r="K483" s="3">
        <v>265.99187610302903</v>
      </c>
      <c r="L483" s="3">
        <v>85.139811871167794</v>
      </c>
      <c r="M483" s="3">
        <v>5.9600858176098503</v>
      </c>
      <c r="N483" s="3">
        <v>68.780470077752994</v>
      </c>
      <c r="O483" s="3">
        <v>6.9184957996143899</v>
      </c>
      <c r="P483" s="3">
        <v>56.326050998305298</v>
      </c>
      <c r="Q483" s="3">
        <v>72.427829693901202</v>
      </c>
      <c r="R483" s="3" t="str">
        <f>IF(Table1[[#This Row],[Nutrition_Quality_Score]]&lt;60, "Poor Nutrition",IF(AND(Table1[[#This Row],[Nutrition_Quality_Score]]&gt;=60,Table1[[#This Row],[Nutrition_Quality_Score]]&lt;=80),"Average Nutrition", "Good Nutrition"))</f>
        <v>Average Nutrition</v>
      </c>
      <c r="S483">
        <v>1</v>
      </c>
      <c r="T483" t="str">
        <f>IF(Table1[[#This Row],[Warmup_Routine_Adherence]]=1, "Adherent","Non-Adherent")</f>
        <v>Adherent</v>
      </c>
      <c r="U483">
        <v>1</v>
      </c>
      <c r="V483" t="str">
        <f>IF(Table1[[#This Row],[Injury_Next_Season]]=1, "Injury","No Injury")</f>
        <v>Injury</v>
      </c>
      <c r="W483" s="3">
        <v>18.710949246550101</v>
      </c>
    </row>
    <row r="484" spans="1:23" x14ac:dyDescent="0.25">
      <c r="A484" s="6">
        <v>18</v>
      </c>
      <c r="B484" s="8" t="str">
        <f>CONCATENATE(Table1[[#This Row],[Age]]," ", "years")</f>
        <v>18 years</v>
      </c>
      <c r="C484">
        <v>173</v>
      </c>
      <c r="D484">
        <v>64</v>
      </c>
      <c r="E484" t="s">
        <v>20</v>
      </c>
      <c r="F484" s="3">
        <v>8.9933015379069694</v>
      </c>
      <c r="G484" s="3">
        <v>13</v>
      </c>
      <c r="H484">
        <v>3</v>
      </c>
      <c r="I484" s="3">
        <v>75.256072949876597</v>
      </c>
      <c r="J484" s="3">
        <v>73.575810196723097</v>
      </c>
      <c r="K484" s="3">
        <v>274.51914758803201</v>
      </c>
      <c r="L484" s="3">
        <v>81.286132151473296</v>
      </c>
      <c r="M484" s="3">
        <v>6.1467257305546701</v>
      </c>
      <c r="N484" s="3">
        <v>74.906611594671801</v>
      </c>
      <c r="O484" s="3">
        <v>7.4859940946761796</v>
      </c>
      <c r="P484" s="3">
        <v>53.2685383585304</v>
      </c>
      <c r="Q484" s="3">
        <v>67.589384840253302</v>
      </c>
      <c r="R484" s="3" t="str">
        <f>IF(Table1[[#This Row],[Nutrition_Quality_Score]]&lt;60, "Poor Nutrition",IF(AND(Table1[[#This Row],[Nutrition_Quality_Score]]&gt;=60,Table1[[#This Row],[Nutrition_Quality_Score]]&lt;=80),"Average Nutrition", "Good Nutrition"))</f>
        <v>Average Nutrition</v>
      </c>
      <c r="S484">
        <v>0</v>
      </c>
      <c r="T484" t="str">
        <f>IF(Table1[[#This Row],[Warmup_Routine_Adherence]]=1, "Adherent","Non-Adherent")</f>
        <v>Non-Adherent</v>
      </c>
      <c r="U484">
        <v>1</v>
      </c>
      <c r="V484" t="str">
        <f>IF(Table1[[#This Row],[Injury_Next_Season]]=1, "Injury","No Injury")</f>
        <v>Injury</v>
      </c>
      <c r="W484" s="3">
        <v>21.383941996057299</v>
      </c>
    </row>
    <row r="485" spans="1:23" x14ac:dyDescent="0.25">
      <c r="A485" s="6">
        <v>20</v>
      </c>
      <c r="B485" s="8" t="str">
        <f>CONCATENATE(Table1[[#This Row],[Age]]," ", "years")</f>
        <v>20 years</v>
      </c>
      <c r="C485">
        <v>171</v>
      </c>
      <c r="D485">
        <v>96</v>
      </c>
      <c r="E485" t="s">
        <v>22</v>
      </c>
      <c r="F485" s="3">
        <v>10.2223118613024</v>
      </c>
      <c r="G485" s="3">
        <v>6</v>
      </c>
      <c r="H485">
        <v>1</v>
      </c>
      <c r="I485" s="3">
        <v>69.076782688537506</v>
      </c>
      <c r="J485" s="3">
        <v>69.022485308211998</v>
      </c>
      <c r="K485" s="3">
        <v>253.50443681216501</v>
      </c>
      <c r="L485" s="3">
        <v>94.579727376002594</v>
      </c>
      <c r="M485" s="3">
        <v>5.5967539679319298</v>
      </c>
      <c r="N485" s="3">
        <v>80.368523197498803</v>
      </c>
      <c r="O485" s="3">
        <v>6.7384037720286702</v>
      </c>
      <c r="P485" s="3">
        <v>69.376239057495098</v>
      </c>
      <c r="Q485" s="3">
        <v>69.8002626206234</v>
      </c>
      <c r="R485" s="3" t="str">
        <f>IF(Table1[[#This Row],[Nutrition_Quality_Score]]&lt;60, "Poor Nutrition",IF(AND(Table1[[#This Row],[Nutrition_Quality_Score]]&gt;=60,Table1[[#This Row],[Nutrition_Quality_Score]]&lt;=80),"Average Nutrition", "Good Nutrition"))</f>
        <v>Average Nutrition</v>
      </c>
      <c r="S485">
        <v>0</v>
      </c>
      <c r="T485" t="str">
        <f>IF(Table1[[#This Row],[Warmup_Routine_Adherence]]=1, "Adherent","Non-Adherent")</f>
        <v>Non-Adherent</v>
      </c>
      <c r="U485">
        <v>1</v>
      </c>
      <c r="V485" t="str">
        <f>IF(Table1[[#This Row],[Injury_Next_Season]]=1, "Injury","No Injury")</f>
        <v>Injury</v>
      </c>
      <c r="W485" s="3">
        <v>32.830614548066002</v>
      </c>
    </row>
    <row r="486" spans="1:23" x14ac:dyDescent="0.25">
      <c r="A486" s="6">
        <v>23</v>
      </c>
      <c r="B486" s="8" t="str">
        <f>CONCATENATE(Table1[[#This Row],[Age]]," ", "years")</f>
        <v>23 years</v>
      </c>
      <c r="C486">
        <v>175</v>
      </c>
      <c r="D486">
        <v>93</v>
      </c>
      <c r="E486" t="s">
        <v>19</v>
      </c>
      <c r="F486" s="3">
        <v>5.7177952297280896</v>
      </c>
      <c r="G486" s="3">
        <v>7</v>
      </c>
      <c r="H486">
        <v>1</v>
      </c>
      <c r="I486" s="3">
        <v>88.177143665214601</v>
      </c>
      <c r="J486" s="3">
        <v>72.877377125035096</v>
      </c>
      <c r="K486" s="3">
        <v>251.859210440922</v>
      </c>
      <c r="L486" s="3">
        <v>88.902068705457907</v>
      </c>
      <c r="M486" s="3">
        <v>6.0250837942607696</v>
      </c>
      <c r="N486" s="3">
        <v>84.383057701773794</v>
      </c>
      <c r="O486" s="3">
        <v>9.0244082639024992</v>
      </c>
      <c r="P486" s="3">
        <v>39.3620750075006</v>
      </c>
      <c r="Q486" s="3">
        <v>77.500250105632702</v>
      </c>
      <c r="R486" s="3" t="str">
        <f>IF(Table1[[#This Row],[Nutrition_Quality_Score]]&lt;60, "Poor Nutrition",IF(AND(Table1[[#This Row],[Nutrition_Quality_Score]]&gt;=60,Table1[[#This Row],[Nutrition_Quality_Score]]&lt;=80),"Average Nutrition", "Good Nutrition"))</f>
        <v>Average Nutrition</v>
      </c>
      <c r="S486">
        <v>0</v>
      </c>
      <c r="T486" t="str">
        <f>IF(Table1[[#This Row],[Warmup_Routine_Adherence]]=1, "Adherent","Non-Adherent")</f>
        <v>Non-Adherent</v>
      </c>
      <c r="U486">
        <v>0</v>
      </c>
      <c r="V486" t="str">
        <f>IF(Table1[[#This Row],[Injury_Next_Season]]=1, "Injury","No Injury")</f>
        <v>No Injury</v>
      </c>
      <c r="W486" s="3">
        <v>30.367346938775501</v>
      </c>
    </row>
    <row r="487" spans="1:23" x14ac:dyDescent="0.25">
      <c r="A487" s="6">
        <v>22</v>
      </c>
      <c r="B487" s="8" t="str">
        <f>CONCATENATE(Table1[[#This Row],[Age]]," ", "years")</f>
        <v>22 years</v>
      </c>
      <c r="C487">
        <v>186</v>
      </c>
      <c r="D487">
        <v>62</v>
      </c>
      <c r="E487" t="s">
        <v>21</v>
      </c>
      <c r="F487" s="3">
        <v>11.5877575602712</v>
      </c>
      <c r="G487" s="3">
        <v>39</v>
      </c>
      <c r="H487">
        <v>3</v>
      </c>
      <c r="I487" s="3">
        <v>86.769621812570605</v>
      </c>
      <c r="J487" s="3">
        <v>67.090144709200601</v>
      </c>
      <c r="K487" s="3">
        <v>259.140717279103</v>
      </c>
      <c r="L487" s="3">
        <v>86.513051451559207</v>
      </c>
      <c r="M487" s="3">
        <v>6.1877249814057302</v>
      </c>
      <c r="N487" s="3">
        <v>86.487594426027698</v>
      </c>
      <c r="O487" s="3">
        <v>8.5627161964630396</v>
      </c>
      <c r="P487" s="3">
        <v>54.0665621860309</v>
      </c>
      <c r="Q487" s="3">
        <v>73.760790960957394</v>
      </c>
      <c r="R487" s="3" t="str">
        <f>IF(Table1[[#This Row],[Nutrition_Quality_Score]]&lt;60, "Poor Nutrition",IF(AND(Table1[[#This Row],[Nutrition_Quality_Score]]&gt;=60,Table1[[#This Row],[Nutrition_Quality_Score]]&lt;=80),"Average Nutrition", "Good Nutrition"))</f>
        <v>Average Nutrition</v>
      </c>
      <c r="S487">
        <v>1</v>
      </c>
      <c r="T487" t="str">
        <f>IF(Table1[[#This Row],[Warmup_Routine_Adherence]]=1, "Adherent","Non-Adherent")</f>
        <v>Adherent</v>
      </c>
      <c r="U487">
        <v>0</v>
      </c>
      <c r="V487" t="str">
        <f>IF(Table1[[#This Row],[Injury_Next_Season]]=1, "Injury","No Injury")</f>
        <v>No Injury</v>
      </c>
      <c r="W487" s="3">
        <v>17.921146953405</v>
      </c>
    </row>
    <row r="488" spans="1:23" x14ac:dyDescent="0.25">
      <c r="A488" s="6">
        <v>20</v>
      </c>
      <c r="B488" s="8" t="str">
        <f>CONCATENATE(Table1[[#This Row],[Age]]," ", "years")</f>
        <v>20 years</v>
      </c>
      <c r="C488">
        <v>188</v>
      </c>
      <c r="D488">
        <v>72</v>
      </c>
      <c r="E488" t="s">
        <v>19</v>
      </c>
      <c r="F488" s="3">
        <v>7.4469837284603404</v>
      </c>
      <c r="G488" s="3">
        <v>14</v>
      </c>
      <c r="H488">
        <v>1</v>
      </c>
      <c r="I488" s="3">
        <v>80.7388425780305</v>
      </c>
      <c r="J488" s="3">
        <v>81.988803122294598</v>
      </c>
      <c r="K488" s="3">
        <v>245.55860740933201</v>
      </c>
      <c r="L488" s="3">
        <v>83.554610837297901</v>
      </c>
      <c r="M488" s="3">
        <v>5.9151001837875201</v>
      </c>
      <c r="N488" s="3">
        <v>75.7605419741882</v>
      </c>
      <c r="O488" s="3">
        <v>7.8367612142447101</v>
      </c>
      <c r="P488" s="3">
        <v>52.0767175552119</v>
      </c>
      <c r="Q488" s="3">
        <v>69.457189029066299</v>
      </c>
      <c r="R488" s="3" t="str">
        <f>IF(Table1[[#This Row],[Nutrition_Quality_Score]]&lt;60, "Poor Nutrition",IF(AND(Table1[[#This Row],[Nutrition_Quality_Score]]&gt;=60,Table1[[#This Row],[Nutrition_Quality_Score]]&lt;=80),"Average Nutrition", "Good Nutrition"))</f>
        <v>Average Nutrition</v>
      </c>
      <c r="S488">
        <v>1</v>
      </c>
      <c r="T488" t="str">
        <f>IF(Table1[[#This Row],[Warmup_Routine_Adherence]]=1, "Adherent","Non-Adherent")</f>
        <v>Adherent</v>
      </c>
      <c r="U488">
        <v>0</v>
      </c>
      <c r="V488" t="str">
        <f>IF(Table1[[#This Row],[Injury_Next_Season]]=1, "Injury","No Injury")</f>
        <v>No Injury</v>
      </c>
      <c r="W488" s="3">
        <v>20.371208691715701</v>
      </c>
    </row>
    <row r="489" spans="1:23" x14ac:dyDescent="0.25">
      <c r="A489" s="6">
        <v>22</v>
      </c>
      <c r="B489" s="8" t="str">
        <f>CONCATENATE(Table1[[#This Row],[Age]]," ", "years")</f>
        <v>22 years</v>
      </c>
      <c r="C489">
        <v>183</v>
      </c>
      <c r="D489">
        <v>71</v>
      </c>
      <c r="E489" t="s">
        <v>19</v>
      </c>
      <c r="F489" s="3">
        <v>5.8198304830253296</v>
      </c>
      <c r="G489" s="3">
        <v>8</v>
      </c>
      <c r="H489">
        <v>2</v>
      </c>
      <c r="I489" s="3">
        <v>80.378942142984897</v>
      </c>
      <c r="J489" s="3">
        <v>79.946244023416796</v>
      </c>
      <c r="K489" s="3">
        <v>207.43435656237</v>
      </c>
      <c r="L489" s="3">
        <v>81.122699410091897</v>
      </c>
      <c r="M489" s="3">
        <v>6.2980154299639901</v>
      </c>
      <c r="N489" s="3">
        <v>79.222288185762295</v>
      </c>
      <c r="O489" s="3">
        <v>8.1693606330461197</v>
      </c>
      <c r="P489" s="3">
        <v>51.8239501133421</v>
      </c>
      <c r="Q489" s="3">
        <v>77.589572210140503</v>
      </c>
      <c r="R489" s="3" t="str">
        <f>IF(Table1[[#This Row],[Nutrition_Quality_Score]]&lt;60, "Poor Nutrition",IF(AND(Table1[[#This Row],[Nutrition_Quality_Score]]&gt;=60,Table1[[#This Row],[Nutrition_Quality_Score]]&lt;=80),"Average Nutrition", "Good Nutrition"))</f>
        <v>Average Nutrition</v>
      </c>
      <c r="S489">
        <v>1</v>
      </c>
      <c r="T489" t="str">
        <f>IF(Table1[[#This Row],[Warmup_Routine_Adherence]]=1, "Adherent","Non-Adherent")</f>
        <v>Adherent</v>
      </c>
      <c r="U489">
        <v>0</v>
      </c>
      <c r="V489" t="str">
        <f>IF(Table1[[#This Row],[Injury_Next_Season]]=1, "Injury","No Injury")</f>
        <v>No Injury</v>
      </c>
      <c r="W489" s="3">
        <v>21.200991370300599</v>
      </c>
    </row>
    <row r="490" spans="1:23" x14ac:dyDescent="0.25">
      <c r="A490" s="6">
        <v>19</v>
      </c>
      <c r="B490" s="8" t="str">
        <f>CONCATENATE(Table1[[#This Row],[Age]]," ", "years")</f>
        <v>19 years</v>
      </c>
      <c r="C490">
        <v>169</v>
      </c>
      <c r="D490">
        <v>74</v>
      </c>
      <c r="E490" t="s">
        <v>19</v>
      </c>
      <c r="F490" s="3">
        <v>15.663037959443599</v>
      </c>
      <c r="G490" s="3">
        <v>39</v>
      </c>
      <c r="H490">
        <v>2</v>
      </c>
      <c r="I490" s="3">
        <v>74.409912885852805</v>
      </c>
      <c r="J490" s="3">
        <v>81.269207219153401</v>
      </c>
      <c r="K490" s="3">
        <v>257.60605904571798</v>
      </c>
      <c r="L490" s="3">
        <v>95.4768315284294</v>
      </c>
      <c r="M490" s="3">
        <v>5.5894430608859604</v>
      </c>
      <c r="N490" s="3">
        <v>81.8800606015553</v>
      </c>
      <c r="O490" s="3">
        <v>8.4874775501878297</v>
      </c>
      <c r="P490" s="3">
        <v>39.797837704735002</v>
      </c>
      <c r="Q490" s="3">
        <v>81.149348886931506</v>
      </c>
      <c r="R490" s="3" t="str">
        <f>IF(Table1[[#This Row],[Nutrition_Quality_Score]]&lt;60, "Poor Nutrition",IF(AND(Table1[[#This Row],[Nutrition_Quality_Score]]&gt;=60,Table1[[#This Row],[Nutrition_Quality_Score]]&lt;=80),"Average Nutrition", "Good Nutrition"))</f>
        <v>Good Nutrition</v>
      </c>
      <c r="S490">
        <v>1</v>
      </c>
      <c r="T490" t="str">
        <f>IF(Table1[[#This Row],[Warmup_Routine_Adherence]]=1, "Adherent","Non-Adherent")</f>
        <v>Adherent</v>
      </c>
      <c r="U490">
        <v>0</v>
      </c>
      <c r="V490" t="str">
        <f>IF(Table1[[#This Row],[Injury_Next_Season]]=1, "Injury","No Injury")</f>
        <v>No Injury</v>
      </c>
      <c r="W490" s="3">
        <v>25.909456951787401</v>
      </c>
    </row>
    <row r="491" spans="1:23" x14ac:dyDescent="0.25">
      <c r="A491" s="6">
        <v>23</v>
      </c>
      <c r="B491" s="8" t="str">
        <f>CONCATENATE(Table1[[#This Row],[Age]]," ", "years")</f>
        <v>23 years</v>
      </c>
      <c r="C491">
        <v>180</v>
      </c>
      <c r="D491">
        <v>70</v>
      </c>
      <c r="E491" t="s">
        <v>19</v>
      </c>
      <c r="F491" s="3">
        <v>10.0179814164718</v>
      </c>
      <c r="G491" s="3">
        <v>39</v>
      </c>
      <c r="H491">
        <v>3</v>
      </c>
      <c r="I491" s="3">
        <v>71.786718473390593</v>
      </c>
      <c r="J491" s="3">
        <v>76.405940738270402</v>
      </c>
      <c r="K491" s="3">
        <v>272.06305053598197</v>
      </c>
      <c r="L491" s="3">
        <v>80.991573489900802</v>
      </c>
      <c r="M491" s="3">
        <v>5.77563320514761</v>
      </c>
      <c r="N491" s="3">
        <v>60.627532613453099</v>
      </c>
      <c r="O491" s="3">
        <v>6.7989254600982196</v>
      </c>
      <c r="P491" s="3">
        <v>69.151641864569797</v>
      </c>
      <c r="Q491" s="3">
        <v>89.446148353012205</v>
      </c>
      <c r="R491" s="3" t="str">
        <f>IF(Table1[[#This Row],[Nutrition_Quality_Score]]&lt;60, "Poor Nutrition",IF(AND(Table1[[#This Row],[Nutrition_Quality_Score]]&gt;=60,Table1[[#This Row],[Nutrition_Quality_Score]]&lt;=80),"Average Nutrition", "Good Nutrition"))</f>
        <v>Good Nutrition</v>
      </c>
      <c r="S491">
        <v>1</v>
      </c>
      <c r="T491" t="str">
        <f>IF(Table1[[#This Row],[Warmup_Routine_Adherence]]=1, "Adherent","Non-Adherent")</f>
        <v>Adherent</v>
      </c>
      <c r="U491">
        <v>1</v>
      </c>
      <c r="V491" t="str">
        <f>IF(Table1[[#This Row],[Injury_Next_Season]]=1, "Injury","No Injury")</f>
        <v>Injury</v>
      </c>
      <c r="W491" s="3">
        <v>21.604938271604901</v>
      </c>
    </row>
    <row r="492" spans="1:23" x14ac:dyDescent="0.25">
      <c r="A492" s="6">
        <v>24</v>
      </c>
      <c r="B492" s="8" t="str">
        <f>CONCATENATE(Table1[[#This Row],[Age]]," ", "years")</f>
        <v>24 years</v>
      </c>
      <c r="C492">
        <v>180</v>
      </c>
      <c r="D492">
        <v>75</v>
      </c>
      <c r="E492" t="s">
        <v>19</v>
      </c>
      <c r="F492" s="3">
        <v>10.580933934406801</v>
      </c>
      <c r="G492" s="3">
        <v>38</v>
      </c>
      <c r="H492">
        <v>5</v>
      </c>
      <c r="I492" s="3">
        <v>77.483054319373807</v>
      </c>
      <c r="J492" s="3">
        <v>86.029006678848901</v>
      </c>
      <c r="K492" s="3">
        <v>257.84255178420102</v>
      </c>
      <c r="L492" s="3">
        <v>68.5735879094495</v>
      </c>
      <c r="M492" s="3">
        <v>5.96389909926895</v>
      </c>
      <c r="N492" s="3">
        <v>88.008946170321295</v>
      </c>
      <c r="O492" s="3">
        <v>6.5378755318952599</v>
      </c>
      <c r="P492" s="3">
        <v>53.364311598273602</v>
      </c>
      <c r="Q492" s="3">
        <v>67.688640579039898</v>
      </c>
      <c r="R492" s="3" t="str">
        <f>IF(Table1[[#This Row],[Nutrition_Quality_Score]]&lt;60, "Poor Nutrition",IF(AND(Table1[[#This Row],[Nutrition_Quality_Score]]&gt;=60,Table1[[#This Row],[Nutrition_Quality_Score]]&lt;=80),"Average Nutrition", "Good Nutrition"))</f>
        <v>Average Nutrition</v>
      </c>
      <c r="S492">
        <v>1</v>
      </c>
      <c r="T492" t="str">
        <f>IF(Table1[[#This Row],[Warmup_Routine_Adherence]]=1, "Adherent","Non-Adherent")</f>
        <v>Adherent</v>
      </c>
      <c r="U492">
        <v>1</v>
      </c>
      <c r="V492" t="str">
        <f>IF(Table1[[#This Row],[Injury_Next_Season]]=1, "Injury","No Injury")</f>
        <v>Injury</v>
      </c>
      <c r="W492" s="3">
        <v>23.148148148148099</v>
      </c>
    </row>
    <row r="493" spans="1:23" x14ac:dyDescent="0.25">
      <c r="A493" s="6">
        <v>24</v>
      </c>
      <c r="B493" s="8" t="str">
        <f>CONCATENATE(Table1[[#This Row],[Age]]," ", "years")</f>
        <v>24 years</v>
      </c>
      <c r="C493">
        <v>167</v>
      </c>
      <c r="D493">
        <v>72</v>
      </c>
      <c r="E493" t="s">
        <v>21</v>
      </c>
      <c r="F493" s="3">
        <v>15.5576881077632</v>
      </c>
      <c r="G493" s="3">
        <v>31</v>
      </c>
      <c r="H493">
        <v>0</v>
      </c>
      <c r="I493" s="3">
        <v>84.303443402115803</v>
      </c>
      <c r="J493" s="3">
        <v>97.035088318169699</v>
      </c>
      <c r="K493" s="3">
        <v>272.07070149216599</v>
      </c>
      <c r="L493" s="3">
        <v>89.709609814817199</v>
      </c>
      <c r="M493" s="3">
        <v>6.3960724137503897</v>
      </c>
      <c r="N493" s="3">
        <v>84.162130053187894</v>
      </c>
      <c r="O493" s="3">
        <v>8.6142973524037796</v>
      </c>
      <c r="P493" s="3">
        <v>36.955038713363898</v>
      </c>
      <c r="Q493" s="3">
        <v>87.288420233012801</v>
      </c>
      <c r="R493" s="3" t="str">
        <f>IF(Table1[[#This Row],[Nutrition_Quality_Score]]&lt;60, "Poor Nutrition",IF(AND(Table1[[#This Row],[Nutrition_Quality_Score]]&gt;=60,Table1[[#This Row],[Nutrition_Quality_Score]]&lt;=80),"Average Nutrition", "Good Nutrition"))</f>
        <v>Good Nutrition</v>
      </c>
      <c r="S493">
        <v>0</v>
      </c>
      <c r="T493" t="str">
        <f>IF(Table1[[#This Row],[Warmup_Routine_Adherence]]=1, "Adherent","Non-Adherent")</f>
        <v>Non-Adherent</v>
      </c>
      <c r="U493">
        <v>0</v>
      </c>
      <c r="V493" t="str">
        <f>IF(Table1[[#This Row],[Injury_Next_Season]]=1, "Injury","No Injury")</f>
        <v>No Injury</v>
      </c>
      <c r="W493" s="3">
        <v>25.816630212628599</v>
      </c>
    </row>
    <row r="494" spans="1:23" x14ac:dyDescent="0.25">
      <c r="A494" s="6">
        <v>21</v>
      </c>
      <c r="B494" s="8" t="str">
        <f>CONCATENATE(Table1[[#This Row],[Age]]," ", "years")</f>
        <v>21 years</v>
      </c>
      <c r="C494">
        <v>180</v>
      </c>
      <c r="D494">
        <v>75</v>
      </c>
      <c r="E494" t="s">
        <v>21</v>
      </c>
      <c r="F494" s="3">
        <v>8.33039235384771</v>
      </c>
      <c r="G494" s="3">
        <v>26</v>
      </c>
      <c r="H494">
        <v>0</v>
      </c>
      <c r="I494" s="3">
        <v>74.391823926612801</v>
      </c>
      <c r="J494" s="3">
        <v>88.281551574457694</v>
      </c>
      <c r="K494" s="3">
        <v>238.80863265635901</v>
      </c>
      <c r="L494" s="3">
        <v>83.464451206921197</v>
      </c>
      <c r="M494" s="3">
        <v>6.1711726196817702</v>
      </c>
      <c r="N494" s="3">
        <v>80.125363190319007</v>
      </c>
      <c r="O494" s="3">
        <v>8.0660717578566601</v>
      </c>
      <c r="P494" s="3">
        <v>52.665802877240701</v>
      </c>
      <c r="Q494" s="3">
        <v>95.542178594486899</v>
      </c>
      <c r="R494" s="3" t="str">
        <f>IF(Table1[[#This Row],[Nutrition_Quality_Score]]&lt;60, "Poor Nutrition",IF(AND(Table1[[#This Row],[Nutrition_Quality_Score]]&gt;=60,Table1[[#This Row],[Nutrition_Quality_Score]]&lt;=80),"Average Nutrition", "Good Nutrition"))</f>
        <v>Good Nutrition</v>
      </c>
      <c r="S494">
        <v>0</v>
      </c>
      <c r="T494" t="str">
        <f>IF(Table1[[#This Row],[Warmup_Routine_Adherence]]=1, "Adherent","Non-Adherent")</f>
        <v>Non-Adherent</v>
      </c>
      <c r="U494">
        <v>0</v>
      </c>
      <c r="V494" t="str">
        <f>IF(Table1[[#This Row],[Injury_Next_Season]]=1, "Injury","No Injury")</f>
        <v>No Injury</v>
      </c>
      <c r="W494" s="3">
        <v>23.148148148148099</v>
      </c>
    </row>
    <row r="495" spans="1:23" x14ac:dyDescent="0.25">
      <c r="A495" s="6">
        <v>21</v>
      </c>
      <c r="B495" s="8" t="str">
        <f>CONCATENATE(Table1[[#This Row],[Age]]," ", "years")</f>
        <v>21 years</v>
      </c>
      <c r="C495">
        <v>173</v>
      </c>
      <c r="D495">
        <v>71</v>
      </c>
      <c r="E495" t="s">
        <v>19</v>
      </c>
      <c r="F495" s="3">
        <v>9.3503298921506008</v>
      </c>
      <c r="G495" s="3">
        <v>30</v>
      </c>
      <c r="H495">
        <v>2</v>
      </c>
      <c r="I495" s="3">
        <v>80.947244821507098</v>
      </c>
      <c r="J495" s="3">
        <v>91.278032993257298</v>
      </c>
      <c r="K495" s="3">
        <v>250.36707424326801</v>
      </c>
      <c r="L495" s="3">
        <v>87.803802720332499</v>
      </c>
      <c r="M495" s="3">
        <v>6.0717373209548198</v>
      </c>
      <c r="N495" s="3">
        <v>74.893902849515499</v>
      </c>
      <c r="O495" s="3">
        <v>6.76800961330179</v>
      </c>
      <c r="P495" s="3">
        <v>48.924787084410497</v>
      </c>
      <c r="Q495" s="3">
        <v>57.696267690364799</v>
      </c>
      <c r="R495" s="3" t="str">
        <f>IF(Table1[[#This Row],[Nutrition_Quality_Score]]&lt;60, "Poor Nutrition",IF(AND(Table1[[#This Row],[Nutrition_Quality_Score]]&gt;=60,Table1[[#This Row],[Nutrition_Quality_Score]]&lt;=80),"Average Nutrition", "Good Nutrition"))</f>
        <v>Poor Nutrition</v>
      </c>
      <c r="S495">
        <v>1</v>
      </c>
      <c r="T495" t="str">
        <f>IF(Table1[[#This Row],[Warmup_Routine_Adherence]]=1, "Adherent","Non-Adherent")</f>
        <v>Adherent</v>
      </c>
      <c r="U495">
        <v>0</v>
      </c>
      <c r="V495" t="str">
        <f>IF(Table1[[#This Row],[Injury_Next_Season]]=1, "Injury","No Injury")</f>
        <v>No Injury</v>
      </c>
      <c r="W495" s="3">
        <v>23.722810651876099</v>
      </c>
    </row>
    <row r="496" spans="1:23" x14ac:dyDescent="0.25">
      <c r="A496" s="6">
        <v>19</v>
      </c>
      <c r="B496" s="8" t="str">
        <f>CONCATENATE(Table1[[#This Row],[Age]]," ", "years")</f>
        <v>19 years</v>
      </c>
      <c r="C496">
        <v>177</v>
      </c>
      <c r="D496">
        <v>81</v>
      </c>
      <c r="E496" t="s">
        <v>20</v>
      </c>
      <c r="F496" s="3">
        <v>8.1889989622094195</v>
      </c>
      <c r="G496" s="3">
        <v>16</v>
      </c>
      <c r="H496">
        <v>3</v>
      </c>
      <c r="I496" s="3">
        <v>69.849829959417093</v>
      </c>
      <c r="J496" s="3">
        <v>73.041018099466797</v>
      </c>
      <c r="K496" s="3">
        <v>251.00716547190001</v>
      </c>
      <c r="L496" s="3">
        <v>84.735104649116806</v>
      </c>
      <c r="M496" s="3">
        <v>5.8279994949205802</v>
      </c>
      <c r="N496" s="3">
        <v>70.714092298157894</v>
      </c>
      <c r="O496" s="3">
        <v>7.4761751015939</v>
      </c>
      <c r="P496" s="3">
        <v>56.242681692748498</v>
      </c>
      <c r="Q496" s="3">
        <v>63.621151905434999</v>
      </c>
      <c r="R496" s="3" t="str">
        <f>IF(Table1[[#This Row],[Nutrition_Quality_Score]]&lt;60, "Poor Nutrition",IF(AND(Table1[[#This Row],[Nutrition_Quality_Score]]&gt;=60,Table1[[#This Row],[Nutrition_Quality_Score]]&lt;=80),"Average Nutrition", "Good Nutrition"))</f>
        <v>Average Nutrition</v>
      </c>
      <c r="S496">
        <v>0</v>
      </c>
      <c r="T496" t="str">
        <f>IF(Table1[[#This Row],[Warmup_Routine_Adherence]]=1, "Adherent","Non-Adherent")</f>
        <v>Non-Adherent</v>
      </c>
      <c r="U496">
        <v>1</v>
      </c>
      <c r="V496" t="str">
        <f>IF(Table1[[#This Row],[Injury_Next_Season]]=1, "Injury","No Injury")</f>
        <v>Injury</v>
      </c>
      <c r="W496" s="3">
        <v>25.854639471416199</v>
      </c>
    </row>
    <row r="497" spans="1:23" x14ac:dyDescent="0.25">
      <c r="A497" s="6">
        <v>20</v>
      </c>
      <c r="B497" s="8" t="str">
        <f>CONCATENATE(Table1[[#This Row],[Age]]," ", "years")</f>
        <v>20 years</v>
      </c>
      <c r="C497">
        <v>176</v>
      </c>
      <c r="D497">
        <v>61</v>
      </c>
      <c r="E497" t="s">
        <v>19</v>
      </c>
      <c r="F497" s="3">
        <v>7.2886339060630201</v>
      </c>
      <c r="G497" s="3">
        <v>34</v>
      </c>
      <c r="H497">
        <v>1</v>
      </c>
      <c r="I497" s="3">
        <v>59.540436779469502</v>
      </c>
      <c r="J497" s="3">
        <v>87.642089585415903</v>
      </c>
      <c r="K497" s="3">
        <v>252.409353128932</v>
      </c>
      <c r="L497" s="3">
        <v>67.755588474659206</v>
      </c>
      <c r="M497" s="3">
        <v>5.78089830064562</v>
      </c>
      <c r="N497" s="3">
        <v>79.629961751970896</v>
      </c>
      <c r="O497" s="3">
        <v>7.7517647581528903</v>
      </c>
      <c r="P497" s="3">
        <v>72.277085194861101</v>
      </c>
      <c r="Q497" s="3">
        <v>73.191835028201695</v>
      </c>
      <c r="R497" s="3" t="str">
        <f>IF(Table1[[#This Row],[Nutrition_Quality_Score]]&lt;60, "Poor Nutrition",IF(AND(Table1[[#This Row],[Nutrition_Quality_Score]]&gt;=60,Table1[[#This Row],[Nutrition_Quality_Score]]&lt;=80),"Average Nutrition", "Good Nutrition"))</f>
        <v>Average Nutrition</v>
      </c>
      <c r="S497">
        <v>1</v>
      </c>
      <c r="T497" t="str">
        <f>IF(Table1[[#This Row],[Warmup_Routine_Adherence]]=1, "Adherent","Non-Adherent")</f>
        <v>Adherent</v>
      </c>
      <c r="U497">
        <v>1</v>
      </c>
      <c r="V497" t="str">
        <f>IF(Table1[[#This Row],[Injury_Next_Season]]=1, "Injury","No Injury")</f>
        <v>Injury</v>
      </c>
      <c r="W497" s="3">
        <v>19.692665289256102</v>
      </c>
    </row>
    <row r="498" spans="1:23" x14ac:dyDescent="0.25">
      <c r="A498" s="6">
        <v>23</v>
      </c>
      <c r="B498" s="8" t="str">
        <f>CONCATENATE(Table1[[#This Row],[Age]]," ", "years")</f>
        <v>23 years</v>
      </c>
      <c r="C498">
        <v>176</v>
      </c>
      <c r="D498">
        <v>59</v>
      </c>
      <c r="E498" t="s">
        <v>19</v>
      </c>
      <c r="F498" s="3">
        <v>8.9554381642573997</v>
      </c>
      <c r="G498" s="3">
        <v>12</v>
      </c>
      <c r="H498">
        <v>2</v>
      </c>
      <c r="I498" s="3">
        <v>72.415326137862905</v>
      </c>
      <c r="J498" s="3">
        <v>82.400732711260801</v>
      </c>
      <c r="K498" s="3">
        <v>271.48691740282101</v>
      </c>
      <c r="L498" s="3">
        <v>86.337944793650294</v>
      </c>
      <c r="M498" s="3">
        <v>5.7391236391945597</v>
      </c>
      <c r="N498" s="3">
        <v>81.372346117888895</v>
      </c>
      <c r="O498" s="3">
        <v>6.6445903497153402</v>
      </c>
      <c r="P498" s="3">
        <v>50.932956754712599</v>
      </c>
      <c r="Q498" s="3">
        <v>82.586043900270496</v>
      </c>
      <c r="R498" s="3" t="str">
        <f>IF(Table1[[#This Row],[Nutrition_Quality_Score]]&lt;60, "Poor Nutrition",IF(AND(Table1[[#This Row],[Nutrition_Quality_Score]]&gt;=60,Table1[[#This Row],[Nutrition_Quality_Score]]&lt;=80),"Average Nutrition", "Good Nutrition"))</f>
        <v>Good Nutrition</v>
      </c>
      <c r="S498">
        <v>1</v>
      </c>
      <c r="T498" t="str">
        <f>IF(Table1[[#This Row],[Warmup_Routine_Adherence]]=1, "Adherent","Non-Adherent")</f>
        <v>Adherent</v>
      </c>
      <c r="U498">
        <v>1</v>
      </c>
      <c r="V498" t="str">
        <f>IF(Table1[[#This Row],[Injury_Next_Season]]=1, "Injury","No Injury")</f>
        <v>Injury</v>
      </c>
      <c r="W498" s="3">
        <v>19.0470041322314</v>
      </c>
    </row>
    <row r="499" spans="1:23" x14ac:dyDescent="0.25">
      <c r="A499" s="6">
        <v>23</v>
      </c>
      <c r="B499" s="8" t="str">
        <f>CONCATENATE(Table1[[#This Row],[Age]]," ", "years")</f>
        <v>23 years</v>
      </c>
      <c r="C499">
        <v>185</v>
      </c>
      <c r="D499">
        <v>76</v>
      </c>
      <c r="E499" t="s">
        <v>22</v>
      </c>
      <c r="F499" s="3">
        <v>7.5869143996671298</v>
      </c>
      <c r="G499" s="3">
        <v>30</v>
      </c>
      <c r="H499">
        <v>0</v>
      </c>
      <c r="I499" s="3">
        <v>75.896255454599896</v>
      </c>
      <c r="J499" s="3">
        <v>86.186736382242898</v>
      </c>
      <c r="K499" s="3">
        <v>207.669804284626</v>
      </c>
      <c r="L499" s="3">
        <v>89.727244193058098</v>
      </c>
      <c r="M499" s="3">
        <v>5.7407649371369001</v>
      </c>
      <c r="N499" s="3">
        <v>88.144712402161304</v>
      </c>
      <c r="O499" s="3">
        <v>7.9748015469717801</v>
      </c>
      <c r="P499" s="3">
        <v>41.906659418360803</v>
      </c>
      <c r="Q499" s="3">
        <v>72.462499901873301</v>
      </c>
      <c r="R499" s="3" t="str">
        <f>IF(Table1[[#This Row],[Nutrition_Quality_Score]]&lt;60, "Poor Nutrition",IF(AND(Table1[[#This Row],[Nutrition_Quality_Score]]&gt;=60,Table1[[#This Row],[Nutrition_Quality_Score]]&lt;=80),"Average Nutrition", "Good Nutrition"))</f>
        <v>Average Nutrition</v>
      </c>
      <c r="S499">
        <v>1</v>
      </c>
      <c r="T499" t="str">
        <f>IF(Table1[[#This Row],[Warmup_Routine_Adherence]]=1, "Adherent","Non-Adherent")</f>
        <v>Adherent</v>
      </c>
      <c r="U499">
        <v>0</v>
      </c>
      <c r="V499" t="str">
        <f>IF(Table1[[#This Row],[Injury_Next_Season]]=1, "Injury","No Injury")</f>
        <v>No Injury</v>
      </c>
      <c r="W499" s="3">
        <v>22.205989773557299</v>
      </c>
    </row>
    <row r="500" spans="1:23" x14ac:dyDescent="0.25">
      <c r="A500" s="6">
        <v>21</v>
      </c>
      <c r="B500" s="8" t="str">
        <f>CONCATENATE(Table1[[#This Row],[Age]]," ", "years")</f>
        <v>21 years</v>
      </c>
      <c r="C500">
        <v>165</v>
      </c>
      <c r="D500">
        <v>71</v>
      </c>
      <c r="E500" t="s">
        <v>19</v>
      </c>
      <c r="F500" s="3">
        <v>10.2584764579814</v>
      </c>
      <c r="G500" s="3">
        <v>37</v>
      </c>
      <c r="H500">
        <v>1</v>
      </c>
      <c r="I500" s="3">
        <v>88.988700186380797</v>
      </c>
      <c r="J500" s="3">
        <v>86.834871733034703</v>
      </c>
      <c r="K500" s="3">
        <v>244.14512463603899</v>
      </c>
      <c r="L500" s="3">
        <v>97.377238646088799</v>
      </c>
      <c r="M500" s="3">
        <v>6.1241428925505597</v>
      </c>
      <c r="N500" s="3">
        <v>80.364632504827696</v>
      </c>
      <c r="O500" s="3">
        <v>6.5162030344712596</v>
      </c>
      <c r="P500" s="3">
        <v>67.745732859958196</v>
      </c>
      <c r="Q500" s="3">
        <v>93.472507523414293</v>
      </c>
      <c r="R500" s="3" t="str">
        <f>IF(Table1[[#This Row],[Nutrition_Quality_Score]]&lt;60, "Poor Nutrition",IF(AND(Table1[[#This Row],[Nutrition_Quality_Score]]&gt;=60,Table1[[#This Row],[Nutrition_Quality_Score]]&lt;=80),"Average Nutrition", "Good Nutrition"))</f>
        <v>Good Nutrition</v>
      </c>
      <c r="S500">
        <v>1</v>
      </c>
      <c r="T500" t="str">
        <f>IF(Table1[[#This Row],[Warmup_Routine_Adherence]]=1, "Adherent","Non-Adherent")</f>
        <v>Adherent</v>
      </c>
      <c r="U500">
        <v>0</v>
      </c>
      <c r="V500" t="str">
        <f>IF(Table1[[#This Row],[Injury_Next_Season]]=1, "Injury","No Injury")</f>
        <v>No Injury</v>
      </c>
      <c r="W500" s="3">
        <v>26.078971533516899</v>
      </c>
    </row>
    <row r="501" spans="1:23" x14ac:dyDescent="0.25">
      <c r="A501" s="6">
        <v>23</v>
      </c>
      <c r="B501" s="8" t="str">
        <f>CONCATENATE(Table1[[#This Row],[Age]]," ", "years")</f>
        <v>23 years</v>
      </c>
      <c r="C501">
        <v>180</v>
      </c>
      <c r="D501">
        <v>81</v>
      </c>
      <c r="E501" t="s">
        <v>20</v>
      </c>
      <c r="F501" s="3">
        <v>8.4120196833566396</v>
      </c>
      <c r="G501" s="3">
        <v>14</v>
      </c>
      <c r="H501">
        <v>0</v>
      </c>
      <c r="I501" s="3">
        <v>77.784211154764705</v>
      </c>
      <c r="J501" s="3">
        <v>74.560471324138703</v>
      </c>
      <c r="K501" s="3">
        <v>276.10616112932399</v>
      </c>
      <c r="L501" s="3">
        <v>87.550290849337102</v>
      </c>
      <c r="M501" s="3">
        <v>5.10480450361334</v>
      </c>
      <c r="N501" s="3">
        <v>91.580665842971101</v>
      </c>
      <c r="O501" s="3">
        <v>8.1782976076985001</v>
      </c>
      <c r="P501" s="3">
        <v>45.906779996553603</v>
      </c>
      <c r="Q501" s="3">
        <v>86.159038711703801</v>
      </c>
      <c r="R501" s="3" t="str">
        <f>IF(Table1[[#This Row],[Nutrition_Quality_Score]]&lt;60, "Poor Nutrition",IF(AND(Table1[[#This Row],[Nutrition_Quality_Score]]&gt;=60,Table1[[#This Row],[Nutrition_Quality_Score]]&lt;=80),"Average Nutrition", "Good Nutrition"))</f>
        <v>Good Nutrition</v>
      </c>
      <c r="S501">
        <v>1</v>
      </c>
      <c r="T501" t="str">
        <f>IF(Table1[[#This Row],[Warmup_Routine_Adherence]]=1, "Adherent","Non-Adherent")</f>
        <v>Adherent</v>
      </c>
      <c r="U501">
        <v>0</v>
      </c>
      <c r="V501" t="str">
        <f>IF(Table1[[#This Row],[Injury_Next_Season]]=1, "Injury","No Injury")</f>
        <v>No Injury</v>
      </c>
      <c r="W501" s="3">
        <v>25</v>
      </c>
    </row>
    <row r="502" spans="1:23" x14ac:dyDescent="0.25">
      <c r="A502" s="6">
        <v>24</v>
      </c>
      <c r="B502" s="8" t="str">
        <f>CONCATENATE(Table1[[#This Row],[Age]]," ", "years")</f>
        <v>24 years</v>
      </c>
      <c r="C502">
        <v>173</v>
      </c>
      <c r="D502">
        <v>60</v>
      </c>
      <c r="E502" t="s">
        <v>21</v>
      </c>
      <c r="F502" s="3">
        <v>14.5937852005053</v>
      </c>
      <c r="G502" s="3">
        <v>20</v>
      </c>
      <c r="H502">
        <v>2</v>
      </c>
      <c r="I502" s="3">
        <v>86.660737743194204</v>
      </c>
      <c r="J502" s="3">
        <v>84.3829060138453</v>
      </c>
      <c r="K502" s="3">
        <v>211.13636759874399</v>
      </c>
      <c r="L502" s="3">
        <v>84.625527665438895</v>
      </c>
      <c r="M502" s="3">
        <v>6.0803313765590703</v>
      </c>
      <c r="N502" s="3">
        <v>80.232140765190294</v>
      </c>
      <c r="O502" s="3">
        <v>7.9452762440746802</v>
      </c>
      <c r="P502" s="3">
        <v>46.348364781112899</v>
      </c>
      <c r="Q502" s="3">
        <v>66.3256047977343</v>
      </c>
      <c r="R502" s="3" t="str">
        <f>IF(Table1[[#This Row],[Nutrition_Quality_Score]]&lt;60, "Poor Nutrition",IF(AND(Table1[[#This Row],[Nutrition_Quality_Score]]&gt;=60,Table1[[#This Row],[Nutrition_Quality_Score]]&lt;=80),"Average Nutrition", "Good Nutrition"))</f>
        <v>Average Nutrition</v>
      </c>
      <c r="S502">
        <v>0</v>
      </c>
      <c r="T502" t="str">
        <f>IF(Table1[[#This Row],[Warmup_Routine_Adherence]]=1, "Adherent","Non-Adherent")</f>
        <v>Non-Adherent</v>
      </c>
      <c r="U502">
        <v>0</v>
      </c>
      <c r="V502" t="str">
        <f>IF(Table1[[#This Row],[Injury_Next_Season]]=1, "Injury","No Injury")</f>
        <v>No Injury</v>
      </c>
      <c r="W502" s="3">
        <v>20.047445621303702</v>
      </c>
    </row>
    <row r="503" spans="1:23" x14ac:dyDescent="0.25">
      <c r="A503" s="6">
        <v>18</v>
      </c>
      <c r="B503" s="8" t="str">
        <f>CONCATENATE(Table1[[#This Row],[Age]]," ", "years")</f>
        <v>18 years</v>
      </c>
      <c r="C503">
        <v>167</v>
      </c>
      <c r="D503">
        <v>59</v>
      </c>
      <c r="E503" t="s">
        <v>21</v>
      </c>
      <c r="F503" s="3">
        <v>10.9024342392647</v>
      </c>
      <c r="G503" s="3">
        <v>13</v>
      </c>
      <c r="H503">
        <v>1</v>
      </c>
      <c r="I503" s="3">
        <v>69.869378910178199</v>
      </c>
      <c r="J503" s="3">
        <v>90.328402087203798</v>
      </c>
      <c r="K503" s="3">
        <v>239.09523073089201</v>
      </c>
      <c r="L503" s="3">
        <v>90.647316350166506</v>
      </c>
      <c r="M503" s="3">
        <v>6.0873328692975797</v>
      </c>
      <c r="N503" s="3">
        <v>70.252579239849197</v>
      </c>
      <c r="O503" s="3">
        <v>7.1802790367900302</v>
      </c>
      <c r="P503" s="3">
        <v>40.293528741978797</v>
      </c>
      <c r="Q503" s="3">
        <v>75.788791035642802</v>
      </c>
      <c r="R503" s="3" t="str">
        <f>IF(Table1[[#This Row],[Nutrition_Quality_Score]]&lt;60, "Poor Nutrition",IF(AND(Table1[[#This Row],[Nutrition_Quality_Score]]&gt;=60,Table1[[#This Row],[Nutrition_Quality_Score]]&lt;=80),"Average Nutrition", "Good Nutrition"))</f>
        <v>Average Nutrition</v>
      </c>
      <c r="S503">
        <v>1</v>
      </c>
      <c r="T503" t="str">
        <f>IF(Table1[[#This Row],[Warmup_Routine_Adherence]]=1, "Adherent","Non-Adherent")</f>
        <v>Adherent</v>
      </c>
      <c r="U503">
        <v>0</v>
      </c>
      <c r="V503" t="str">
        <f>IF(Table1[[#This Row],[Injury_Next_Season]]=1, "Injury","No Injury")</f>
        <v>No Injury</v>
      </c>
      <c r="W503" s="3">
        <v>21.155294202015099</v>
      </c>
    </row>
    <row r="504" spans="1:23" x14ac:dyDescent="0.25">
      <c r="A504" s="6">
        <v>22</v>
      </c>
      <c r="B504" s="8" t="str">
        <f>CONCATENATE(Table1[[#This Row],[Age]]," ", "years")</f>
        <v>22 years</v>
      </c>
      <c r="C504">
        <v>176</v>
      </c>
      <c r="D504">
        <v>73</v>
      </c>
      <c r="E504" t="s">
        <v>19</v>
      </c>
      <c r="F504" s="3">
        <v>7.1916985635719</v>
      </c>
      <c r="G504" s="3">
        <v>27</v>
      </c>
      <c r="H504">
        <v>1</v>
      </c>
      <c r="I504" s="3">
        <v>79.247899679841893</v>
      </c>
      <c r="J504" s="3">
        <v>86.591011740236695</v>
      </c>
      <c r="K504" s="3">
        <v>253.09661149821699</v>
      </c>
      <c r="L504" s="3">
        <v>95.672900643400297</v>
      </c>
      <c r="M504" s="3">
        <v>6.1681781912425704</v>
      </c>
      <c r="N504" s="3">
        <v>82.538137209430403</v>
      </c>
      <c r="O504" s="3">
        <v>7.9033290443680997</v>
      </c>
      <c r="P504" s="3">
        <v>47.5613968949419</v>
      </c>
      <c r="Q504" s="3">
        <v>90.567604701893202</v>
      </c>
      <c r="R504" s="3" t="str">
        <f>IF(Table1[[#This Row],[Nutrition_Quality_Score]]&lt;60, "Poor Nutrition",IF(AND(Table1[[#This Row],[Nutrition_Quality_Score]]&gt;=60,Table1[[#This Row],[Nutrition_Quality_Score]]&lt;=80),"Average Nutrition", "Good Nutrition"))</f>
        <v>Good Nutrition</v>
      </c>
      <c r="S504">
        <v>0</v>
      </c>
      <c r="T504" t="str">
        <f>IF(Table1[[#This Row],[Warmup_Routine_Adherence]]=1, "Adherent","Non-Adherent")</f>
        <v>Non-Adherent</v>
      </c>
      <c r="U504">
        <v>0</v>
      </c>
      <c r="V504" t="str">
        <f>IF(Table1[[#This Row],[Injury_Next_Season]]=1, "Injury","No Injury")</f>
        <v>No Injury</v>
      </c>
      <c r="W504" s="3">
        <v>23.566632231404899</v>
      </c>
    </row>
    <row r="505" spans="1:23" x14ac:dyDescent="0.25">
      <c r="A505" s="6">
        <v>20</v>
      </c>
      <c r="B505" s="8" t="str">
        <f>CONCATENATE(Table1[[#This Row],[Age]]," ", "years")</f>
        <v>20 years</v>
      </c>
      <c r="C505">
        <v>193</v>
      </c>
      <c r="D505">
        <v>76</v>
      </c>
      <c r="E505" t="s">
        <v>21</v>
      </c>
      <c r="F505" s="3">
        <v>14.2032310126095</v>
      </c>
      <c r="G505" s="3">
        <v>13</v>
      </c>
      <c r="H505">
        <v>1</v>
      </c>
      <c r="I505" s="3">
        <v>76.415670430721505</v>
      </c>
      <c r="J505" s="3">
        <v>86.866595787841305</v>
      </c>
      <c r="K505" s="3">
        <v>193.746050762934</v>
      </c>
      <c r="L505" s="3">
        <v>84.888529258607207</v>
      </c>
      <c r="M505" s="3">
        <v>6.0343362660802997</v>
      </c>
      <c r="N505" s="3">
        <v>83.093885692457704</v>
      </c>
      <c r="O505" s="3">
        <v>6.99577667392614</v>
      </c>
      <c r="P505" s="3">
        <v>56.454994359756398</v>
      </c>
      <c r="Q505" s="3">
        <v>68.463027657172105</v>
      </c>
      <c r="R505" s="3" t="str">
        <f>IF(Table1[[#This Row],[Nutrition_Quality_Score]]&lt;60, "Poor Nutrition",IF(AND(Table1[[#This Row],[Nutrition_Quality_Score]]&gt;=60,Table1[[#This Row],[Nutrition_Quality_Score]]&lt;=80),"Average Nutrition", "Good Nutrition"))</f>
        <v>Average Nutrition</v>
      </c>
      <c r="S505">
        <v>1</v>
      </c>
      <c r="T505" t="str">
        <f>IF(Table1[[#This Row],[Warmup_Routine_Adherence]]=1, "Adherent","Non-Adherent")</f>
        <v>Adherent</v>
      </c>
      <c r="U505">
        <v>0</v>
      </c>
      <c r="V505" t="str">
        <f>IF(Table1[[#This Row],[Injury_Next_Season]]=1, "Injury","No Injury")</f>
        <v>No Injury</v>
      </c>
      <c r="W505" s="3">
        <v>20.4032323015382</v>
      </c>
    </row>
    <row r="506" spans="1:23" x14ac:dyDescent="0.25">
      <c r="A506" s="6">
        <v>24</v>
      </c>
      <c r="B506" s="8" t="str">
        <f>CONCATENATE(Table1[[#This Row],[Age]]," ", "years")</f>
        <v>24 years</v>
      </c>
      <c r="C506">
        <v>183</v>
      </c>
      <c r="D506">
        <v>71</v>
      </c>
      <c r="E506" t="s">
        <v>20</v>
      </c>
      <c r="F506" s="3">
        <v>9.4984101245071706</v>
      </c>
      <c r="G506" s="3">
        <v>28</v>
      </c>
      <c r="H506">
        <v>2</v>
      </c>
      <c r="I506" s="3">
        <v>61.227626493139503</v>
      </c>
      <c r="J506" s="3">
        <v>77.039051950311602</v>
      </c>
      <c r="K506" s="3">
        <v>237.93169414068501</v>
      </c>
      <c r="L506" s="3">
        <v>92.530732004964904</v>
      </c>
      <c r="M506" s="3">
        <v>5.7160708686934996</v>
      </c>
      <c r="N506" s="3">
        <v>57.8308809193637</v>
      </c>
      <c r="O506" s="3">
        <v>7.3777974930191901</v>
      </c>
      <c r="P506" s="3">
        <v>59.4702573545866</v>
      </c>
      <c r="Q506" s="3">
        <v>63.557843613619703</v>
      </c>
      <c r="R506" s="3" t="str">
        <f>IF(Table1[[#This Row],[Nutrition_Quality_Score]]&lt;60, "Poor Nutrition",IF(AND(Table1[[#This Row],[Nutrition_Quality_Score]]&gt;=60,Table1[[#This Row],[Nutrition_Quality_Score]]&lt;=80),"Average Nutrition", "Good Nutrition"))</f>
        <v>Average Nutrition</v>
      </c>
      <c r="S506">
        <v>0</v>
      </c>
      <c r="T506" t="str">
        <f>IF(Table1[[#This Row],[Warmup_Routine_Adherence]]=1, "Adherent","Non-Adherent")</f>
        <v>Non-Adherent</v>
      </c>
      <c r="U506">
        <v>1</v>
      </c>
      <c r="V506" t="str">
        <f>IF(Table1[[#This Row],[Injury_Next_Season]]=1, "Injury","No Injury")</f>
        <v>Injury</v>
      </c>
      <c r="W506" s="3">
        <v>21.200991370300599</v>
      </c>
    </row>
    <row r="507" spans="1:23" x14ac:dyDescent="0.25">
      <c r="A507" s="6">
        <v>20</v>
      </c>
      <c r="B507" s="8" t="str">
        <f>CONCATENATE(Table1[[#This Row],[Age]]," ", "years")</f>
        <v>20 years</v>
      </c>
      <c r="C507">
        <v>175</v>
      </c>
      <c r="D507">
        <v>70</v>
      </c>
      <c r="E507" t="s">
        <v>21</v>
      </c>
      <c r="F507" s="3">
        <v>5.6103676298059302</v>
      </c>
      <c r="G507" s="3">
        <v>19</v>
      </c>
      <c r="H507">
        <v>1</v>
      </c>
      <c r="I507" s="3">
        <v>77.980822650892904</v>
      </c>
      <c r="J507" s="3">
        <v>93.569313265200094</v>
      </c>
      <c r="K507" s="3">
        <v>216.28599476506801</v>
      </c>
      <c r="L507" s="3">
        <v>75.108100415375503</v>
      </c>
      <c r="M507" s="3">
        <v>6.5442329342082202</v>
      </c>
      <c r="N507" s="3">
        <v>78.688640933056405</v>
      </c>
      <c r="O507" s="3">
        <v>8.0790805428981294</v>
      </c>
      <c r="P507" s="3">
        <v>39.989484331198597</v>
      </c>
      <c r="Q507" s="3">
        <v>82.085177530632293</v>
      </c>
      <c r="R507" s="3" t="str">
        <f>IF(Table1[[#This Row],[Nutrition_Quality_Score]]&lt;60, "Poor Nutrition",IF(AND(Table1[[#This Row],[Nutrition_Quality_Score]]&gt;=60,Table1[[#This Row],[Nutrition_Quality_Score]]&lt;=80),"Average Nutrition", "Good Nutrition"))</f>
        <v>Good Nutrition</v>
      </c>
      <c r="S507">
        <v>1</v>
      </c>
      <c r="T507" t="str">
        <f>IF(Table1[[#This Row],[Warmup_Routine_Adherence]]=1, "Adherent","Non-Adherent")</f>
        <v>Adherent</v>
      </c>
      <c r="U507">
        <v>0</v>
      </c>
      <c r="V507" t="str">
        <f>IF(Table1[[#This Row],[Injury_Next_Season]]=1, "Injury","No Injury")</f>
        <v>No Injury</v>
      </c>
      <c r="W507" s="3">
        <v>22.857142857142801</v>
      </c>
    </row>
    <row r="508" spans="1:23" x14ac:dyDescent="0.25">
      <c r="A508" s="6">
        <v>24</v>
      </c>
      <c r="B508" s="8" t="str">
        <f>CONCATENATE(Table1[[#This Row],[Age]]," ", "years")</f>
        <v>24 years</v>
      </c>
      <c r="C508">
        <v>178</v>
      </c>
      <c r="D508">
        <v>79</v>
      </c>
      <c r="E508" t="s">
        <v>21</v>
      </c>
      <c r="F508" s="3">
        <v>8.6357630646827293</v>
      </c>
      <c r="G508" s="3">
        <v>39</v>
      </c>
      <c r="H508">
        <v>1</v>
      </c>
      <c r="I508" s="3">
        <v>74.191920451330006</v>
      </c>
      <c r="J508" s="3">
        <v>78.292082698379801</v>
      </c>
      <c r="K508" s="3">
        <v>237.00462909286301</v>
      </c>
      <c r="L508" s="3">
        <v>89.332509996852096</v>
      </c>
      <c r="M508" s="3">
        <v>6.22910402182755</v>
      </c>
      <c r="N508" s="3">
        <v>73.895772797767705</v>
      </c>
      <c r="O508" s="3">
        <v>7.1177081650720302</v>
      </c>
      <c r="P508" s="3">
        <v>74.880012364932298</v>
      </c>
      <c r="Q508" s="3">
        <v>63.211798542080999</v>
      </c>
      <c r="R508" s="3" t="str">
        <f>IF(Table1[[#This Row],[Nutrition_Quality_Score]]&lt;60, "Poor Nutrition",IF(AND(Table1[[#This Row],[Nutrition_Quality_Score]]&gt;=60,Table1[[#This Row],[Nutrition_Quality_Score]]&lt;=80),"Average Nutrition", "Good Nutrition"))</f>
        <v>Average Nutrition</v>
      </c>
      <c r="S508">
        <v>0</v>
      </c>
      <c r="T508" t="str">
        <f>IF(Table1[[#This Row],[Warmup_Routine_Adherence]]=1, "Adherent","Non-Adherent")</f>
        <v>Non-Adherent</v>
      </c>
      <c r="U508">
        <v>1</v>
      </c>
      <c r="V508" t="str">
        <f>IF(Table1[[#This Row],[Injury_Next_Season]]=1, "Injury","No Injury")</f>
        <v>Injury</v>
      </c>
      <c r="W508" s="3">
        <v>24.9337204898371</v>
      </c>
    </row>
    <row r="509" spans="1:23" x14ac:dyDescent="0.25">
      <c r="A509" s="6">
        <v>18</v>
      </c>
      <c r="B509" s="8" t="str">
        <f>CONCATENATE(Table1[[#This Row],[Age]]," ", "years")</f>
        <v>18 years</v>
      </c>
      <c r="C509">
        <v>181</v>
      </c>
      <c r="D509">
        <v>59</v>
      </c>
      <c r="E509" t="s">
        <v>20</v>
      </c>
      <c r="F509" s="3">
        <v>5</v>
      </c>
      <c r="G509" s="3">
        <v>39</v>
      </c>
      <c r="H509">
        <v>1</v>
      </c>
      <c r="I509" s="3">
        <v>87.4058761850916</v>
      </c>
      <c r="J509" s="3">
        <v>86.977966960413795</v>
      </c>
      <c r="K509" s="3">
        <v>239.778265862886</v>
      </c>
      <c r="L509" s="3">
        <v>84.997370939413301</v>
      </c>
      <c r="M509" s="3">
        <v>5.9606356227109103</v>
      </c>
      <c r="N509" s="3">
        <v>92.253637309613296</v>
      </c>
      <c r="O509" s="3">
        <v>8.8809184338028899</v>
      </c>
      <c r="P509" s="3">
        <v>65.670983211806401</v>
      </c>
      <c r="Q509" s="3">
        <v>52.529845455973003</v>
      </c>
      <c r="R509" s="3" t="str">
        <f>IF(Table1[[#This Row],[Nutrition_Quality_Score]]&lt;60, "Poor Nutrition",IF(AND(Table1[[#This Row],[Nutrition_Quality_Score]]&gt;=60,Table1[[#This Row],[Nutrition_Quality_Score]]&lt;=80),"Average Nutrition", "Good Nutrition"))</f>
        <v>Poor Nutrition</v>
      </c>
      <c r="S509">
        <v>1</v>
      </c>
      <c r="T509" t="str">
        <f>IF(Table1[[#This Row],[Warmup_Routine_Adherence]]=1, "Adherent","Non-Adherent")</f>
        <v>Adherent</v>
      </c>
      <c r="U509">
        <v>0</v>
      </c>
      <c r="V509" t="str">
        <f>IF(Table1[[#This Row],[Injury_Next_Season]]=1, "Injury","No Injury")</f>
        <v>No Injury</v>
      </c>
      <c r="W509" s="3">
        <v>18.0092182778303</v>
      </c>
    </row>
    <row r="510" spans="1:23" x14ac:dyDescent="0.25">
      <c r="A510" s="6">
        <v>23</v>
      </c>
      <c r="B510" s="8" t="str">
        <f>CONCATENATE(Table1[[#This Row],[Age]]," ", "years")</f>
        <v>23 years</v>
      </c>
      <c r="C510">
        <v>171</v>
      </c>
      <c r="D510">
        <v>78</v>
      </c>
      <c r="E510" t="s">
        <v>19</v>
      </c>
      <c r="F510" s="3">
        <v>8.13089631527364</v>
      </c>
      <c r="G510" s="3">
        <v>22</v>
      </c>
      <c r="H510">
        <v>3</v>
      </c>
      <c r="I510" s="3">
        <v>68.124008900889905</v>
      </c>
      <c r="J510" s="3">
        <v>68.528868000536406</v>
      </c>
      <c r="K510" s="3">
        <v>267.41198821993601</v>
      </c>
      <c r="L510" s="3">
        <v>76.707764901325802</v>
      </c>
      <c r="M510" s="3">
        <v>5.9271946677284797</v>
      </c>
      <c r="N510" s="3">
        <v>88.909518918987104</v>
      </c>
      <c r="O510" s="3">
        <v>6.9371215421901002</v>
      </c>
      <c r="P510" s="3">
        <v>56.4332105324686</v>
      </c>
      <c r="Q510" s="3">
        <v>71.8464500280148</v>
      </c>
      <c r="R510" s="3" t="str">
        <f>IF(Table1[[#This Row],[Nutrition_Quality_Score]]&lt;60, "Poor Nutrition",IF(AND(Table1[[#This Row],[Nutrition_Quality_Score]]&gt;=60,Table1[[#This Row],[Nutrition_Quality_Score]]&lt;=80),"Average Nutrition", "Good Nutrition"))</f>
        <v>Average Nutrition</v>
      </c>
      <c r="S510">
        <v>0</v>
      </c>
      <c r="T510" t="str">
        <f>IF(Table1[[#This Row],[Warmup_Routine_Adherence]]=1, "Adherent","Non-Adherent")</f>
        <v>Non-Adherent</v>
      </c>
      <c r="U510">
        <v>1</v>
      </c>
      <c r="V510" t="str">
        <f>IF(Table1[[#This Row],[Injury_Next_Season]]=1, "Injury","No Injury")</f>
        <v>Injury</v>
      </c>
      <c r="W510" s="3">
        <v>26.674874320303601</v>
      </c>
    </row>
    <row r="511" spans="1:23" x14ac:dyDescent="0.25">
      <c r="A511" s="6">
        <v>21</v>
      </c>
      <c r="B511" s="8" t="str">
        <f>CONCATENATE(Table1[[#This Row],[Age]]," ", "years")</f>
        <v>21 years</v>
      </c>
      <c r="C511">
        <v>175</v>
      </c>
      <c r="D511">
        <v>81</v>
      </c>
      <c r="E511" t="s">
        <v>20</v>
      </c>
      <c r="F511" s="3">
        <v>10.214932984646</v>
      </c>
      <c r="G511" s="3">
        <v>34</v>
      </c>
      <c r="H511">
        <v>3</v>
      </c>
      <c r="I511" s="3">
        <v>72.329224084423899</v>
      </c>
      <c r="J511" s="3">
        <v>90.816076304912002</v>
      </c>
      <c r="K511" s="3">
        <v>232.607959358784</v>
      </c>
      <c r="L511" s="3">
        <v>87.465145668635799</v>
      </c>
      <c r="M511" s="3">
        <v>5.9227998775988802</v>
      </c>
      <c r="N511" s="3">
        <v>79.093352872917293</v>
      </c>
      <c r="O511" s="3">
        <v>8.2002419701934297</v>
      </c>
      <c r="P511" s="3">
        <v>47.315659190353202</v>
      </c>
      <c r="Q511" s="3">
        <v>64.012385409040505</v>
      </c>
      <c r="R511" s="3" t="str">
        <f>IF(Table1[[#This Row],[Nutrition_Quality_Score]]&lt;60, "Poor Nutrition",IF(AND(Table1[[#This Row],[Nutrition_Quality_Score]]&gt;=60,Table1[[#This Row],[Nutrition_Quality_Score]]&lt;=80),"Average Nutrition", "Good Nutrition"))</f>
        <v>Average Nutrition</v>
      </c>
      <c r="S511">
        <v>1</v>
      </c>
      <c r="T511" t="str">
        <f>IF(Table1[[#This Row],[Warmup_Routine_Adherence]]=1, "Adherent","Non-Adherent")</f>
        <v>Adherent</v>
      </c>
      <c r="U511">
        <v>0</v>
      </c>
      <c r="V511" t="str">
        <f>IF(Table1[[#This Row],[Injury_Next_Season]]=1, "Injury","No Injury")</f>
        <v>No Injury</v>
      </c>
      <c r="W511" s="3">
        <v>26.4489795918367</v>
      </c>
    </row>
    <row r="512" spans="1:23" x14ac:dyDescent="0.25">
      <c r="A512" s="6">
        <v>19</v>
      </c>
      <c r="B512" s="8" t="str">
        <f>CONCATENATE(Table1[[#This Row],[Age]]," ", "years")</f>
        <v>19 years</v>
      </c>
      <c r="C512">
        <v>164</v>
      </c>
      <c r="D512">
        <v>73</v>
      </c>
      <c r="E512" t="s">
        <v>21</v>
      </c>
      <c r="F512" s="3">
        <v>11.2485404319031</v>
      </c>
      <c r="G512" s="3">
        <v>14</v>
      </c>
      <c r="H512">
        <v>3</v>
      </c>
      <c r="I512" s="3">
        <v>63.742404170244797</v>
      </c>
      <c r="J512" s="3">
        <v>72.042663065484405</v>
      </c>
      <c r="K512" s="3">
        <v>244.731964902024</v>
      </c>
      <c r="L512" s="3">
        <v>76.272575756404393</v>
      </c>
      <c r="M512" s="3">
        <v>5.4715812123064103</v>
      </c>
      <c r="N512" s="3">
        <v>76.671427820209203</v>
      </c>
      <c r="O512" s="3">
        <v>6.3973186663566697</v>
      </c>
      <c r="P512" s="3">
        <v>72.151034800847697</v>
      </c>
      <c r="Q512" s="3">
        <v>71.280834640632193</v>
      </c>
      <c r="R512" s="3" t="str">
        <f>IF(Table1[[#This Row],[Nutrition_Quality_Score]]&lt;60, "Poor Nutrition",IF(AND(Table1[[#This Row],[Nutrition_Quality_Score]]&gt;=60,Table1[[#This Row],[Nutrition_Quality_Score]]&lt;=80),"Average Nutrition", "Good Nutrition"))</f>
        <v>Average Nutrition</v>
      </c>
      <c r="S512">
        <v>0</v>
      </c>
      <c r="T512" t="str">
        <f>IF(Table1[[#This Row],[Warmup_Routine_Adherence]]=1, "Adherent","Non-Adherent")</f>
        <v>Non-Adherent</v>
      </c>
      <c r="U512">
        <v>1</v>
      </c>
      <c r="V512" t="str">
        <f>IF(Table1[[#This Row],[Injury_Next_Season]]=1, "Injury","No Injury")</f>
        <v>Injury</v>
      </c>
      <c r="W512" s="3">
        <v>27.141582391433602</v>
      </c>
    </row>
    <row r="513" spans="1:23" x14ac:dyDescent="0.25">
      <c r="A513" s="6">
        <v>19</v>
      </c>
      <c r="B513" s="8" t="str">
        <f>CONCATENATE(Table1[[#This Row],[Age]]," ", "years")</f>
        <v>19 years</v>
      </c>
      <c r="C513">
        <v>180</v>
      </c>
      <c r="D513">
        <v>81</v>
      </c>
      <c r="E513" t="s">
        <v>19</v>
      </c>
      <c r="F513" s="3">
        <v>16.349169948268901</v>
      </c>
      <c r="G513" s="3">
        <v>18</v>
      </c>
      <c r="H513">
        <v>0</v>
      </c>
      <c r="I513" s="3">
        <v>74.532483127743603</v>
      </c>
      <c r="J513" s="3">
        <v>62.6141829954204</v>
      </c>
      <c r="K513" s="3">
        <v>249.653227615801</v>
      </c>
      <c r="L513" s="3">
        <v>82.875943387332299</v>
      </c>
      <c r="M513" s="3">
        <v>6.2486352288084497</v>
      </c>
      <c r="N513" s="3">
        <v>79.932540967758797</v>
      </c>
      <c r="O513" s="3">
        <v>6.4028717532145301</v>
      </c>
      <c r="P513" s="3">
        <v>36.0100212679964</v>
      </c>
      <c r="Q513" s="3">
        <v>63.5618131885902</v>
      </c>
      <c r="R513" s="3" t="str">
        <f>IF(Table1[[#This Row],[Nutrition_Quality_Score]]&lt;60, "Poor Nutrition",IF(AND(Table1[[#This Row],[Nutrition_Quality_Score]]&gt;=60,Table1[[#This Row],[Nutrition_Quality_Score]]&lt;=80),"Average Nutrition", "Good Nutrition"))</f>
        <v>Average Nutrition</v>
      </c>
      <c r="S513">
        <v>0</v>
      </c>
      <c r="T513" t="str">
        <f>IF(Table1[[#This Row],[Warmup_Routine_Adherence]]=1, "Adherent","Non-Adherent")</f>
        <v>Non-Adherent</v>
      </c>
      <c r="U513">
        <v>1</v>
      </c>
      <c r="V513" t="str">
        <f>IF(Table1[[#This Row],[Injury_Next_Season]]=1, "Injury","No Injury")</f>
        <v>Injury</v>
      </c>
      <c r="W513" s="3">
        <v>25</v>
      </c>
    </row>
    <row r="514" spans="1:23" x14ac:dyDescent="0.25">
      <c r="A514" s="6">
        <v>19</v>
      </c>
      <c r="B514" s="8" t="str">
        <f>CONCATENATE(Table1[[#This Row],[Age]]," ", "years")</f>
        <v>19 years</v>
      </c>
      <c r="C514">
        <v>167</v>
      </c>
      <c r="D514">
        <v>78</v>
      </c>
      <c r="E514" t="s">
        <v>21</v>
      </c>
      <c r="F514" s="3">
        <v>8.3129633012949</v>
      </c>
      <c r="G514" s="3">
        <v>9</v>
      </c>
      <c r="H514">
        <v>1</v>
      </c>
      <c r="I514" s="3">
        <v>81.127345618092505</v>
      </c>
      <c r="J514" s="3">
        <v>81.472319776131201</v>
      </c>
      <c r="K514" s="3">
        <v>254.14921775376899</v>
      </c>
      <c r="L514" s="3">
        <v>84.171466877722906</v>
      </c>
      <c r="M514" s="3">
        <v>6.2967507582291002</v>
      </c>
      <c r="N514" s="3">
        <v>83.511247356581094</v>
      </c>
      <c r="O514" s="3">
        <v>8.9124269745226101</v>
      </c>
      <c r="P514" s="3">
        <v>52.143045784544</v>
      </c>
      <c r="Q514" s="3">
        <v>76.385253199737093</v>
      </c>
      <c r="R514" s="3" t="str">
        <f>IF(Table1[[#This Row],[Nutrition_Quality_Score]]&lt;60, "Poor Nutrition",IF(AND(Table1[[#This Row],[Nutrition_Quality_Score]]&gt;=60,Table1[[#This Row],[Nutrition_Quality_Score]]&lt;=80),"Average Nutrition", "Good Nutrition"))</f>
        <v>Average Nutrition</v>
      </c>
      <c r="S514">
        <v>0</v>
      </c>
      <c r="T514" t="str">
        <f>IF(Table1[[#This Row],[Warmup_Routine_Adherence]]=1, "Adherent","Non-Adherent")</f>
        <v>Non-Adherent</v>
      </c>
      <c r="U514">
        <v>0</v>
      </c>
      <c r="V514" t="str">
        <f>IF(Table1[[#This Row],[Injury_Next_Season]]=1, "Injury","No Injury")</f>
        <v>No Injury</v>
      </c>
      <c r="W514" s="3">
        <v>27.968016063680999</v>
      </c>
    </row>
    <row r="515" spans="1:23" x14ac:dyDescent="0.25">
      <c r="A515" s="6">
        <v>21</v>
      </c>
      <c r="B515" s="8" t="str">
        <f>CONCATENATE(Table1[[#This Row],[Age]]," ", "years")</f>
        <v>21 years</v>
      </c>
      <c r="C515">
        <v>179</v>
      </c>
      <c r="D515">
        <v>76</v>
      </c>
      <c r="E515" t="s">
        <v>19</v>
      </c>
      <c r="F515" s="3">
        <v>9.5808427419610993</v>
      </c>
      <c r="G515" s="3">
        <v>8</v>
      </c>
      <c r="H515">
        <v>3</v>
      </c>
      <c r="I515" s="3">
        <v>70.531940888991301</v>
      </c>
      <c r="J515" s="3">
        <v>71.286526495565099</v>
      </c>
      <c r="K515" s="3">
        <v>303.07011485469297</v>
      </c>
      <c r="L515" s="3">
        <v>88.836296180330507</v>
      </c>
      <c r="M515" s="3">
        <v>5.5866037801374304</v>
      </c>
      <c r="N515" s="3">
        <v>69.183702086548294</v>
      </c>
      <c r="O515" s="3">
        <v>6.3769779587295998</v>
      </c>
      <c r="P515" s="3">
        <v>67.575454888321204</v>
      </c>
      <c r="Q515" s="3">
        <v>73.951053157987104</v>
      </c>
      <c r="R515" s="3" t="str">
        <f>IF(Table1[[#This Row],[Nutrition_Quality_Score]]&lt;60, "Poor Nutrition",IF(AND(Table1[[#This Row],[Nutrition_Quality_Score]]&gt;=60,Table1[[#This Row],[Nutrition_Quality_Score]]&lt;=80),"Average Nutrition", "Good Nutrition"))</f>
        <v>Average Nutrition</v>
      </c>
      <c r="S515">
        <v>0</v>
      </c>
      <c r="T515" t="str">
        <f>IF(Table1[[#This Row],[Warmup_Routine_Adherence]]=1, "Adherent","Non-Adherent")</f>
        <v>Non-Adherent</v>
      </c>
      <c r="U515">
        <v>1</v>
      </c>
      <c r="V515" t="str">
        <f>IF(Table1[[#This Row],[Injury_Next_Season]]=1, "Injury","No Injury")</f>
        <v>Injury</v>
      </c>
      <c r="W515" s="3">
        <v>23.719609250647601</v>
      </c>
    </row>
    <row r="516" spans="1:23" x14ac:dyDescent="0.25">
      <c r="A516" s="6">
        <v>21</v>
      </c>
      <c r="B516" s="8" t="str">
        <f>CONCATENATE(Table1[[#This Row],[Age]]," ", "years")</f>
        <v>21 years</v>
      </c>
      <c r="C516">
        <v>180</v>
      </c>
      <c r="D516">
        <v>78</v>
      </c>
      <c r="E516" t="s">
        <v>20</v>
      </c>
      <c r="F516" s="3">
        <v>8.9913865869181109</v>
      </c>
      <c r="G516" s="3">
        <v>7</v>
      </c>
      <c r="H516">
        <v>0</v>
      </c>
      <c r="I516" s="3">
        <v>84.900228335664096</v>
      </c>
      <c r="J516" s="3">
        <v>84.686499118728705</v>
      </c>
      <c r="K516" s="3">
        <v>235.13036724722301</v>
      </c>
      <c r="L516" s="3">
        <v>93.728034843970704</v>
      </c>
      <c r="M516" s="3">
        <v>5.8994836693285997</v>
      </c>
      <c r="N516" s="3">
        <v>78.696793733794394</v>
      </c>
      <c r="O516" s="3">
        <v>8.9869278516423297</v>
      </c>
      <c r="P516" s="3">
        <v>51.720122151005903</v>
      </c>
      <c r="Q516" s="3">
        <v>78.431603379063304</v>
      </c>
      <c r="R516" s="3" t="str">
        <f>IF(Table1[[#This Row],[Nutrition_Quality_Score]]&lt;60, "Poor Nutrition",IF(AND(Table1[[#This Row],[Nutrition_Quality_Score]]&gt;=60,Table1[[#This Row],[Nutrition_Quality_Score]]&lt;=80),"Average Nutrition", "Good Nutrition"))</f>
        <v>Average Nutrition</v>
      </c>
      <c r="S516">
        <v>1</v>
      </c>
      <c r="T516" t="str">
        <f>IF(Table1[[#This Row],[Warmup_Routine_Adherence]]=1, "Adherent","Non-Adherent")</f>
        <v>Adherent</v>
      </c>
      <c r="U516">
        <v>0</v>
      </c>
      <c r="V516" t="str">
        <f>IF(Table1[[#This Row],[Injury_Next_Season]]=1, "Injury","No Injury")</f>
        <v>No Injury</v>
      </c>
      <c r="W516" s="3">
        <v>24.074074074074002</v>
      </c>
    </row>
    <row r="517" spans="1:23" x14ac:dyDescent="0.25">
      <c r="A517" s="6">
        <v>24</v>
      </c>
      <c r="B517" s="8" t="str">
        <f>CONCATENATE(Table1[[#This Row],[Age]]," ", "years")</f>
        <v>24 years</v>
      </c>
      <c r="C517">
        <v>184</v>
      </c>
      <c r="D517">
        <v>64</v>
      </c>
      <c r="E517" t="s">
        <v>22</v>
      </c>
      <c r="F517" s="3">
        <v>10.0273954690627</v>
      </c>
      <c r="G517" s="3">
        <v>13</v>
      </c>
      <c r="H517">
        <v>0</v>
      </c>
      <c r="I517" s="3">
        <v>68.225237340962593</v>
      </c>
      <c r="J517" s="3">
        <v>89.977706732056902</v>
      </c>
      <c r="K517" s="3">
        <v>206.830562471972</v>
      </c>
      <c r="L517" s="3">
        <v>79.429267123948506</v>
      </c>
      <c r="M517" s="3">
        <v>6.6201717848788597</v>
      </c>
      <c r="N517" s="3">
        <v>89.410860075182399</v>
      </c>
      <c r="O517" s="3">
        <v>7.8584814765747604</v>
      </c>
      <c r="P517" s="3">
        <v>43.539430130550102</v>
      </c>
      <c r="Q517" s="3">
        <v>67.263962312512405</v>
      </c>
      <c r="R517" s="3" t="str">
        <f>IF(Table1[[#This Row],[Nutrition_Quality_Score]]&lt;60, "Poor Nutrition",IF(AND(Table1[[#This Row],[Nutrition_Quality_Score]]&gt;=60,Table1[[#This Row],[Nutrition_Quality_Score]]&lt;=80),"Average Nutrition", "Good Nutrition"))</f>
        <v>Average Nutrition</v>
      </c>
      <c r="S517">
        <v>0</v>
      </c>
      <c r="T517" t="str">
        <f>IF(Table1[[#This Row],[Warmup_Routine_Adherence]]=1, "Adherent","Non-Adherent")</f>
        <v>Non-Adherent</v>
      </c>
      <c r="U517">
        <v>0</v>
      </c>
      <c r="V517" t="str">
        <f>IF(Table1[[#This Row],[Injury_Next_Season]]=1, "Injury","No Injury")</f>
        <v>No Injury</v>
      </c>
      <c r="W517" s="3">
        <v>18.903591682419599</v>
      </c>
    </row>
    <row r="518" spans="1:23" x14ac:dyDescent="0.25">
      <c r="A518" s="6">
        <v>24</v>
      </c>
      <c r="B518" s="8" t="str">
        <f>CONCATENATE(Table1[[#This Row],[Age]]," ", "years")</f>
        <v>24 years</v>
      </c>
      <c r="C518">
        <v>175</v>
      </c>
      <c r="D518">
        <v>68</v>
      </c>
      <c r="E518" t="s">
        <v>22</v>
      </c>
      <c r="F518" s="3">
        <v>8.4340881098447493</v>
      </c>
      <c r="G518" s="3">
        <v>39</v>
      </c>
      <c r="H518">
        <v>0</v>
      </c>
      <c r="I518" s="3">
        <v>83.010722856330403</v>
      </c>
      <c r="J518" s="3">
        <v>86.121081664807704</v>
      </c>
      <c r="K518" s="3">
        <v>229.900477390242</v>
      </c>
      <c r="L518" s="3">
        <v>84.525926371673805</v>
      </c>
      <c r="M518" s="3">
        <v>6.2197831378245096</v>
      </c>
      <c r="N518" s="3">
        <v>85.546755263075795</v>
      </c>
      <c r="O518" s="3">
        <v>8.4042482096402296</v>
      </c>
      <c r="P518" s="3">
        <v>30.729671125138601</v>
      </c>
      <c r="Q518" s="3">
        <v>70.400016975195598</v>
      </c>
      <c r="R518" s="3" t="str">
        <f>IF(Table1[[#This Row],[Nutrition_Quality_Score]]&lt;60, "Poor Nutrition",IF(AND(Table1[[#This Row],[Nutrition_Quality_Score]]&gt;=60,Table1[[#This Row],[Nutrition_Quality_Score]]&lt;=80),"Average Nutrition", "Good Nutrition"))</f>
        <v>Average Nutrition</v>
      </c>
      <c r="S518">
        <v>1</v>
      </c>
      <c r="T518" t="str">
        <f>IF(Table1[[#This Row],[Warmup_Routine_Adherence]]=1, "Adherent","Non-Adherent")</f>
        <v>Adherent</v>
      </c>
      <c r="U518">
        <v>0</v>
      </c>
      <c r="V518" t="str">
        <f>IF(Table1[[#This Row],[Injury_Next_Season]]=1, "Injury","No Injury")</f>
        <v>No Injury</v>
      </c>
      <c r="W518" s="3">
        <v>22.204081632653001</v>
      </c>
    </row>
    <row r="519" spans="1:23" x14ac:dyDescent="0.25">
      <c r="A519" s="6">
        <v>24</v>
      </c>
      <c r="B519" s="8" t="str">
        <f>CONCATENATE(Table1[[#This Row],[Age]]," ", "years")</f>
        <v>24 years</v>
      </c>
      <c r="C519">
        <v>179</v>
      </c>
      <c r="D519">
        <v>59</v>
      </c>
      <c r="E519" t="s">
        <v>19</v>
      </c>
      <c r="F519" s="3">
        <v>8.7412223700652891</v>
      </c>
      <c r="G519" s="3">
        <v>18</v>
      </c>
      <c r="H519">
        <v>1</v>
      </c>
      <c r="I519" s="3">
        <v>60.748247046534402</v>
      </c>
      <c r="J519" s="3">
        <v>83.879884854465701</v>
      </c>
      <c r="K519" s="3">
        <v>286.57372044152203</v>
      </c>
      <c r="L519" s="3">
        <v>84.975470343903694</v>
      </c>
      <c r="M519" s="3">
        <v>5.7660516626355598</v>
      </c>
      <c r="N519" s="3">
        <v>73.033853353880005</v>
      </c>
      <c r="O519" s="3">
        <v>6.6676055122702502</v>
      </c>
      <c r="P519" s="3">
        <v>61.438969527506103</v>
      </c>
      <c r="Q519" s="3">
        <v>65.603495020797993</v>
      </c>
      <c r="R519" s="3" t="str">
        <f>IF(Table1[[#This Row],[Nutrition_Quality_Score]]&lt;60, "Poor Nutrition",IF(AND(Table1[[#This Row],[Nutrition_Quality_Score]]&gt;=60,Table1[[#This Row],[Nutrition_Quality_Score]]&lt;=80),"Average Nutrition", "Good Nutrition"))</f>
        <v>Average Nutrition</v>
      </c>
      <c r="S519">
        <v>0</v>
      </c>
      <c r="T519" t="str">
        <f>IF(Table1[[#This Row],[Warmup_Routine_Adherence]]=1, "Adherent","Non-Adherent")</f>
        <v>Non-Adherent</v>
      </c>
      <c r="U519">
        <v>1</v>
      </c>
      <c r="V519" t="str">
        <f>IF(Table1[[#This Row],[Injury_Next_Season]]=1, "Injury","No Injury")</f>
        <v>Injury</v>
      </c>
      <c r="W519" s="3">
        <v>18.413907181423799</v>
      </c>
    </row>
    <row r="520" spans="1:23" x14ac:dyDescent="0.25">
      <c r="A520" s="6">
        <v>23</v>
      </c>
      <c r="B520" s="8" t="str">
        <f>CONCATENATE(Table1[[#This Row],[Age]]," ", "years")</f>
        <v>23 years</v>
      </c>
      <c r="C520">
        <v>182</v>
      </c>
      <c r="D520">
        <v>76</v>
      </c>
      <c r="E520" t="s">
        <v>21</v>
      </c>
      <c r="F520" s="3">
        <v>11.3952296583038</v>
      </c>
      <c r="G520" s="3">
        <v>10</v>
      </c>
      <c r="H520">
        <v>1</v>
      </c>
      <c r="I520" s="3">
        <v>73.137070408589395</v>
      </c>
      <c r="J520" s="3">
        <v>79.855310519591896</v>
      </c>
      <c r="K520" s="3">
        <v>226.99633110614201</v>
      </c>
      <c r="L520" s="3">
        <v>88.400986260914095</v>
      </c>
      <c r="M520" s="3">
        <v>6.2088679206608299</v>
      </c>
      <c r="N520" s="3">
        <v>76.958617861486005</v>
      </c>
      <c r="O520" s="3">
        <v>8.5866209263031692</v>
      </c>
      <c r="P520" s="3">
        <v>51.413279828463097</v>
      </c>
      <c r="Q520" s="3">
        <v>83.955640828369994</v>
      </c>
      <c r="R520" s="3" t="str">
        <f>IF(Table1[[#This Row],[Nutrition_Quality_Score]]&lt;60, "Poor Nutrition",IF(AND(Table1[[#This Row],[Nutrition_Quality_Score]]&gt;=60,Table1[[#This Row],[Nutrition_Quality_Score]]&lt;=80),"Average Nutrition", "Good Nutrition"))</f>
        <v>Good Nutrition</v>
      </c>
      <c r="S520">
        <v>0</v>
      </c>
      <c r="T520" t="str">
        <f>IF(Table1[[#This Row],[Warmup_Routine_Adherence]]=1, "Adherent","Non-Adherent")</f>
        <v>Non-Adherent</v>
      </c>
      <c r="U520">
        <v>0</v>
      </c>
      <c r="V520" t="str">
        <f>IF(Table1[[#This Row],[Injury_Next_Season]]=1, "Injury","No Injury")</f>
        <v>No Injury</v>
      </c>
      <c r="W520" s="3">
        <v>22.944088878154801</v>
      </c>
    </row>
    <row r="521" spans="1:23" x14ac:dyDescent="0.25">
      <c r="A521" s="6">
        <v>24</v>
      </c>
      <c r="B521" s="8" t="str">
        <f>CONCATENATE(Table1[[#This Row],[Age]]," ", "years")</f>
        <v>24 years</v>
      </c>
      <c r="C521">
        <v>185</v>
      </c>
      <c r="D521">
        <v>61</v>
      </c>
      <c r="E521" t="s">
        <v>19</v>
      </c>
      <c r="F521" s="3">
        <v>6.4606710156845599</v>
      </c>
      <c r="G521" s="3">
        <v>29</v>
      </c>
      <c r="H521">
        <v>2</v>
      </c>
      <c r="I521" s="3">
        <v>69.890440941895804</v>
      </c>
      <c r="J521" s="3">
        <v>75.410627510373899</v>
      </c>
      <c r="K521" s="3">
        <v>264.62054083050799</v>
      </c>
      <c r="L521" s="3">
        <v>80.367539712836404</v>
      </c>
      <c r="M521" s="3">
        <v>5.90213252448138</v>
      </c>
      <c r="N521" s="3">
        <v>63.5175849772167</v>
      </c>
      <c r="O521" s="3">
        <v>6.4711774270265501</v>
      </c>
      <c r="P521" s="3">
        <v>60.4834182515118</v>
      </c>
      <c r="Q521" s="3">
        <v>74.378631686595597</v>
      </c>
      <c r="R521" s="3" t="str">
        <f>IF(Table1[[#This Row],[Nutrition_Quality_Score]]&lt;60, "Poor Nutrition",IF(AND(Table1[[#This Row],[Nutrition_Quality_Score]]&gt;=60,Table1[[#This Row],[Nutrition_Quality_Score]]&lt;=80),"Average Nutrition", "Good Nutrition"))</f>
        <v>Average Nutrition</v>
      </c>
      <c r="S521">
        <v>0</v>
      </c>
      <c r="T521" t="str">
        <f>IF(Table1[[#This Row],[Warmup_Routine_Adherence]]=1, "Adherent","Non-Adherent")</f>
        <v>Non-Adherent</v>
      </c>
      <c r="U521">
        <v>1</v>
      </c>
      <c r="V521" t="str">
        <f>IF(Table1[[#This Row],[Injury_Next_Season]]=1, "Injury","No Injury")</f>
        <v>Injury</v>
      </c>
      <c r="W521" s="3">
        <v>17.823228634039399</v>
      </c>
    </row>
    <row r="522" spans="1:23" x14ac:dyDescent="0.25">
      <c r="A522" s="6">
        <v>18</v>
      </c>
      <c r="B522" s="8" t="str">
        <f>CONCATENATE(Table1[[#This Row],[Age]]," ", "years")</f>
        <v>18 years</v>
      </c>
      <c r="C522">
        <v>183</v>
      </c>
      <c r="D522">
        <v>78</v>
      </c>
      <c r="E522" t="s">
        <v>20</v>
      </c>
      <c r="F522" s="3">
        <v>8.9122343038731699</v>
      </c>
      <c r="G522" s="3">
        <v>35</v>
      </c>
      <c r="H522">
        <v>3</v>
      </c>
      <c r="I522" s="3">
        <v>66.573783557531797</v>
      </c>
      <c r="J522" s="3">
        <v>82.515359530412098</v>
      </c>
      <c r="K522" s="3">
        <v>288.75402614713698</v>
      </c>
      <c r="L522" s="3">
        <v>81.635598294735203</v>
      </c>
      <c r="M522" s="3">
        <v>5.7291929803427397</v>
      </c>
      <c r="N522" s="3">
        <v>74.293997050720705</v>
      </c>
      <c r="O522" s="3">
        <v>6.7139164441017698</v>
      </c>
      <c r="P522" s="3">
        <v>51.870777815007003</v>
      </c>
      <c r="Q522" s="3">
        <v>73.770939609593597</v>
      </c>
      <c r="R522" s="3" t="str">
        <f>IF(Table1[[#This Row],[Nutrition_Quality_Score]]&lt;60, "Poor Nutrition",IF(AND(Table1[[#This Row],[Nutrition_Quality_Score]]&gt;=60,Table1[[#This Row],[Nutrition_Quality_Score]]&lt;=80),"Average Nutrition", "Good Nutrition"))</f>
        <v>Average Nutrition</v>
      </c>
      <c r="S522">
        <v>0</v>
      </c>
      <c r="T522" t="str">
        <f>IF(Table1[[#This Row],[Warmup_Routine_Adherence]]=1, "Adherent","Non-Adherent")</f>
        <v>Non-Adherent</v>
      </c>
      <c r="U522">
        <v>1</v>
      </c>
      <c r="V522" t="str">
        <f>IF(Table1[[#This Row],[Injury_Next_Season]]=1, "Injury","No Injury")</f>
        <v>Injury</v>
      </c>
      <c r="W522" s="3">
        <v>23.2912299561049</v>
      </c>
    </row>
    <row r="523" spans="1:23" x14ac:dyDescent="0.25">
      <c r="A523" s="6">
        <v>21</v>
      </c>
      <c r="B523" s="8" t="str">
        <f>CONCATENATE(Table1[[#This Row],[Age]]," ", "years")</f>
        <v>21 years</v>
      </c>
      <c r="C523">
        <v>192</v>
      </c>
      <c r="D523">
        <v>59</v>
      </c>
      <c r="E523" t="s">
        <v>22</v>
      </c>
      <c r="F523" s="3">
        <v>9.4388379099752306</v>
      </c>
      <c r="G523" s="3">
        <v>39</v>
      </c>
      <c r="H523">
        <v>2</v>
      </c>
      <c r="I523" s="3">
        <v>93.900051456457206</v>
      </c>
      <c r="J523" s="3">
        <v>82.774614835988501</v>
      </c>
      <c r="K523" s="3">
        <v>263.162273170753</v>
      </c>
      <c r="L523" s="3">
        <v>82.152445481322204</v>
      </c>
      <c r="M523" s="3">
        <v>6.13388559051557</v>
      </c>
      <c r="N523" s="3">
        <v>79.002039085638003</v>
      </c>
      <c r="O523" s="3">
        <v>7.1286349655356096</v>
      </c>
      <c r="P523" s="3">
        <v>43.689842437630197</v>
      </c>
      <c r="Q523" s="3">
        <v>81.743426737113197</v>
      </c>
      <c r="R523" s="3" t="str">
        <f>IF(Table1[[#This Row],[Nutrition_Quality_Score]]&lt;60, "Poor Nutrition",IF(AND(Table1[[#This Row],[Nutrition_Quality_Score]]&gt;=60,Table1[[#This Row],[Nutrition_Quality_Score]]&lt;=80),"Average Nutrition", "Good Nutrition"))</f>
        <v>Good Nutrition</v>
      </c>
      <c r="S523">
        <v>1</v>
      </c>
      <c r="T523" t="str">
        <f>IF(Table1[[#This Row],[Warmup_Routine_Adherence]]=1, "Adherent","Non-Adherent")</f>
        <v>Adherent</v>
      </c>
      <c r="U523">
        <v>0</v>
      </c>
      <c r="V523" t="str">
        <f>IF(Table1[[#This Row],[Injury_Next_Season]]=1, "Injury","No Injury")</f>
        <v>No Injury</v>
      </c>
      <c r="W523" s="3">
        <v>16.0047743055555</v>
      </c>
    </row>
    <row r="524" spans="1:23" x14ac:dyDescent="0.25">
      <c r="A524" s="6">
        <v>22</v>
      </c>
      <c r="B524" s="8" t="str">
        <f>CONCATENATE(Table1[[#This Row],[Age]]," ", "years")</f>
        <v>22 years</v>
      </c>
      <c r="C524">
        <v>174</v>
      </c>
      <c r="D524">
        <v>73</v>
      </c>
      <c r="E524" t="s">
        <v>21</v>
      </c>
      <c r="F524" s="3">
        <v>11.051320054676401</v>
      </c>
      <c r="G524" s="3">
        <v>23</v>
      </c>
      <c r="H524">
        <v>1</v>
      </c>
      <c r="I524" s="3">
        <v>88.049061963225398</v>
      </c>
      <c r="J524" s="3">
        <v>85.073776895895705</v>
      </c>
      <c r="K524" s="3">
        <v>223.275249188023</v>
      </c>
      <c r="L524" s="3">
        <v>96.2573103203855</v>
      </c>
      <c r="M524" s="3">
        <v>6.3956113620158801</v>
      </c>
      <c r="N524" s="3">
        <v>78.332231084952298</v>
      </c>
      <c r="O524" s="3">
        <v>7.10848801291288</v>
      </c>
      <c r="P524" s="3">
        <v>41.616774060141303</v>
      </c>
      <c r="Q524" s="3">
        <v>74.350331107001097</v>
      </c>
      <c r="R524" s="3" t="str">
        <f>IF(Table1[[#This Row],[Nutrition_Quality_Score]]&lt;60, "Poor Nutrition",IF(AND(Table1[[#This Row],[Nutrition_Quality_Score]]&gt;=60,Table1[[#This Row],[Nutrition_Quality_Score]]&lt;=80),"Average Nutrition", "Good Nutrition"))</f>
        <v>Average Nutrition</v>
      </c>
      <c r="S524">
        <v>0</v>
      </c>
      <c r="T524" t="str">
        <f>IF(Table1[[#This Row],[Warmup_Routine_Adherence]]=1, "Adherent","Non-Adherent")</f>
        <v>Non-Adherent</v>
      </c>
      <c r="U524">
        <v>0</v>
      </c>
      <c r="V524" t="str">
        <f>IF(Table1[[#This Row],[Injury_Next_Season]]=1, "Injury","No Injury")</f>
        <v>No Injury</v>
      </c>
      <c r="W524" s="3">
        <v>24.111507464658398</v>
      </c>
    </row>
    <row r="525" spans="1:23" x14ac:dyDescent="0.25">
      <c r="A525" s="6">
        <v>23</v>
      </c>
      <c r="B525" s="8" t="str">
        <f>CONCATENATE(Table1[[#This Row],[Age]]," ", "years")</f>
        <v>23 years</v>
      </c>
      <c r="C525">
        <v>162</v>
      </c>
      <c r="D525">
        <v>65</v>
      </c>
      <c r="E525" t="s">
        <v>20</v>
      </c>
      <c r="F525" s="3">
        <v>11.673336912137801</v>
      </c>
      <c r="G525" s="3">
        <v>33</v>
      </c>
      <c r="H525">
        <v>0</v>
      </c>
      <c r="I525" s="3">
        <v>62.6102290271442</v>
      </c>
      <c r="J525" s="3">
        <v>74.137037841250006</v>
      </c>
      <c r="K525" s="3">
        <v>266.34299919281</v>
      </c>
      <c r="L525" s="3">
        <v>94.441794023877605</v>
      </c>
      <c r="M525" s="3">
        <v>6.0770700489050604</v>
      </c>
      <c r="N525" s="3">
        <v>72.994088925194106</v>
      </c>
      <c r="O525" s="3">
        <v>8.3326785106623102</v>
      </c>
      <c r="P525" s="3">
        <v>68.258993288661202</v>
      </c>
      <c r="Q525" s="3">
        <v>72.925266614944704</v>
      </c>
      <c r="R525" s="3" t="str">
        <f>IF(Table1[[#This Row],[Nutrition_Quality_Score]]&lt;60, "Poor Nutrition",IF(AND(Table1[[#This Row],[Nutrition_Quality_Score]]&gt;=60,Table1[[#This Row],[Nutrition_Quality_Score]]&lt;=80),"Average Nutrition", "Good Nutrition"))</f>
        <v>Average Nutrition</v>
      </c>
      <c r="S525">
        <v>0</v>
      </c>
      <c r="T525" t="str">
        <f>IF(Table1[[#This Row],[Warmup_Routine_Adherence]]=1, "Adherent","Non-Adherent")</f>
        <v>Non-Adherent</v>
      </c>
      <c r="U525">
        <v>1</v>
      </c>
      <c r="V525" t="str">
        <f>IF(Table1[[#This Row],[Injury_Next_Season]]=1, "Injury","No Injury")</f>
        <v>Injury</v>
      </c>
      <c r="W525" s="3">
        <v>24.767565919829199</v>
      </c>
    </row>
    <row r="526" spans="1:23" x14ac:dyDescent="0.25">
      <c r="A526" s="6">
        <v>22</v>
      </c>
      <c r="B526" s="8" t="str">
        <f>CONCATENATE(Table1[[#This Row],[Age]]," ", "years")</f>
        <v>22 years</v>
      </c>
      <c r="C526">
        <v>193</v>
      </c>
      <c r="D526">
        <v>63</v>
      </c>
      <c r="E526" t="s">
        <v>20</v>
      </c>
      <c r="F526" s="3">
        <v>12.080876528287799</v>
      </c>
      <c r="G526" s="3">
        <v>5</v>
      </c>
      <c r="H526">
        <v>3</v>
      </c>
      <c r="I526" s="3">
        <v>71.1023471010554</v>
      </c>
      <c r="J526" s="3">
        <v>79.336536328469606</v>
      </c>
      <c r="K526" s="3">
        <v>249.85272320015901</v>
      </c>
      <c r="L526" s="3">
        <v>87.320340277942506</v>
      </c>
      <c r="M526" s="3">
        <v>5.98639795556445</v>
      </c>
      <c r="N526" s="3">
        <v>77.823982235985895</v>
      </c>
      <c r="O526" s="3">
        <v>7.4789766302946896</v>
      </c>
      <c r="P526" s="3">
        <v>60.744226402349199</v>
      </c>
      <c r="Q526" s="3">
        <v>66.208502693528601</v>
      </c>
      <c r="R526" s="3" t="str">
        <f>IF(Table1[[#This Row],[Nutrition_Quality_Score]]&lt;60, "Poor Nutrition",IF(AND(Table1[[#This Row],[Nutrition_Quality_Score]]&gt;=60,Table1[[#This Row],[Nutrition_Quality_Score]]&lt;=80),"Average Nutrition", "Good Nutrition"))</f>
        <v>Average Nutrition</v>
      </c>
      <c r="S526">
        <v>0</v>
      </c>
      <c r="T526" t="str">
        <f>IF(Table1[[#This Row],[Warmup_Routine_Adherence]]=1, "Adherent","Non-Adherent")</f>
        <v>Non-Adherent</v>
      </c>
      <c r="U526">
        <v>1</v>
      </c>
      <c r="V526" t="str">
        <f>IF(Table1[[#This Row],[Injury_Next_Season]]=1, "Injury","No Injury")</f>
        <v>Injury</v>
      </c>
      <c r="W526" s="3">
        <v>16.9132057236435</v>
      </c>
    </row>
    <row r="527" spans="1:23" x14ac:dyDescent="0.25">
      <c r="A527" s="6">
        <v>20</v>
      </c>
      <c r="B527" s="8" t="str">
        <f>CONCATENATE(Table1[[#This Row],[Age]]," ", "years")</f>
        <v>20 years</v>
      </c>
      <c r="C527">
        <v>180</v>
      </c>
      <c r="D527">
        <v>89</v>
      </c>
      <c r="E527" t="s">
        <v>19</v>
      </c>
      <c r="F527" s="3">
        <v>14.9003809581783</v>
      </c>
      <c r="G527" s="3">
        <v>17</v>
      </c>
      <c r="H527">
        <v>0</v>
      </c>
      <c r="I527" s="3">
        <v>72.629091174650995</v>
      </c>
      <c r="J527" s="3">
        <v>82.874236897279999</v>
      </c>
      <c r="K527" s="3">
        <v>271.557788374111</v>
      </c>
      <c r="L527" s="3">
        <v>87.967318106101899</v>
      </c>
      <c r="M527" s="3">
        <v>5.9417211986130898</v>
      </c>
      <c r="N527" s="3">
        <v>74.9580916288661</v>
      </c>
      <c r="O527" s="3">
        <v>6.2431105072904201</v>
      </c>
      <c r="P527" s="3">
        <v>61.153681240377203</v>
      </c>
      <c r="Q527" s="3">
        <v>79.992809796457806</v>
      </c>
      <c r="R527" s="3" t="str">
        <f>IF(Table1[[#This Row],[Nutrition_Quality_Score]]&lt;60, "Poor Nutrition",IF(AND(Table1[[#This Row],[Nutrition_Quality_Score]]&gt;=60,Table1[[#This Row],[Nutrition_Quality_Score]]&lt;=80),"Average Nutrition", "Good Nutrition"))</f>
        <v>Average Nutrition</v>
      </c>
      <c r="S527">
        <v>1</v>
      </c>
      <c r="T527" t="str">
        <f>IF(Table1[[#This Row],[Warmup_Routine_Adherence]]=1, "Adherent","Non-Adherent")</f>
        <v>Adherent</v>
      </c>
      <c r="U527">
        <v>1</v>
      </c>
      <c r="V527" t="str">
        <f>IF(Table1[[#This Row],[Injury_Next_Season]]=1, "Injury","No Injury")</f>
        <v>Injury</v>
      </c>
      <c r="W527" s="3">
        <v>27.469135802469101</v>
      </c>
    </row>
    <row r="528" spans="1:23" x14ac:dyDescent="0.25">
      <c r="A528" s="6">
        <v>19</v>
      </c>
      <c r="B528" s="8" t="str">
        <f>CONCATENATE(Table1[[#This Row],[Age]]," ", "years")</f>
        <v>19 years</v>
      </c>
      <c r="C528">
        <v>178</v>
      </c>
      <c r="D528">
        <v>85</v>
      </c>
      <c r="E528" t="s">
        <v>21</v>
      </c>
      <c r="F528" s="3">
        <v>10.473256727014901</v>
      </c>
      <c r="G528" s="3">
        <v>26</v>
      </c>
      <c r="H528">
        <v>1</v>
      </c>
      <c r="I528" s="3">
        <v>75.742270640431002</v>
      </c>
      <c r="J528" s="3">
        <v>82.767815742391505</v>
      </c>
      <c r="K528" s="3">
        <v>242.56237128071899</v>
      </c>
      <c r="L528" s="3">
        <v>91.549460215082703</v>
      </c>
      <c r="M528" s="3">
        <v>6.4525961459594203</v>
      </c>
      <c r="N528" s="3">
        <v>82.876741270523993</v>
      </c>
      <c r="O528" s="3">
        <v>7.59420957503227</v>
      </c>
      <c r="P528" s="3">
        <v>50.171254400039501</v>
      </c>
      <c r="Q528" s="3">
        <v>77.7555151777444</v>
      </c>
      <c r="R528" s="3" t="str">
        <f>IF(Table1[[#This Row],[Nutrition_Quality_Score]]&lt;60, "Poor Nutrition",IF(AND(Table1[[#This Row],[Nutrition_Quality_Score]]&gt;=60,Table1[[#This Row],[Nutrition_Quality_Score]]&lt;=80),"Average Nutrition", "Good Nutrition"))</f>
        <v>Average Nutrition</v>
      </c>
      <c r="S528">
        <v>1</v>
      </c>
      <c r="T528" t="str">
        <f>IF(Table1[[#This Row],[Warmup_Routine_Adherence]]=1, "Adherent","Non-Adherent")</f>
        <v>Adherent</v>
      </c>
      <c r="U528">
        <v>0</v>
      </c>
      <c r="V528" t="str">
        <f>IF(Table1[[#This Row],[Injury_Next_Season]]=1, "Injury","No Injury")</f>
        <v>No Injury</v>
      </c>
      <c r="W528" s="3">
        <v>26.827420780204498</v>
      </c>
    </row>
    <row r="529" spans="1:23" x14ac:dyDescent="0.25">
      <c r="A529" s="6">
        <v>23</v>
      </c>
      <c r="B529" s="8" t="str">
        <f>CONCATENATE(Table1[[#This Row],[Age]]," ", "years")</f>
        <v>23 years</v>
      </c>
      <c r="C529">
        <v>165</v>
      </c>
      <c r="D529">
        <v>71</v>
      </c>
      <c r="E529" t="s">
        <v>22</v>
      </c>
      <c r="F529" s="3">
        <v>11.0695243934784</v>
      </c>
      <c r="G529" s="3">
        <v>15</v>
      </c>
      <c r="H529">
        <v>0</v>
      </c>
      <c r="I529" s="3">
        <v>80.330880451209893</v>
      </c>
      <c r="J529" s="3">
        <v>87.183216872103699</v>
      </c>
      <c r="K529" s="3">
        <v>227.07188861017599</v>
      </c>
      <c r="L529" s="3">
        <v>91.615543531035897</v>
      </c>
      <c r="M529" s="3">
        <v>6.0026168688996098</v>
      </c>
      <c r="N529" s="3">
        <v>71.644623440203006</v>
      </c>
      <c r="O529" s="3">
        <v>7.8321236981749198</v>
      </c>
      <c r="P529" s="3">
        <v>62.185139572409199</v>
      </c>
      <c r="Q529" s="3">
        <v>58.1036801067334</v>
      </c>
      <c r="R529" s="3" t="str">
        <f>IF(Table1[[#This Row],[Nutrition_Quality_Score]]&lt;60, "Poor Nutrition",IF(AND(Table1[[#This Row],[Nutrition_Quality_Score]]&gt;=60,Table1[[#This Row],[Nutrition_Quality_Score]]&lt;=80),"Average Nutrition", "Good Nutrition"))</f>
        <v>Poor Nutrition</v>
      </c>
      <c r="S529">
        <v>0</v>
      </c>
      <c r="T529" t="str">
        <f>IF(Table1[[#This Row],[Warmup_Routine_Adherence]]=1, "Adherent","Non-Adherent")</f>
        <v>Non-Adherent</v>
      </c>
      <c r="U529">
        <v>1</v>
      </c>
      <c r="V529" t="str">
        <f>IF(Table1[[#This Row],[Injury_Next_Season]]=1, "Injury","No Injury")</f>
        <v>Injury</v>
      </c>
      <c r="W529" s="3">
        <v>26.078971533516899</v>
      </c>
    </row>
    <row r="530" spans="1:23" x14ac:dyDescent="0.25">
      <c r="A530" s="6">
        <v>24</v>
      </c>
      <c r="B530" s="8" t="str">
        <f>CONCATENATE(Table1[[#This Row],[Age]]," ", "years")</f>
        <v>24 years</v>
      </c>
      <c r="C530">
        <v>175</v>
      </c>
      <c r="D530">
        <v>94</v>
      </c>
      <c r="E530" t="s">
        <v>20</v>
      </c>
      <c r="F530" s="3">
        <v>8.5976332375414799</v>
      </c>
      <c r="G530" s="3">
        <v>5</v>
      </c>
      <c r="H530">
        <v>1</v>
      </c>
      <c r="I530" s="3">
        <v>77.472888471419296</v>
      </c>
      <c r="J530" s="3">
        <v>91.060722100095603</v>
      </c>
      <c r="K530" s="3">
        <v>256.735944361892</v>
      </c>
      <c r="L530" s="3">
        <v>82.708419037417798</v>
      </c>
      <c r="M530" s="3">
        <v>5.8887899397767196</v>
      </c>
      <c r="N530" s="3">
        <v>79.639633236876193</v>
      </c>
      <c r="O530" s="3">
        <v>8.1387764834279697</v>
      </c>
      <c r="P530" s="3">
        <v>42.9614792703291</v>
      </c>
      <c r="Q530" s="3">
        <v>65.741926247979805</v>
      </c>
      <c r="R530" s="3" t="str">
        <f>IF(Table1[[#This Row],[Nutrition_Quality_Score]]&lt;60, "Poor Nutrition",IF(AND(Table1[[#This Row],[Nutrition_Quality_Score]]&gt;=60,Table1[[#This Row],[Nutrition_Quality_Score]]&lt;=80),"Average Nutrition", "Good Nutrition"))</f>
        <v>Average Nutrition</v>
      </c>
      <c r="S530">
        <v>1</v>
      </c>
      <c r="T530" t="str">
        <f>IF(Table1[[#This Row],[Warmup_Routine_Adherence]]=1, "Adherent","Non-Adherent")</f>
        <v>Adherent</v>
      </c>
      <c r="U530">
        <v>0</v>
      </c>
      <c r="V530" t="str">
        <f>IF(Table1[[#This Row],[Injury_Next_Season]]=1, "Injury","No Injury")</f>
        <v>No Injury</v>
      </c>
      <c r="W530" s="3">
        <v>30.6938775510204</v>
      </c>
    </row>
    <row r="531" spans="1:23" x14ac:dyDescent="0.25">
      <c r="A531" s="6">
        <v>19</v>
      </c>
      <c r="B531" s="8" t="str">
        <f>CONCATENATE(Table1[[#This Row],[Age]]," ", "years")</f>
        <v>19 years</v>
      </c>
      <c r="C531">
        <v>167</v>
      </c>
      <c r="D531">
        <v>69</v>
      </c>
      <c r="E531" t="s">
        <v>21</v>
      </c>
      <c r="F531" s="3">
        <v>10.0337152763198</v>
      </c>
      <c r="G531" s="3">
        <v>32</v>
      </c>
      <c r="H531">
        <v>0</v>
      </c>
      <c r="I531" s="3">
        <v>73.866119179161799</v>
      </c>
      <c r="J531" s="3">
        <v>79.901720426594196</v>
      </c>
      <c r="K531" s="3">
        <v>228.61454618136699</v>
      </c>
      <c r="L531" s="3">
        <v>80.576104774505595</v>
      </c>
      <c r="M531" s="3">
        <v>6.3913489394980099</v>
      </c>
      <c r="N531" s="3">
        <v>93.346344272840994</v>
      </c>
      <c r="O531" s="3">
        <v>7.1476155187777302</v>
      </c>
      <c r="P531" s="3">
        <v>68.2116287808268</v>
      </c>
      <c r="Q531" s="3">
        <v>67.215751428736098</v>
      </c>
      <c r="R531" s="3" t="str">
        <f>IF(Table1[[#This Row],[Nutrition_Quality_Score]]&lt;60, "Poor Nutrition",IF(AND(Table1[[#This Row],[Nutrition_Quality_Score]]&gt;=60,Table1[[#This Row],[Nutrition_Quality_Score]]&lt;=80),"Average Nutrition", "Good Nutrition"))</f>
        <v>Average Nutrition</v>
      </c>
      <c r="S531">
        <v>1</v>
      </c>
      <c r="T531" t="str">
        <f>IF(Table1[[#This Row],[Warmup_Routine_Adherence]]=1, "Adherent","Non-Adherent")</f>
        <v>Adherent</v>
      </c>
      <c r="U531">
        <v>0</v>
      </c>
      <c r="V531" t="str">
        <f>IF(Table1[[#This Row],[Injury_Next_Season]]=1, "Injury","No Injury")</f>
        <v>No Injury</v>
      </c>
      <c r="W531" s="3">
        <v>24.740937287102401</v>
      </c>
    </row>
    <row r="532" spans="1:23" x14ac:dyDescent="0.25">
      <c r="A532" s="6">
        <v>23</v>
      </c>
      <c r="B532" s="8" t="str">
        <f>CONCATENATE(Table1[[#This Row],[Age]]," ", "years")</f>
        <v>23 years</v>
      </c>
      <c r="C532">
        <v>176</v>
      </c>
      <c r="D532">
        <v>60</v>
      </c>
      <c r="E532" t="s">
        <v>20</v>
      </c>
      <c r="F532" s="3">
        <v>9.3152324422708492</v>
      </c>
      <c r="G532" s="3">
        <v>39</v>
      </c>
      <c r="H532">
        <v>2</v>
      </c>
      <c r="I532" s="3">
        <v>74.890294253540702</v>
      </c>
      <c r="J532" s="3">
        <v>91.776356509736701</v>
      </c>
      <c r="K532" s="3">
        <v>250.290376882441</v>
      </c>
      <c r="L532" s="3">
        <v>85.843486162060302</v>
      </c>
      <c r="M532" s="3">
        <v>6.1175052881354102</v>
      </c>
      <c r="N532" s="3">
        <v>76.187338527274605</v>
      </c>
      <c r="O532" s="3">
        <v>7.7028887038572202</v>
      </c>
      <c r="P532" s="3">
        <v>61.3737554724744</v>
      </c>
      <c r="Q532" s="3">
        <v>63.664305158894798</v>
      </c>
      <c r="R532" s="3" t="str">
        <f>IF(Table1[[#This Row],[Nutrition_Quality_Score]]&lt;60, "Poor Nutrition",IF(AND(Table1[[#This Row],[Nutrition_Quality_Score]]&gt;=60,Table1[[#This Row],[Nutrition_Quality_Score]]&lt;=80),"Average Nutrition", "Good Nutrition"))</f>
        <v>Average Nutrition</v>
      </c>
      <c r="S532">
        <v>1</v>
      </c>
      <c r="T532" t="str">
        <f>IF(Table1[[#This Row],[Warmup_Routine_Adherence]]=1, "Adherent","Non-Adherent")</f>
        <v>Adherent</v>
      </c>
      <c r="U532">
        <v>0</v>
      </c>
      <c r="V532" t="str">
        <f>IF(Table1[[#This Row],[Injury_Next_Season]]=1, "Injury","No Injury")</f>
        <v>No Injury</v>
      </c>
      <c r="W532" s="3">
        <v>19.369834710743799</v>
      </c>
    </row>
    <row r="533" spans="1:23" x14ac:dyDescent="0.25">
      <c r="A533" s="6">
        <v>21</v>
      </c>
      <c r="B533" s="8" t="str">
        <f>CONCATENATE(Table1[[#This Row],[Age]]," ", "years")</f>
        <v>21 years</v>
      </c>
      <c r="C533">
        <v>179</v>
      </c>
      <c r="D533">
        <v>60</v>
      </c>
      <c r="E533" t="s">
        <v>20</v>
      </c>
      <c r="F533" s="3">
        <v>10.7352183026067</v>
      </c>
      <c r="G533" s="3">
        <v>37</v>
      </c>
      <c r="H533">
        <v>1</v>
      </c>
      <c r="I533" s="3">
        <v>82.574182385273403</v>
      </c>
      <c r="J533" s="3">
        <v>79.833038863035497</v>
      </c>
      <c r="K533" s="3">
        <v>221.330297766765</v>
      </c>
      <c r="L533" s="3">
        <v>100</v>
      </c>
      <c r="M533" s="3">
        <v>6.6494563424721598</v>
      </c>
      <c r="N533" s="3">
        <v>84.369143941987005</v>
      </c>
      <c r="O533" s="3">
        <v>7.7591840083745902</v>
      </c>
      <c r="P533" s="3">
        <v>38.723209676325098</v>
      </c>
      <c r="Q533" s="3">
        <v>86.820859350285303</v>
      </c>
      <c r="R533" s="3" t="str">
        <f>IF(Table1[[#This Row],[Nutrition_Quality_Score]]&lt;60, "Poor Nutrition",IF(AND(Table1[[#This Row],[Nutrition_Quality_Score]]&gt;=60,Table1[[#This Row],[Nutrition_Quality_Score]]&lt;=80),"Average Nutrition", "Good Nutrition"))</f>
        <v>Good Nutrition</v>
      </c>
      <c r="S533">
        <v>1</v>
      </c>
      <c r="T533" t="str">
        <f>IF(Table1[[#This Row],[Warmup_Routine_Adherence]]=1, "Adherent","Non-Adherent")</f>
        <v>Adherent</v>
      </c>
      <c r="U533">
        <v>0</v>
      </c>
      <c r="V533" t="str">
        <f>IF(Table1[[#This Row],[Injury_Next_Season]]=1, "Injury","No Injury")</f>
        <v>No Injury</v>
      </c>
      <c r="W533" s="3">
        <v>18.726007303142801</v>
      </c>
    </row>
    <row r="534" spans="1:23" x14ac:dyDescent="0.25">
      <c r="A534" s="6">
        <v>24</v>
      </c>
      <c r="B534" s="8" t="str">
        <f>CONCATENATE(Table1[[#This Row],[Age]]," ", "years")</f>
        <v>24 years</v>
      </c>
      <c r="C534">
        <v>181</v>
      </c>
      <c r="D534">
        <v>58</v>
      </c>
      <c r="E534" t="s">
        <v>21</v>
      </c>
      <c r="F534" s="3">
        <v>9.6443755264597701</v>
      </c>
      <c r="G534" s="3">
        <v>21</v>
      </c>
      <c r="H534">
        <v>2</v>
      </c>
      <c r="I534" s="3">
        <v>71.222926987233706</v>
      </c>
      <c r="J534" s="3">
        <v>74.336218252318801</v>
      </c>
      <c r="K534" s="3">
        <v>237.82778104215799</v>
      </c>
      <c r="L534" s="3">
        <v>79.192201008153802</v>
      </c>
      <c r="M534" s="3">
        <v>5.73503409974641</v>
      </c>
      <c r="N534" s="3">
        <v>76.870274198618802</v>
      </c>
      <c r="O534" s="3">
        <v>6.86231464067522</v>
      </c>
      <c r="P534" s="3">
        <v>36.743453583264099</v>
      </c>
      <c r="Q534" s="3">
        <v>58.331314403932602</v>
      </c>
      <c r="R534" s="3" t="str">
        <f>IF(Table1[[#This Row],[Nutrition_Quality_Score]]&lt;60, "Poor Nutrition",IF(AND(Table1[[#This Row],[Nutrition_Quality_Score]]&gt;=60,Table1[[#This Row],[Nutrition_Quality_Score]]&lt;=80),"Average Nutrition", "Good Nutrition"))</f>
        <v>Poor Nutrition</v>
      </c>
      <c r="S534">
        <v>0</v>
      </c>
      <c r="T534" t="str">
        <f>IF(Table1[[#This Row],[Warmup_Routine_Adherence]]=1, "Adherent","Non-Adherent")</f>
        <v>Non-Adherent</v>
      </c>
      <c r="U534">
        <v>1</v>
      </c>
      <c r="V534" t="str">
        <f>IF(Table1[[#This Row],[Injury_Next_Season]]=1, "Injury","No Injury")</f>
        <v>Injury</v>
      </c>
      <c r="W534" s="3">
        <v>17.703977290070501</v>
      </c>
    </row>
    <row r="535" spans="1:23" x14ac:dyDescent="0.25">
      <c r="A535" s="6">
        <v>20</v>
      </c>
      <c r="B535" s="8" t="str">
        <f>CONCATENATE(Table1[[#This Row],[Age]]," ", "years")</f>
        <v>20 years</v>
      </c>
      <c r="C535">
        <v>169</v>
      </c>
      <c r="D535">
        <v>73</v>
      </c>
      <c r="E535" t="s">
        <v>22</v>
      </c>
      <c r="F535" s="3">
        <v>8.1228487460541192</v>
      </c>
      <c r="G535" s="3">
        <v>10</v>
      </c>
      <c r="H535">
        <v>2</v>
      </c>
      <c r="I535" s="3">
        <v>79.070492162228803</v>
      </c>
      <c r="J535" s="3">
        <v>90.636618127986495</v>
      </c>
      <c r="K535" s="3">
        <v>255.95715729243901</v>
      </c>
      <c r="L535" s="3">
        <v>88.544163979153197</v>
      </c>
      <c r="M535" s="3">
        <v>6.3231855739170202</v>
      </c>
      <c r="N535" s="3">
        <v>82.042121589899907</v>
      </c>
      <c r="O535" s="3">
        <v>8.4183385648702806</v>
      </c>
      <c r="P535" s="3">
        <v>60.147325173243303</v>
      </c>
      <c r="Q535" s="3">
        <v>86.5868183630174</v>
      </c>
      <c r="R535" s="3" t="str">
        <f>IF(Table1[[#This Row],[Nutrition_Quality_Score]]&lt;60, "Poor Nutrition",IF(AND(Table1[[#This Row],[Nutrition_Quality_Score]]&gt;=60,Table1[[#This Row],[Nutrition_Quality_Score]]&lt;=80),"Average Nutrition", "Good Nutrition"))</f>
        <v>Good Nutrition</v>
      </c>
      <c r="S535">
        <v>1</v>
      </c>
      <c r="T535" t="str">
        <f>IF(Table1[[#This Row],[Warmup_Routine_Adherence]]=1, "Adherent","Non-Adherent")</f>
        <v>Adherent</v>
      </c>
      <c r="U535">
        <v>0</v>
      </c>
      <c r="V535" t="str">
        <f>IF(Table1[[#This Row],[Injury_Next_Season]]=1, "Injury","No Injury")</f>
        <v>No Injury</v>
      </c>
      <c r="W535" s="3">
        <v>25.559329155141601</v>
      </c>
    </row>
    <row r="536" spans="1:23" x14ac:dyDescent="0.25">
      <c r="A536" s="6">
        <v>18</v>
      </c>
      <c r="B536" s="8" t="str">
        <f>CONCATENATE(Table1[[#This Row],[Age]]," ", "years")</f>
        <v>18 years</v>
      </c>
      <c r="C536">
        <v>185</v>
      </c>
      <c r="D536">
        <v>69</v>
      </c>
      <c r="E536" t="s">
        <v>19</v>
      </c>
      <c r="F536" s="3">
        <v>5</v>
      </c>
      <c r="G536" s="3">
        <v>13</v>
      </c>
      <c r="H536">
        <v>0</v>
      </c>
      <c r="I536" s="3">
        <v>76.589800408058906</v>
      </c>
      <c r="J536" s="3">
        <v>78.120911578783193</v>
      </c>
      <c r="K536" s="3">
        <v>226.164746200217</v>
      </c>
      <c r="L536" s="3">
        <v>94.727607794417096</v>
      </c>
      <c r="M536" s="3">
        <v>5.7833716645667703</v>
      </c>
      <c r="N536" s="3">
        <v>90.856739592581107</v>
      </c>
      <c r="O536" s="3">
        <v>8.6535965495273306</v>
      </c>
      <c r="P536" s="3">
        <v>61.803370555887902</v>
      </c>
      <c r="Q536" s="3">
        <v>88.40401821236</v>
      </c>
      <c r="R536" s="3" t="str">
        <f>IF(Table1[[#This Row],[Nutrition_Quality_Score]]&lt;60, "Poor Nutrition",IF(AND(Table1[[#This Row],[Nutrition_Quality_Score]]&gt;=60,Table1[[#This Row],[Nutrition_Quality_Score]]&lt;=80),"Average Nutrition", "Good Nutrition"))</f>
        <v>Good Nutrition</v>
      </c>
      <c r="S536">
        <v>1</v>
      </c>
      <c r="T536" t="str">
        <f>IF(Table1[[#This Row],[Warmup_Routine_Adherence]]=1, "Adherent","Non-Adherent")</f>
        <v>Adherent</v>
      </c>
      <c r="U536">
        <v>0</v>
      </c>
      <c r="V536" t="str">
        <f>IF(Table1[[#This Row],[Injury_Next_Season]]=1, "Injury","No Injury")</f>
        <v>No Injury</v>
      </c>
      <c r="W536" s="3">
        <v>20.160701241782299</v>
      </c>
    </row>
    <row r="537" spans="1:23" x14ac:dyDescent="0.25">
      <c r="A537" s="6">
        <v>19</v>
      </c>
      <c r="B537" s="8" t="str">
        <f>CONCATENATE(Table1[[#This Row],[Age]]," ", "years")</f>
        <v>19 years</v>
      </c>
      <c r="C537">
        <v>183</v>
      </c>
      <c r="D537">
        <v>71</v>
      </c>
      <c r="E537" t="s">
        <v>22</v>
      </c>
      <c r="F537" s="3">
        <v>7.46793990819722</v>
      </c>
      <c r="G537" s="3">
        <v>25</v>
      </c>
      <c r="H537">
        <v>1</v>
      </c>
      <c r="I537" s="3">
        <v>69.252715991074197</v>
      </c>
      <c r="J537" s="3">
        <v>77.435005665895901</v>
      </c>
      <c r="K537" s="3">
        <v>239.42103114429199</v>
      </c>
      <c r="L537" s="3">
        <v>89.502539556717693</v>
      </c>
      <c r="M537" s="3">
        <v>6.0870701517666701</v>
      </c>
      <c r="N537" s="3">
        <v>58.837362129849097</v>
      </c>
      <c r="O537" s="3">
        <v>6.9907926263034099</v>
      </c>
      <c r="P537" s="3">
        <v>51.896699368453497</v>
      </c>
      <c r="Q537" s="3">
        <v>84.926070024441202</v>
      </c>
      <c r="R537" s="3" t="str">
        <f>IF(Table1[[#This Row],[Nutrition_Quality_Score]]&lt;60, "Poor Nutrition",IF(AND(Table1[[#This Row],[Nutrition_Quality_Score]]&gt;=60,Table1[[#This Row],[Nutrition_Quality_Score]]&lt;=80),"Average Nutrition", "Good Nutrition"))</f>
        <v>Good Nutrition</v>
      </c>
      <c r="S537">
        <v>1</v>
      </c>
      <c r="T537" t="str">
        <f>IF(Table1[[#This Row],[Warmup_Routine_Adherence]]=1, "Adherent","Non-Adherent")</f>
        <v>Adherent</v>
      </c>
      <c r="U537">
        <v>0</v>
      </c>
      <c r="V537" t="str">
        <f>IF(Table1[[#This Row],[Injury_Next_Season]]=1, "Injury","No Injury")</f>
        <v>No Injury</v>
      </c>
      <c r="W537" s="3">
        <v>21.200991370300599</v>
      </c>
    </row>
    <row r="538" spans="1:23" x14ac:dyDescent="0.25">
      <c r="A538" s="6">
        <v>23</v>
      </c>
      <c r="B538" s="8" t="str">
        <f>CONCATENATE(Table1[[#This Row],[Age]]," ", "years")</f>
        <v>23 years</v>
      </c>
      <c r="C538">
        <v>172</v>
      </c>
      <c r="D538">
        <v>64</v>
      </c>
      <c r="E538" t="s">
        <v>22</v>
      </c>
      <c r="F538" s="3">
        <v>9.2598972304350493</v>
      </c>
      <c r="G538" s="3">
        <v>19</v>
      </c>
      <c r="H538">
        <v>2</v>
      </c>
      <c r="I538" s="3">
        <v>82.669566077979297</v>
      </c>
      <c r="J538" s="3">
        <v>81.747151284538106</v>
      </c>
      <c r="K538" s="3">
        <v>251.90228995774299</v>
      </c>
      <c r="L538" s="3">
        <v>83.657009444892594</v>
      </c>
      <c r="M538" s="3">
        <v>6.4849370870967</v>
      </c>
      <c r="N538" s="3">
        <v>75.949057463594301</v>
      </c>
      <c r="O538" s="3">
        <v>8.6943122841754708</v>
      </c>
      <c r="P538" s="3">
        <v>36.244207981360901</v>
      </c>
      <c r="Q538" s="3">
        <v>86.218567689643194</v>
      </c>
      <c r="R538" s="3" t="str">
        <f>IF(Table1[[#This Row],[Nutrition_Quality_Score]]&lt;60, "Poor Nutrition",IF(AND(Table1[[#This Row],[Nutrition_Quality_Score]]&gt;=60,Table1[[#This Row],[Nutrition_Quality_Score]]&lt;=80),"Average Nutrition", "Good Nutrition"))</f>
        <v>Good Nutrition</v>
      </c>
      <c r="S538">
        <v>1</v>
      </c>
      <c r="T538" t="str">
        <f>IF(Table1[[#This Row],[Warmup_Routine_Adherence]]=1, "Adherent","Non-Adherent")</f>
        <v>Adherent</v>
      </c>
      <c r="U538">
        <v>0</v>
      </c>
      <c r="V538" t="str">
        <f>IF(Table1[[#This Row],[Injury_Next_Season]]=1, "Injury","No Injury")</f>
        <v>No Injury</v>
      </c>
      <c r="W538" s="3">
        <v>21.633315305570498</v>
      </c>
    </row>
    <row r="539" spans="1:23" x14ac:dyDescent="0.25">
      <c r="A539" s="6">
        <v>23</v>
      </c>
      <c r="B539" s="8" t="str">
        <f>CONCATENATE(Table1[[#This Row],[Age]]," ", "years")</f>
        <v>23 years</v>
      </c>
      <c r="C539">
        <v>175</v>
      </c>
      <c r="D539">
        <v>77</v>
      </c>
      <c r="E539" t="s">
        <v>21</v>
      </c>
      <c r="F539" s="3">
        <v>13.1095217005441</v>
      </c>
      <c r="G539" s="3">
        <v>33</v>
      </c>
      <c r="H539">
        <v>0</v>
      </c>
      <c r="I539" s="3">
        <v>79.020021589927197</v>
      </c>
      <c r="J539" s="3">
        <v>83.946756339142894</v>
      </c>
      <c r="K539" s="3">
        <v>225.79738569885299</v>
      </c>
      <c r="L539" s="3">
        <v>89.406654808322102</v>
      </c>
      <c r="M539" s="3">
        <v>6.5068652679650798</v>
      </c>
      <c r="N539" s="3">
        <v>75.055960079974696</v>
      </c>
      <c r="O539" s="3">
        <v>8.1409868595463806</v>
      </c>
      <c r="P539" s="3">
        <v>43.425923053655303</v>
      </c>
      <c r="Q539" s="3">
        <v>80.973384140403397</v>
      </c>
      <c r="R539" s="3" t="str">
        <f>IF(Table1[[#This Row],[Nutrition_Quality_Score]]&lt;60, "Poor Nutrition",IF(AND(Table1[[#This Row],[Nutrition_Quality_Score]]&gt;=60,Table1[[#This Row],[Nutrition_Quality_Score]]&lt;=80),"Average Nutrition", "Good Nutrition"))</f>
        <v>Good Nutrition</v>
      </c>
      <c r="S539">
        <v>1</v>
      </c>
      <c r="T539" t="str">
        <f>IF(Table1[[#This Row],[Warmup_Routine_Adherence]]=1, "Adherent","Non-Adherent")</f>
        <v>Adherent</v>
      </c>
      <c r="U539">
        <v>0</v>
      </c>
      <c r="V539" t="str">
        <f>IF(Table1[[#This Row],[Injury_Next_Season]]=1, "Injury","No Injury")</f>
        <v>No Injury</v>
      </c>
      <c r="W539" s="3">
        <v>25.1428571428571</v>
      </c>
    </row>
    <row r="540" spans="1:23" x14ac:dyDescent="0.25">
      <c r="A540" s="6">
        <v>22</v>
      </c>
      <c r="B540" s="8" t="str">
        <f>CONCATENATE(Table1[[#This Row],[Age]]," ", "years")</f>
        <v>22 years</v>
      </c>
      <c r="C540">
        <v>173</v>
      </c>
      <c r="D540">
        <v>65</v>
      </c>
      <c r="E540" t="s">
        <v>21</v>
      </c>
      <c r="F540" s="3">
        <v>8.4185817468687496</v>
      </c>
      <c r="G540" s="3">
        <v>39</v>
      </c>
      <c r="H540">
        <v>2</v>
      </c>
      <c r="I540" s="3">
        <v>80.932734505921999</v>
      </c>
      <c r="J540" s="3">
        <v>76.606838272023197</v>
      </c>
      <c r="K540" s="3">
        <v>234.61970353576601</v>
      </c>
      <c r="L540" s="3">
        <v>92.974643812757705</v>
      </c>
      <c r="M540" s="3">
        <v>6.2128877993969702</v>
      </c>
      <c r="N540" s="3">
        <v>72.321537324165604</v>
      </c>
      <c r="O540" s="3">
        <v>7.8231596512793402</v>
      </c>
      <c r="P540" s="3">
        <v>36.245446832063003</v>
      </c>
      <c r="Q540" s="3">
        <v>80.091233885857704</v>
      </c>
      <c r="R540" s="3" t="str">
        <f>IF(Table1[[#This Row],[Nutrition_Quality_Score]]&lt;60, "Poor Nutrition",IF(AND(Table1[[#This Row],[Nutrition_Quality_Score]]&gt;=60,Table1[[#This Row],[Nutrition_Quality_Score]]&lt;=80),"Average Nutrition", "Good Nutrition"))</f>
        <v>Good Nutrition</v>
      </c>
      <c r="S540">
        <v>0</v>
      </c>
      <c r="T540" t="str">
        <f>IF(Table1[[#This Row],[Warmup_Routine_Adherence]]=1, "Adherent","Non-Adherent")</f>
        <v>Non-Adherent</v>
      </c>
      <c r="U540">
        <v>0</v>
      </c>
      <c r="V540" t="str">
        <f>IF(Table1[[#This Row],[Injury_Next_Season]]=1, "Injury","No Injury")</f>
        <v>No Injury</v>
      </c>
      <c r="W540" s="3">
        <v>21.718066089745701</v>
      </c>
    </row>
    <row r="541" spans="1:23" x14ac:dyDescent="0.25">
      <c r="A541" s="6">
        <v>21</v>
      </c>
      <c r="B541" s="8" t="str">
        <f>CONCATENATE(Table1[[#This Row],[Age]]," ", "years")</f>
        <v>21 years</v>
      </c>
      <c r="C541">
        <v>170</v>
      </c>
      <c r="D541">
        <v>80</v>
      </c>
      <c r="E541" t="s">
        <v>22</v>
      </c>
      <c r="F541" s="3">
        <v>5.3172995475298803</v>
      </c>
      <c r="G541" s="3">
        <v>34</v>
      </c>
      <c r="H541">
        <v>2</v>
      </c>
      <c r="I541" s="3">
        <v>64.356202887560599</v>
      </c>
      <c r="J541" s="3">
        <v>92.779475748021198</v>
      </c>
      <c r="K541" s="3">
        <v>270.65024706067197</v>
      </c>
      <c r="L541" s="3">
        <v>78.430394911933007</v>
      </c>
      <c r="M541" s="3">
        <v>5.8336180707436496</v>
      </c>
      <c r="N541" s="3">
        <v>62.884726171992597</v>
      </c>
      <c r="O541" s="3">
        <v>7.04755130339821</v>
      </c>
      <c r="P541" s="3">
        <v>70.565346322678195</v>
      </c>
      <c r="Q541" s="3">
        <v>78.2663903078262</v>
      </c>
      <c r="R541" s="3" t="str">
        <f>IF(Table1[[#This Row],[Nutrition_Quality_Score]]&lt;60, "Poor Nutrition",IF(AND(Table1[[#This Row],[Nutrition_Quality_Score]]&gt;=60,Table1[[#This Row],[Nutrition_Quality_Score]]&lt;=80),"Average Nutrition", "Good Nutrition"))</f>
        <v>Average Nutrition</v>
      </c>
      <c r="S541">
        <v>1</v>
      </c>
      <c r="T541" t="str">
        <f>IF(Table1[[#This Row],[Warmup_Routine_Adherence]]=1, "Adherent","Non-Adherent")</f>
        <v>Adherent</v>
      </c>
      <c r="U541">
        <v>1</v>
      </c>
      <c r="V541" t="str">
        <f>IF(Table1[[#This Row],[Injury_Next_Season]]=1, "Injury","No Injury")</f>
        <v>Injury</v>
      </c>
      <c r="W541" s="3">
        <v>27.681660899653899</v>
      </c>
    </row>
    <row r="542" spans="1:23" x14ac:dyDescent="0.25">
      <c r="A542" s="6">
        <v>18</v>
      </c>
      <c r="B542" s="8" t="str">
        <f>CONCATENATE(Table1[[#This Row],[Age]]," ", "years")</f>
        <v>18 years</v>
      </c>
      <c r="C542">
        <v>177</v>
      </c>
      <c r="D542">
        <v>75</v>
      </c>
      <c r="E542" t="s">
        <v>19</v>
      </c>
      <c r="F542" s="3">
        <v>11.4937395508581</v>
      </c>
      <c r="G542" s="3">
        <v>9</v>
      </c>
      <c r="H542">
        <v>1</v>
      </c>
      <c r="I542" s="3">
        <v>77.174297230090701</v>
      </c>
      <c r="J542" s="3">
        <v>91.119243798627295</v>
      </c>
      <c r="K542" s="3">
        <v>243.54948950037101</v>
      </c>
      <c r="L542" s="3">
        <v>93.004058565237401</v>
      </c>
      <c r="M542" s="3">
        <v>6.2798779596703502</v>
      </c>
      <c r="N542" s="3">
        <v>85.514311682638905</v>
      </c>
      <c r="O542" s="3">
        <v>7.3072876110051697</v>
      </c>
      <c r="P542" s="3">
        <v>56.891989989248202</v>
      </c>
      <c r="Q542" s="3">
        <v>67.834202099172998</v>
      </c>
      <c r="R542" s="3" t="str">
        <f>IF(Table1[[#This Row],[Nutrition_Quality_Score]]&lt;60, "Poor Nutrition",IF(AND(Table1[[#This Row],[Nutrition_Quality_Score]]&gt;=60,Table1[[#This Row],[Nutrition_Quality_Score]]&lt;=80),"Average Nutrition", "Good Nutrition"))</f>
        <v>Average Nutrition</v>
      </c>
      <c r="S542">
        <v>0</v>
      </c>
      <c r="T542" t="str">
        <f>IF(Table1[[#This Row],[Warmup_Routine_Adherence]]=1, "Adherent","Non-Adherent")</f>
        <v>Non-Adherent</v>
      </c>
      <c r="U542">
        <v>0</v>
      </c>
      <c r="V542" t="str">
        <f>IF(Table1[[#This Row],[Injury_Next_Season]]=1, "Injury","No Injury")</f>
        <v>No Injury</v>
      </c>
      <c r="W542" s="3">
        <v>23.939480992052001</v>
      </c>
    </row>
    <row r="543" spans="1:23" x14ac:dyDescent="0.25">
      <c r="A543" s="6">
        <v>18</v>
      </c>
      <c r="B543" s="8" t="str">
        <f>CONCATENATE(Table1[[#This Row],[Age]]," ", "years")</f>
        <v>18 years</v>
      </c>
      <c r="C543">
        <v>181</v>
      </c>
      <c r="D543">
        <v>57</v>
      </c>
      <c r="E543" t="s">
        <v>21</v>
      </c>
      <c r="F543" s="3">
        <v>11.251820542457001</v>
      </c>
      <c r="G543" s="3">
        <v>27</v>
      </c>
      <c r="H543">
        <v>2</v>
      </c>
      <c r="I543" s="3">
        <v>78.2191213993503</v>
      </c>
      <c r="J543" s="3">
        <v>66.037583084238506</v>
      </c>
      <c r="K543" s="3">
        <v>241.730836652969</v>
      </c>
      <c r="L543" s="3">
        <v>74.322271309957799</v>
      </c>
      <c r="M543" s="3">
        <v>5.9285928499043301</v>
      </c>
      <c r="N543" s="3">
        <v>66.7949667176905</v>
      </c>
      <c r="O543" s="3">
        <v>6.4103008424590797</v>
      </c>
      <c r="P543" s="3">
        <v>56.637608940887802</v>
      </c>
      <c r="Q543" s="3">
        <v>65.427290598510396</v>
      </c>
      <c r="R543" s="3" t="str">
        <f>IF(Table1[[#This Row],[Nutrition_Quality_Score]]&lt;60, "Poor Nutrition",IF(AND(Table1[[#This Row],[Nutrition_Quality_Score]]&gt;=60,Table1[[#This Row],[Nutrition_Quality_Score]]&lt;=80),"Average Nutrition", "Good Nutrition"))</f>
        <v>Average Nutrition</v>
      </c>
      <c r="S543">
        <v>0</v>
      </c>
      <c r="T543" t="str">
        <f>IF(Table1[[#This Row],[Warmup_Routine_Adherence]]=1, "Adherent","Non-Adherent")</f>
        <v>Non-Adherent</v>
      </c>
      <c r="U543">
        <v>1</v>
      </c>
      <c r="V543" t="str">
        <f>IF(Table1[[#This Row],[Injury_Next_Season]]=1, "Injury","No Injury")</f>
        <v>Injury</v>
      </c>
      <c r="W543" s="3">
        <v>17.398736302310599</v>
      </c>
    </row>
    <row r="544" spans="1:23" x14ac:dyDescent="0.25">
      <c r="A544" s="6">
        <v>24</v>
      </c>
      <c r="B544" s="8" t="str">
        <f>CONCATENATE(Table1[[#This Row],[Age]]," ", "years")</f>
        <v>24 years</v>
      </c>
      <c r="C544">
        <v>187</v>
      </c>
      <c r="D544">
        <v>56</v>
      </c>
      <c r="E544" t="s">
        <v>19</v>
      </c>
      <c r="F544" s="3">
        <v>10.654733024315201</v>
      </c>
      <c r="G544" s="3">
        <v>14</v>
      </c>
      <c r="H544">
        <v>3</v>
      </c>
      <c r="I544" s="3">
        <v>80.839781417428398</v>
      </c>
      <c r="J544" s="3">
        <v>80.445214038469601</v>
      </c>
      <c r="K544" s="3">
        <v>232.01117728658201</v>
      </c>
      <c r="L544" s="3">
        <v>85.235545529581799</v>
      </c>
      <c r="M544" s="3">
        <v>6.2199856183074402</v>
      </c>
      <c r="N544" s="3">
        <v>81.2701865951272</v>
      </c>
      <c r="O544" s="3">
        <v>7.5984314806248499</v>
      </c>
      <c r="P544" s="3">
        <v>58.185034301847097</v>
      </c>
      <c r="Q544" s="3">
        <v>84.169399850951095</v>
      </c>
      <c r="R544" s="3" t="str">
        <f>IF(Table1[[#This Row],[Nutrition_Quality_Score]]&lt;60, "Poor Nutrition",IF(AND(Table1[[#This Row],[Nutrition_Quality_Score]]&gt;=60,Table1[[#This Row],[Nutrition_Quality_Score]]&lt;=80),"Average Nutrition", "Good Nutrition"))</f>
        <v>Good Nutrition</v>
      </c>
      <c r="S544">
        <v>1</v>
      </c>
      <c r="T544" t="str">
        <f>IF(Table1[[#This Row],[Warmup_Routine_Adherence]]=1, "Adherent","Non-Adherent")</f>
        <v>Adherent</v>
      </c>
      <c r="U544">
        <v>0</v>
      </c>
      <c r="V544" t="str">
        <f>IF(Table1[[#This Row],[Injury_Next_Season]]=1, "Injury","No Injury")</f>
        <v>No Injury</v>
      </c>
      <c r="W544" s="3">
        <v>16.014183991535301</v>
      </c>
    </row>
    <row r="545" spans="1:23" x14ac:dyDescent="0.25">
      <c r="A545" s="6">
        <v>21</v>
      </c>
      <c r="B545" s="8" t="str">
        <f>CONCATENATE(Table1[[#This Row],[Age]]," ", "years")</f>
        <v>21 years</v>
      </c>
      <c r="C545">
        <v>176</v>
      </c>
      <c r="D545">
        <v>80</v>
      </c>
      <c r="E545" t="s">
        <v>19</v>
      </c>
      <c r="F545" s="3">
        <v>12.0489735010716</v>
      </c>
      <c r="G545" s="3">
        <v>34</v>
      </c>
      <c r="H545">
        <v>2</v>
      </c>
      <c r="I545" s="3">
        <v>81.276156882989596</v>
      </c>
      <c r="J545" s="3">
        <v>71.051436356161901</v>
      </c>
      <c r="K545" s="3">
        <v>266.60156416761401</v>
      </c>
      <c r="L545" s="3">
        <v>93.616759736518503</v>
      </c>
      <c r="M545" s="3">
        <v>5.9180110098486303</v>
      </c>
      <c r="N545" s="3">
        <v>80.063432963221899</v>
      </c>
      <c r="O545" s="3">
        <v>8.0977825527120402</v>
      </c>
      <c r="P545" s="3">
        <v>25.051871336797401</v>
      </c>
      <c r="Q545" s="3">
        <v>86.790961899967598</v>
      </c>
      <c r="R545" s="3" t="str">
        <f>IF(Table1[[#This Row],[Nutrition_Quality_Score]]&lt;60, "Poor Nutrition",IF(AND(Table1[[#This Row],[Nutrition_Quality_Score]]&gt;=60,Table1[[#This Row],[Nutrition_Quality_Score]]&lt;=80),"Average Nutrition", "Good Nutrition"))</f>
        <v>Good Nutrition</v>
      </c>
      <c r="S545">
        <v>0</v>
      </c>
      <c r="T545" t="str">
        <f>IF(Table1[[#This Row],[Warmup_Routine_Adherence]]=1, "Adherent","Non-Adherent")</f>
        <v>Non-Adherent</v>
      </c>
      <c r="U545">
        <v>0</v>
      </c>
      <c r="V545" t="str">
        <f>IF(Table1[[#This Row],[Injury_Next_Season]]=1, "Injury","No Injury")</f>
        <v>No Injury</v>
      </c>
      <c r="W545" s="3">
        <v>25.8264462809917</v>
      </c>
    </row>
    <row r="546" spans="1:23" x14ac:dyDescent="0.25">
      <c r="A546" s="6">
        <v>23</v>
      </c>
      <c r="B546" s="8" t="str">
        <f>CONCATENATE(Table1[[#This Row],[Age]]," ", "years")</f>
        <v>23 years</v>
      </c>
      <c r="C546">
        <v>178</v>
      </c>
      <c r="D546">
        <v>59</v>
      </c>
      <c r="E546" t="s">
        <v>19</v>
      </c>
      <c r="F546" s="3">
        <v>12.831810332110299</v>
      </c>
      <c r="G546" s="3">
        <v>15</v>
      </c>
      <c r="H546">
        <v>0</v>
      </c>
      <c r="I546" s="3">
        <v>80.278031924883905</v>
      </c>
      <c r="J546" s="3">
        <v>86.927316010094998</v>
      </c>
      <c r="K546" s="3">
        <v>266.04773532574598</v>
      </c>
      <c r="L546" s="3">
        <v>75.836442320432894</v>
      </c>
      <c r="M546" s="3">
        <v>5.7095968036415403</v>
      </c>
      <c r="N546" s="3">
        <v>80.1055314710012</v>
      </c>
      <c r="O546" s="3">
        <v>7.5186653826566596</v>
      </c>
      <c r="P546" s="3">
        <v>25.939038506968</v>
      </c>
      <c r="Q546" s="3">
        <v>85.775708624345597</v>
      </c>
      <c r="R546" s="3" t="str">
        <f>IF(Table1[[#This Row],[Nutrition_Quality_Score]]&lt;60, "Poor Nutrition",IF(AND(Table1[[#This Row],[Nutrition_Quality_Score]]&gt;=60,Table1[[#This Row],[Nutrition_Quality_Score]]&lt;=80),"Average Nutrition", "Good Nutrition"))</f>
        <v>Good Nutrition</v>
      </c>
      <c r="S546">
        <v>1</v>
      </c>
      <c r="T546" t="str">
        <f>IF(Table1[[#This Row],[Warmup_Routine_Adherence]]=1, "Adherent","Non-Adherent")</f>
        <v>Adherent</v>
      </c>
      <c r="U546">
        <v>0</v>
      </c>
      <c r="V546" t="str">
        <f>IF(Table1[[#This Row],[Injury_Next_Season]]=1, "Injury","No Injury")</f>
        <v>No Injury</v>
      </c>
      <c r="W546" s="3">
        <v>18.621386188612501</v>
      </c>
    </row>
    <row r="547" spans="1:23" x14ac:dyDescent="0.25">
      <c r="A547" s="6">
        <v>20</v>
      </c>
      <c r="B547" s="8" t="str">
        <f>CONCATENATE(Table1[[#This Row],[Age]]," ", "years")</f>
        <v>20 years</v>
      </c>
      <c r="C547">
        <v>172</v>
      </c>
      <c r="D547">
        <v>73</v>
      </c>
      <c r="E547" t="s">
        <v>22</v>
      </c>
      <c r="F547" s="3">
        <v>8.52043344470869</v>
      </c>
      <c r="G547" s="3">
        <v>38</v>
      </c>
      <c r="H547">
        <v>5</v>
      </c>
      <c r="I547" s="3">
        <v>60.903645336116703</v>
      </c>
      <c r="J547" s="3">
        <v>72.749398799228601</v>
      </c>
      <c r="K547" s="3">
        <v>247.06710157520899</v>
      </c>
      <c r="L547" s="3">
        <v>84.252698279949399</v>
      </c>
      <c r="M547" s="3">
        <v>5.8047226131185097</v>
      </c>
      <c r="N547" s="3">
        <v>69.152541531237503</v>
      </c>
      <c r="O547" s="3">
        <v>8.1080321056183298</v>
      </c>
      <c r="P547" s="3">
        <v>54.475188095198398</v>
      </c>
      <c r="Q547" s="3">
        <v>59.688886725963698</v>
      </c>
      <c r="R547" s="3" t="str">
        <f>IF(Table1[[#This Row],[Nutrition_Quality_Score]]&lt;60, "Poor Nutrition",IF(AND(Table1[[#This Row],[Nutrition_Quality_Score]]&gt;=60,Table1[[#This Row],[Nutrition_Quality_Score]]&lt;=80),"Average Nutrition", "Good Nutrition"))</f>
        <v>Poor Nutrition</v>
      </c>
      <c r="S547">
        <v>0</v>
      </c>
      <c r="T547" t="str">
        <f>IF(Table1[[#This Row],[Warmup_Routine_Adherence]]=1, "Adherent","Non-Adherent")</f>
        <v>Non-Adherent</v>
      </c>
      <c r="U547">
        <v>1</v>
      </c>
      <c r="V547" t="str">
        <f>IF(Table1[[#This Row],[Injury_Next_Season]]=1, "Injury","No Injury")</f>
        <v>Injury</v>
      </c>
      <c r="W547" s="3">
        <v>24.6755002704164</v>
      </c>
    </row>
    <row r="548" spans="1:23" x14ac:dyDescent="0.25">
      <c r="A548" s="6">
        <v>24</v>
      </c>
      <c r="B548" s="8" t="str">
        <f>CONCATENATE(Table1[[#This Row],[Age]]," ", "years")</f>
        <v>24 years</v>
      </c>
      <c r="C548">
        <v>182</v>
      </c>
      <c r="D548">
        <v>63</v>
      </c>
      <c r="E548" t="s">
        <v>19</v>
      </c>
      <c r="F548" s="3">
        <v>10.8038624232298</v>
      </c>
      <c r="G548" s="3">
        <v>17</v>
      </c>
      <c r="H548">
        <v>2</v>
      </c>
      <c r="I548" s="3">
        <v>69.391109685519694</v>
      </c>
      <c r="J548" s="3">
        <v>74.071706878959603</v>
      </c>
      <c r="K548" s="3">
        <v>248.12766746202001</v>
      </c>
      <c r="L548" s="3">
        <v>90.414344972497304</v>
      </c>
      <c r="M548" s="3">
        <v>5.7960833535062397</v>
      </c>
      <c r="N548" s="3">
        <v>75.261545819582494</v>
      </c>
      <c r="O548" s="3">
        <v>5.6234680211430899</v>
      </c>
      <c r="P548" s="3">
        <v>60.564776648893798</v>
      </c>
      <c r="Q548" s="3">
        <v>67.5413937660188</v>
      </c>
      <c r="R548" s="3" t="str">
        <f>IF(Table1[[#This Row],[Nutrition_Quality_Score]]&lt;60, "Poor Nutrition",IF(AND(Table1[[#This Row],[Nutrition_Quality_Score]]&gt;=60,Table1[[#This Row],[Nutrition_Quality_Score]]&lt;=80),"Average Nutrition", "Good Nutrition"))</f>
        <v>Average Nutrition</v>
      </c>
      <c r="S548">
        <v>0</v>
      </c>
      <c r="T548" t="str">
        <f>IF(Table1[[#This Row],[Warmup_Routine_Adherence]]=1, "Adherent","Non-Adherent")</f>
        <v>Non-Adherent</v>
      </c>
      <c r="U548">
        <v>1</v>
      </c>
      <c r="V548" t="str">
        <f>IF(Table1[[#This Row],[Injury_Next_Season]]=1, "Injury","No Injury")</f>
        <v>Injury</v>
      </c>
      <c r="W548" s="3">
        <v>19.019442096365101</v>
      </c>
    </row>
    <row r="549" spans="1:23" x14ac:dyDescent="0.25">
      <c r="A549" s="6">
        <v>23</v>
      </c>
      <c r="B549" s="8" t="str">
        <f>CONCATENATE(Table1[[#This Row],[Age]]," ", "years")</f>
        <v>23 years</v>
      </c>
      <c r="C549">
        <v>181</v>
      </c>
      <c r="D549">
        <v>69</v>
      </c>
      <c r="E549" t="s">
        <v>19</v>
      </c>
      <c r="F549" s="3">
        <v>11.2914407840808</v>
      </c>
      <c r="G549" s="3">
        <v>7</v>
      </c>
      <c r="H549">
        <v>2</v>
      </c>
      <c r="I549" s="3">
        <v>76.003507238186899</v>
      </c>
      <c r="J549" s="3">
        <v>83.390312829841307</v>
      </c>
      <c r="K549" s="3">
        <v>249.65986515072501</v>
      </c>
      <c r="L549" s="3">
        <v>98.775664998805794</v>
      </c>
      <c r="M549" s="3">
        <v>5.9289577233794502</v>
      </c>
      <c r="N549" s="3">
        <v>91.104962404687896</v>
      </c>
      <c r="O549" s="3">
        <v>7.1453298197647399</v>
      </c>
      <c r="P549" s="3">
        <v>40.662835097808099</v>
      </c>
      <c r="Q549" s="3">
        <v>67.788856035242205</v>
      </c>
      <c r="R549" s="3" t="str">
        <f>IF(Table1[[#This Row],[Nutrition_Quality_Score]]&lt;60, "Poor Nutrition",IF(AND(Table1[[#This Row],[Nutrition_Quality_Score]]&gt;=60,Table1[[#This Row],[Nutrition_Quality_Score]]&lt;=80),"Average Nutrition", "Good Nutrition"))</f>
        <v>Average Nutrition</v>
      </c>
      <c r="S549">
        <v>1</v>
      </c>
      <c r="T549" t="str">
        <f>IF(Table1[[#This Row],[Warmup_Routine_Adherence]]=1, "Adherent","Non-Adherent")</f>
        <v>Adherent</v>
      </c>
      <c r="U549">
        <v>0</v>
      </c>
      <c r="V549" t="str">
        <f>IF(Table1[[#This Row],[Injury_Next_Season]]=1, "Injury","No Injury")</f>
        <v>No Injury</v>
      </c>
      <c r="W549" s="3">
        <v>21.0616281554287</v>
      </c>
    </row>
    <row r="550" spans="1:23" x14ac:dyDescent="0.25">
      <c r="A550" s="6">
        <v>20</v>
      </c>
      <c r="B550" s="8" t="str">
        <f>CONCATENATE(Table1[[#This Row],[Age]]," ", "years")</f>
        <v>20 years</v>
      </c>
      <c r="C550">
        <v>170</v>
      </c>
      <c r="D550">
        <v>77</v>
      </c>
      <c r="E550" t="s">
        <v>20</v>
      </c>
      <c r="F550" s="3">
        <v>10.2451655948688</v>
      </c>
      <c r="G550" s="3">
        <v>5</v>
      </c>
      <c r="H550">
        <v>3</v>
      </c>
      <c r="I550" s="3">
        <v>62.5410266463645</v>
      </c>
      <c r="J550" s="3">
        <v>77.276313035817495</v>
      </c>
      <c r="K550" s="3">
        <v>231.53144951526801</v>
      </c>
      <c r="L550" s="3">
        <v>70.293278315735407</v>
      </c>
      <c r="M550" s="3">
        <v>5.7502902294332996</v>
      </c>
      <c r="N550" s="3">
        <v>87.329993514957295</v>
      </c>
      <c r="O550" s="3">
        <v>6.4986475522673803</v>
      </c>
      <c r="P550" s="3">
        <v>71.329059131373796</v>
      </c>
      <c r="Q550" s="3">
        <v>85.845465248088203</v>
      </c>
      <c r="R550" s="3" t="str">
        <f>IF(Table1[[#This Row],[Nutrition_Quality_Score]]&lt;60, "Poor Nutrition",IF(AND(Table1[[#This Row],[Nutrition_Quality_Score]]&gt;=60,Table1[[#This Row],[Nutrition_Quality_Score]]&lt;=80),"Average Nutrition", "Good Nutrition"))</f>
        <v>Good Nutrition</v>
      </c>
      <c r="S550">
        <v>1</v>
      </c>
      <c r="T550" t="str">
        <f>IF(Table1[[#This Row],[Warmup_Routine_Adherence]]=1, "Adherent","Non-Adherent")</f>
        <v>Adherent</v>
      </c>
      <c r="U550">
        <v>1</v>
      </c>
      <c r="V550" t="str">
        <f>IF(Table1[[#This Row],[Injury_Next_Season]]=1, "Injury","No Injury")</f>
        <v>Injury</v>
      </c>
      <c r="W550" s="3">
        <v>26.6435986159169</v>
      </c>
    </row>
    <row r="551" spans="1:23" x14ac:dyDescent="0.25">
      <c r="A551" s="6">
        <v>24</v>
      </c>
      <c r="B551" s="8" t="str">
        <f>CONCATENATE(Table1[[#This Row],[Age]]," ", "years")</f>
        <v>24 years</v>
      </c>
      <c r="C551">
        <v>186</v>
      </c>
      <c r="D551">
        <v>60</v>
      </c>
      <c r="E551" t="s">
        <v>19</v>
      </c>
      <c r="F551" s="3">
        <v>11.614975104332499</v>
      </c>
      <c r="G551" s="3">
        <v>5</v>
      </c>
      <c r="H551">
        <v>0</v>
      </c>
      <c r="I551" s="3">
        <v>75.3032809768699</v>
      </c>
      <c r="J551" s="3">
        <v>76.6264413922774</v>
      </c>
      <c r="K551" s="3">
        <v>259.11807084541402</v>
      </c>
      <c r="L551" s="3">
        <v>95.367942733320206</v>
      </c>
      <c r="M551" s="3">
        <v>6.1786417128380702</v>
      </c>
      <c r="N551" s="3">
        <v>73.0947611793774</v>
      </c>
      <c r="O551" s="3">
        <v>9.0765996315704296</v>
      </c>
      <c r="P551" s="3">
        <v>53.143166806835801</v>
      </c>
      <c r="Q551" s="3">
        <v>91.682516627304693</v>
      </c>
      <c r="R551" s="3" t="str">
        <f>IF(Table1[[#This Row],[Nutrition_Quality_Score]]&lt;60, "Poor Nutrition",IF(AND(Table1[[#This Row],[Nutrition_Quality_Score]]&gt;=60,Table1[[#This Row],[Nutrition_Quality_Score]]&lt;=80),"Average Nutrition", "Good Nutrition"))</f>
        <v>Good Nutrition</v>
      </c>
      <c r="S551">
        <v>0</v>
      </c>
      <c r="T551" t="str">
        <f>IF(Table1[[#This Row],[Warmup_Routine_Adherence]]=1, "Adherent","Non-Adherent")</f>
        <v>Non-Adherent</v>
      </c>
      <c r="U551">
        <v>0</v>
      </c>
      <c r="V551" t="str">
        <f>IF(Table1[[#This Row],[Injury_Next_Season]]=1, "Injury","No Injury")</f>
        <v>No Injury</v>
      </c>
      <c r="W551" s="3">
        <v>17.343045438779001</v>
      </c>
    </row>
    <row r="552" spans="1:23" x14ac:dyDescent="0.25">
      <c r="A552" s="6">
        <v>19</v>
      </c>
      <c r="B552" s="8" t="str">
        <f>CONCATENATE(Table1[[#This Row],[Age]]," ", "years")</f>
        <v>19 years</v>
      </c>
      <c r="C552">
        <v>184</v>
      </c>
      <c r="D552">
        <v>69</v>
      </c>
      <c r="E552" t="s">
        <v>19</v>
      </c>
      <c r="F552" s="3">
        <v>10.025505318883599</v>
      </c>
      <c r="G552" s="3">
        <v>32</v>
      </c>
      <c r="H552">
        <v>0</v>
      </c>
      <c r="I552" s="3">
        <v>69.776884762481799</v>
      </c>
      <c r="J552" s="3">
        <v>78.788136910620395</v>
      </c>
      <c r="K552" s="3">
        <v>229.55936512304399</v>
      </c>
      <c r="L552" s="3">
        <v>89.827875329948995</v>
      </c>
      <c r="M552" s="3">
        <v>6.2354851597137797</v>
      </c>
      <c r="N552" s="3">
        <v>75.920093144821394</v>
      </c>
      <c r="O552" s="3">
        <v>6.8294363570723498</v>
      </c>
      <c r="P552" s="3">
        <v>38.583467335308001</v>
      </c>
      <c r="Q552" s="3">
        <v>86.742060215213201</v>
      </c>
      <c r="R552" s="3" t="str">
        <f>IF(Table1[[#This Row],[Nutrition_Quality_Score]]&lt;60, "Poor Nutrition",IF(AND(Table1[[#This Row],[Nutrition_Quality_Score]]&gt;=60,Table1[[#This Row],[Nutrition_Quality_Score]]&lt;=80),"Average Nutrition", "Good Nutrition"))</f>
        <v>Good Nutrition</v>
      </c>
      <c r="S552">
        <v>1</v>
      </c>
      <c r="T552" t="str">
        <f>IF(Table1[[#This Row],[Warmup_Routine_Adherence]]=1, "Adherent","Non-Adherent")</f>
        <v>Adherent</v>
      </c>
      <c r="U552">
        <v>0</v>
      </c>
      <c r="V552" t="str">
        <f>IF(Table1[[#This Row],[Injury_Next_Season]]=1, "Injury","No Injury")</f>
        <v>No Injury</v>
      </c>
      <c r="W552" s="3">
        <v>20.380434782608599</v>
      </c>
    </row>
    <row r="553" spans="1:23" x14ac:dyDescent="0.25">
      <c r="A553" s="6">
        <v>22</v>
      </c>
      <c r="B553" s="8" t="str">
        <f>CONCATENATE(Table1[[#This Row],[Age]]," ", "years")</f>
        <v>22 years</v>
      </c>
      <c r="C553">
        <v>181</v>
      </c>
      <c r="D553">
        <v>72</v>
      </c>
      <c r="E553" t="s">
        <v>22</v>
      </c>
      <c r="F553" s="3">
        <v>11.6094855745107</v>
      </c>
      <c r="G553" s="3">
        <v>8</v>
      </c>
      <c r="H553">
        <v>3</v>
      </c>
      <c r="I553" s="3">
        <v>65.566917155992698</v>
      </c>
      <c r="J553" s="3">
        <v>69.581628475571407</v>
      </c>
      <c r="K553" s="3">
        <v>277.671228789027</v>
      </c>
      <c r="L553" s="3">
        <v>79.659230408786598</v>
      </c>
      <c r="M553" s="3">
        <v>5.4021591256640802</v>
      </c>
      <c r="N553" s="3">
        <v>70.560108769114095</v>
      </c>
      <c r="O553" s="3">
        <v>6.4293551116494001</v>
      </c>
      <c r="P553" s="3">
        <v>64.819730935617102</v>
      </c>
      <c r="Q553" s="3">
        <v>73.0516307857973</v>
      </c>
      <c r="R553" s="3" t="str">
        <f>IF(Table1[[#This Row],[Nutrition_Quality_Score]]&lt;60, "Poor Nutrition",IF(AND(Table1[[#This Row],[Nutrition_Quality_Score]]&gt;=60,Table1[[#This Row],[Nutrition_Quality_Score]]&lt;=80),"Average Nutrition", "Good Nutrition"))</f>
        <v>Average Nutrition</v>
      </c>
      <c r="S553">
        <v>0</v>
      </c>
      <c r="T553" t="str">
        <f>IF(Table1[[#This Row],[Warmup_Routine_Adherence]]=1, "Adherent","Non-Adherent")</f>
        <v>Non-Adherent</v>
      </c>
      <c r="U553">
        <v>1</v>
      </c>
      <c r="V553" t="str">
        <f>IF(Table1[[#This Row],[Injury_Next_Season]]=1, "Injury","No Injury")</f>
        <v>Injury</v>
      </c>
      <c r="W553" s="3">
        <v>21.977351118708199</v>
      </c>
    </row>
    <row r="554" spans="1:23" x14ac:dyDescent="0.25">
      <c r="A554" s="6">
        <v>19</v>
      </c>
      <c r="B554" s="8" t="str">
        <f>CONCATENATE(Table1[[#This Row],[Age]]," ", "years")</f>
        <v>19 years</v>
      </c>
      <c r="C554">
        <v>187</v>
      </c>
      <c r="D554">
        <v>61</v>
      </c>
      <c r="E554" t="s">
        <v>19</v>
      </c>
      <c r="F554" s="3">
        <v>5.2959102452379803</v>
      </c>
      <c r="G554" s="3">
        <v>24</v>
      </c>
      <c r="H554">
        <v>1</v>
      </c>
      <c r="I554" s="3">
        <v>71.779331722095094</v>
      </c>
      <c r="J554" s="3">
        <v>85.987744600779706</v>
      </c>
      <c r="K554" s="3">
        <v>273.68263861045398</v>
      </c>
      <c r="L554" s="3">
        <v>64.777770038882593</v>
      </c>
      <c r="M554" s="3">
        <v>5.7544324884132596</v>
      </c>
      <c r="N554" s="3">
        <v>79.163625189522705</v>
      </c>
      <c r="O554" s="3">
        <v>7.4858190105844304</v>
      </c>
      <c r="P554" s="3">
        <v>65.784601743234902</v>
      </c>
      <c r="Q554" s="3">
        <v>68.979008519817199</v>
      </c>
      <c r="R554" s="3" t="str">
        <f>IF(Table1[[#This Row],[Nutrition_Quality_Score]]&lt;60, "Poor Nutrition",IF(AND(Table1[[#This Row],[Nutrition_Quality_Score]]&gt;=60,Table1[[#This Row],[Nutrition_Quality_Score]]&lt;=80),"Average Nutrition", "Good Nutrition"))</f>
        <v>Average Nutrition</v>
      </c>
      <c r="S554">
        <v>1</v>
      </c>
      <c r="T554" t="str">
        <f>IF(Table1[[#This Row],[Warmup_Routine_Adherence]]=1, "Adherent","Non-Adherent")</f>
        <v>Adherent</v>
      </c>
      <c r="U554">
        <v>1</v>
      </c>
      <c r="V554" t="str">
        <f>IF(Table1[[#This Row],[Injury_Next_Season]]=1, "Injury","No Injury")</f>
        <v>Injury</v>
      </c>
      <c r="W554" s="3">
        <v>17.4440218479224</v>
      </c>
    </row>
    <row r="555" spans="1:23" x14ac:dyDescent="0.25">
      <c r="A555" s="6">
        <v>23</v>
      </c>
      <c r="B555" s="8" t="str">
        <f>CONCATENATE(Table1[[#This Row],[Age]]," ", "years")</f>
        <v>23 years</v>
      </c>
      <c r="C555">
        <v>186</v>
      </c>
      <c r="D555">
        <v>91</v>
      </c>
      <c r="E555" t="s">
        <v>21</v>
      </c>
      <c r="F555" s="3">
        <v>9.5913364877592606</v>
      </c>
      <c r="G555" s="3">
        <v>25</v>
      </c>
      <c r="H555">
        <v>1</v>
      </c>
      <c r="I555" s="3">
        <v>66.063289214657104</v>
      </c>
      <c r="J555" s="3">
        <v>81.260257761357494</v>
      </c>
      <c r="K555" s="3">
        <v>235.83321520939299</v>
      </c>
      <c r="L555" s="3">
        <v>78.269001622512306</v>
      </c>
      <c r="M555" s="3">
        <v>5.8788811186480396</v>
      </c>
      <c r="N555" s="3">
        <v>80.636274521326598</v>
      </c>
      <c r="O555" s="3">
        <v>6.8293495777963296</v>
      </c>
      <c r="P555" s="3">
        <v>61.314515878369903</v>
      </c>
      <c r="Q555" s="3">
        <v>71.883868082203307</v>
      </c>
      <c r="R555" s="3" t="str">
        <f>IF(Table1[[#This Row],[Nutrition_Quality_Score]]&lt;60, "Poor Nutrition",IF(AND(Table1[[#This Row],[Nutrition_Quality_Score]]&gt;=60,Table1[[#This Row],[Nutrition_Quality_Score]]&lt;=80),"Average Nutrition", "Good Nutrition"))</f>
        <v>Average Nutrition</v>
      </c>
      <c r="S555">
        <v>0</v>
      </c>
      <c r="T555" t="str">
        <f>IF(Table1[[#This Row],[Warmup_Routine_Adherence]]=1, "Adherent","Non-Adherent")</f>
        <v>Non-Adherent</v>
      </c>
      <c r="U555">
        <v>1</v>
      </c>
      <c r="V555" t="str">
        <f>IF(Table1[[#This Row],[Injury_Next_Season]]=1, "Injury","No Injury")</f>
        <v>Injury</v>
      </c>
      <c r="W555" s="3">
        <v>26.303618915481501</v>
      </c>
    </row>
    <row r="556" spans="1:23" x14ac:dyDescent="0.25">
      <c r="A556" s="6">
        <v>20</v>
      </c>
      <c r="B556" s="8" t="str">
        <f>CONCATENATE(Table1[[#This Row],[Age]]," ", "years")</f>
        <v>20 years</v>
      </c>
      <c r="C556">
        <v>182</v>
      </c>
      <c r="D556">
        <v>73</v>
      </c>
      <c r="E556" t="s">
        <v>20</v>
      </c>
      <c r="F556" s="3">
        <v>12.9917091858491</v>
      </c>
      <c r="G556" s="3">
        <v>8</v>
      </c>
      <c r="H556">
        <v>2</v>
      </c>
      <c r="I556" s="3">
        <v>66.928881954391102</v>
      </c>
      <c r="J556" s="3">
        <v>92.470443261284601</v>
      </c>
      <c r="K556" s="3">
        <v>248.99187453568899</v>
      </c>
      <c r="L556" s="3">
        <v>88.722964299125806</v>
      </c>
      <c r="M556" s="3">
        <v>5.6610136728325804</v>
      </c>
      <c r="N556" s="3">
        <v>88.320684516946997</v>
      </c>
      <c r="O556" s="3">
        <v>7.2427670681299396</v>
      </c>
      <c r="P556" s="3">
        <v>61.4542985519968</v>
      </c>
      <c r="Q556" s="3">
        <v>65.892213614931606</v>
      </c>
      <c r="R556" s="3" t="str">
        <f>IF(Table1[[#This Row],[Nutrition_Quality_Score]]&lt;60, "Poor Nutrition",IF(AND(Table1[[#This Row],[Nutrition_Quality_Score]]&gt;=60,Table1[[#This Row],[Nutrition_Quality_Score]]&lt;=80),"Average Nutrition", "Good Nutrition"))</f>
        <v>Average Nutrition</v>
      </c>
      <c r="S556">
        <v>1</v>
      </c>
      <c r="T556" t="str">
        <f>IF(Table1[[#This Row],[Warmup_Routine_Adherence]]=1, "Adherent","Non-Adherent")</f>
        <v>Adherent</v>
      </c>
      <c r="U556">
        <v>0</v>
      </c>
      <c r="V556" t="str">
        <f>IF(Table1[[#This Row],[Injury_Next_Season]]=1, "Injury","No Injury")</f>
        <v>No Injury</v>
      </c>
      <c r="W556" s="3">
        <v>22.038401159280198</v>
      </c>
    </row>
    <row r="557" spans="1:23" x14ac:dyDescent="0.25">
      <c r="A557" s="6">
        <v>20</v>
      </c>
      <c r="B557" s="8" t="str">
        <f>CONCATENATE(Table1[[#This Row],[Age]]," ", "years")</f>
        <v>20 years</v>
      </c>
      <c r="C557">
        <v>181</v>
      </c>
      <c r="D557">
        <v>85</v>
      </c>
      <c r="E557" t="s">
        <v>19</v>
      </c>
      <c r="F557" s="3">
        <v>11.003963628729201</v>
      </c>
      <c r="G557" s="3">
        <v>37</v>
      </c>
      <c r="H557">
        <v>1</v>
      </c>
      <c r="I557" s="3">
        <v>65.959606993660898</v>
      </c>
      <c r="J557" s="3">
        <v>83.136794930757304</v>
      </c>
      <c r="K557" s="3">
        <v>221.63638645615001</v>
      </c>
      <c r="L557" s="3">
        <v>83.637069115670997</v>
      </c>
      <c r="M557" s="3">
        <v>6.1453491260113404</v>
      </c>
      <c r="N557" s="3">
        <v>97.687482981347799</v>
      </c>
      <c r="O557" s="3">
        <v>7.7354852119549804</v>
      </c>
      <c r="P557" s="3">
        <v>38.698284694824999</v>
      </c>
      <c r="Q557" s="3">
        <v>86.553650353097296</v>
      </c>
      <c r="R557" s="3" t="str">
        <f>IF(Table1[[#This Row],[Nutrition_Quality_Score]]&lt;60, "Poor Nutrition",IF(AND(Table1[[#This Row],[Nutrition_Quality_Score]]&gt;=60,Table1[[#This Row],[Nutrition_Quality_Score]]&lt;=80),"Average Nutrition", "Good Nutrition"))</f>
        <v>Good Nutrition</v>
      </c>
      <c r="S557">
        <v>0</v>
      </c>
      <c r="T557" t="str">
        <f>IF(Table1[[#This Row],[Warmup_Routine_Adherence]]=1, "Adherent","Non-Adherent")</f>
        <v>Non-Adherent</v>
      </c>
      <c r="U557">
        <v>0</v>
      </c>
      <c r="V557" t="str">
        <f>IF(Table1[[#This Row],[Injury_Next_Season]]=1, "Injury","No Injury")</f>
        <v>No Injury</v>
      </c>
      <c r="W557" s="3">
        <v>25.945483959585999</v>
      </c>
    </row>
    <row r="558" spans="1:23" x14ac:dyDescent="0.25">
      <c r="A558" s="6">
        <v>18</v>
      </c>
      <c r="B558" s="8" t="str">
        <f>CONCATENATE(Table1[[#This Row],[Age]]," ", "years")</f>
        <v>18 years</v>
      </c>
      <c r="C558">
        <v>184</v>
      </c>
      <c r="D558">
        <v>74</v>
      </c>
      <c r="E558" t="s">
        <v>19</v>
      </c>
      <c r="F558" s="3">
        <v>5.9547411643457799</v>
      </c>
      <c r="G558" s="3">
        <v>19</v>
      </c>
      <c r="H558">
        <v>2</v>
      </c>
      <c r="I558" s="3">
        <v>66.003874852765094</v>
      </c>
      <c r="J558" s="3">
        <v>76.194211905417205</v>
      </c>
      <c r="K558" s="3">
        <v>269.444649719202</v>
      </c>
      <c r="L558" s="3">
        <v>88.451982055746996</v>
      </c>
      <c r="M558" s="3">
        <v>5.82576111633895</v>
      </c>
      <c r="N558" s="3">
        <v>68.973503057805104</v>
      </c>
      <c r="O558" s="3">
        <v>6.6998605116821697</v>
      </c>
      <c r="P558" s="3">
        <v>57.924598550175901</v>
      </c>
      <c r="Q558" s="3">
        <v>78.712317084006699</v>
      </c>
      <c r="R558" s="3" t="str">
        <f>IF(Table1[[#This Row],[Nutrition_Quality_Score]]&lt;60, "Poor Nutrition",IF(AND(Table1[[#This Row],[Nutrition_Quality_Score]]&gt;=60,Table1[[#This Row],[Nutrition_Quality_Score]]&lt;=80),"Average Nutrition", "Good Nutrition"))</f>
        <v>Average Nutrition</v>
      </c>
      <c r="S558">
        <v>1</v>
      </c>
      <c r="T558" t="str">
        <f>IF(Table1[[#This Row],[Warmup_Routine_Adherence]]=1, "Adherent","Non-Adherent")</f>
        <v>Adherent</v>
      </c>
      <c r="U558">
        <v>1</v>
      </c>
      <c r="V558" t="str">
        <f>IF(Table1[[#This Row],[Injury_Next_Season]]=1, "Injury","No Injury")</f>
        <v>Injury</v>
      </c>
      <c r="W558" s="3">
        <v>21.8572778827977</v>
      </c>
    </row>
    <row r="559" spans="1:23" x14ac:dyDescent="0.25">
      <c r="A559" s="6">
        <v>19</v>
      </c>
      <c r="B559" s="8" t="str">
        <f>CONCATENATE(Table1[[#This Row],[Age]]," ", "years")</f>
        <v>19 years</v>
      </c>
      <c r="C559">
        <v>178</v>
      </c>
      <c r="D559">
        <v>63</v>
      </c>
      <c r="E559" t="s">
        <v>22</v>
      </c>
      <c r="F559" s="3">
        <v>8.8759619156366298</v>
      </c>
      <c r="G559" s="3">
        <v>6</v>
      </c>
      <c r="H559">
        <v>2</v>
      </c>
      <c r="I559" s="3">
        <v>75.200091057470104</v>
      </c>
      <c r="J559" s="3">
        <v>75.411803943039502</v>
      </c>
      <c r="K559" s="3">
        <v>247.41771877974301</v>
      </c>
      <c r="L559" s="3">
        <v>71.708390759276696</v>
      </c>
      <c r="M559" s="3">
        <v>5.9998759052835</v>
      </c>
      <c r="N559" s="3">
        <v>79.370171072473198</v>
      </c>
      <c r="O559" s="3">
        <v>7.9357354050128999</v>
      </c>
      <c r="P559" s="3">
        <v>29.673482639136701</v>
      </c>
      <c r="Q559" s="3">
        <v>69.011633445429993</v>
      </c>
      <c r="R559" s="3" t="str">
        <f>IF(Table1[[#This Row],[Nutrition_Quality_Score]]&lt;60, "Poor Nutrition",IF(AND(Table1[[#This Row],[Nutrition_Quality_Score]]&gt;=60,Table1[[#This Row],[Nutrition_Quality_Score]]&lt;=80),"Average Nutrition", "Good Nutrition"))</f>
        <v>Average Nutrition</v>
      </c>
      <c r="S559">
        <v>0</v>
      </c>
      <c r="T559" t="str">
        <f>IF(Table1[[#This Row],[Warmup_Routine_Adherence]]=1, "Adherent","Non-Adherent")</f>
        <v>Non-Adherent</v>
      </c>
      <c r="U559">
        <v>0</v>
      </c>
      <c r="V559" t="str">
        <f>IF(Table1[[#This Row],[Injury_Next_Season]]=1, "Injury","No Injury")</f>
        <v>No Injury</v>
      </c>
      <c r="W559" s="3">
        <v>19.8838530488574</v>
      </c>
    </row>
    <row r="560" spans="1:23" x14ac:dyDescent="0.25">
      <c r="A560" s="6">
        <v>20</v>
      </c>
      <c r="B560" s="8" t="str">
        <f>CONCATENATE(Table1[[#This Row],[Age]]," ", "years")</f>
        <v>20 years</v>
      </c>
      <c r="C560">
        <v>168</v>
      </c>
      <c r="D560">
        <v>68</v>
      </c>
      <c r="E560" t="s">
        <v>21</v>
      </c>
      <c r="F560" s="3">
        <v>12.9546334949809</v>
      </c>
      <c r="G560" s="3">
        <v>22</v>
      </c>
      <c r="H560">
        <v>0</v>
      </c>
      <c r="I560" s="3">
        <v>79.326791211841893</v>
      </c>
      <c r="J560" s="3">
        <v>91.027350794904507</v>
      </c>
      <c r="K560" s="3">
        <v>235.80057981299601</v>
      </c>
      <c r="L560" s="3">
        <v>85.198690689909697</v>
      </c>
      <c r="M560" s="3">
        <v>6.2217888816837696</v>
      </c>
      <c r="N560" s="3">
        <v>81.506365297070005</v>
      </c>
      <c r="O560" s="3">
        <v>6.9645943886384698</v>
      </c>
      <c r="P560" s="3">
        <v>40.893084281090402</v>
      </c>
      <c r="Q560" s="3">
        <v>75.127771989145899</v>
      </c>
      <c r="R560" s="3" t="str">
        <f>IF(Table1[[#This Row],[Nutrition_Quality_Score]]&lt;60, "Poor Nutrition",IF(AND(Table1[[#This Row],[Nutrition_Quality_Score]]&gt;=60,Table1[[#This Row],[Nutrition_Quality_Score]]&lt;=80),"Average Nutrition", "Good Nutrition"))</f>
        <v>Average Nutrition</v>
      </c>
      <c r="S560">
        <v>1</v>
      </c>
      <c r="T560" t="str">
        <f>IF(Table1[[#This Row],[Warmup_Routine_Adherence]]=1, "Adherent","Non-Adherent")</f>
        <v>Adherent</v>
      </c>
      <c r="U560">
        <v>0</v>
      </c>
      <c r="V560" t="str">
        <f>IF(Table1[[#This Row],[Injury_Next_Season]]=1, "Injury","No Injury")</f>
        <v>No Injury</v>
      </c>
      <c r="W560" s="3">
        <v>24.092970521541901</v>
      </c>
    </row>
    <row r="561" spans="1:23" x14ac:dyDescent="0.25">
      <c r="A561" s="6">
        <v>23</v>
      </c>
      <c r="B561" s="8" t="str">
        <f>CONCATENATE(Table1[[#This Row],[Age]]," ", "years")</f>
        <v>23 years</v>
      </c>
      <c r="C561">
        <v>181</v>
      </c>
      <c r="D561">
        <v>68</v>
      </c>
      <c r="E561" t="s">
        <v>19</v>
      </c>
      <c r="F561" s="3">
        <v>10.581420795428601</v>
      </c>
      <c r="G561" s="3">
        <v>19</v>
      </c>
      <c r="H561">
        <v>6</v>
      </c>
      <c r="I561" s="3">
        <v>71.202298125537794</v>
      </c>
      <c r="J561" s="3">
        <v>75.537304529323706</v>
      </c>
      <c r="K561" s="3">
        <v>281.46099443675803</v>
      </c>
      <c r="L561" s="3">
        <v>84.514606034560401</v>
      </c>
      <c r="M561" s="3">
        <v>5.9216089124180797</v>
      </c>
      <c r="N561" s="3">
        <v>78.066164774472895</v>
      </c>
      <c r="O561" s="3">
        <v>7.9071382444260303</v>
      </c>
      <c r="P561" s="3">
        <v>51.649732785737797</v>
      </c>
      <c r="Q561" s="3">
        <v>67.326176190641206</v>
      </c>
      <c r="R561" s="3" t="str">
        <f>IF(Table1[[#This Row],[Nutrition_Quality_Score]]&lt;60, "Poor Nutrition",IF(AND(Table1[[#This Row],[Nutrition_Quality_Score]]&gt;=60,Table1[[#This Row],[Nutrition_Quality_Score]]&lt;=80),"Average Nutrition", "Good Nutrition"))</f>
        <v>Average Nutrition</v>
      </c>
      <c r="S561">
        <v>1</v>
      </c>
      <c r="T561" t="str">
        <f>IF(Table1[[#This Row],[Warmup_Routine_Adherence]]=1, "Adherent","Non-Adherent")</f>
        <v>Adherent</v>
      </c>
      <c r="U561">
        <v>1</v>
      </c>
      <c r="V561" t="str">
        <f>IF(Table1[[#This Row],[Injury_Next_Season]]=1, "Injury","No Injury")</f>
        <v>Injury</v>
      </c>
      <c r="W561" s="3">
        <v>20.756387167668802</v>
      </c>
    </row>
    <row r="562" spans="1:23" x14ac:dyDescent="0.25">
      <c r="A562" s="6">
        <v>18</v>
      </c>
      <c r="B562" s="8" t="str">
        <f>CONCATENATE(Table1[[#This Row],[Age]]," ", "years")</f>
        <v>18 years</v>
      </c>
      <c r="C562">
        <v>176</v>
      </c>
      <c r="D562">
        <v>83</v>
      </c>
      <c r="E562" t="s">
        <v>22</v>
      </c>
      <c r="F562" s="3">
        <v>8.4769618023770406</v>
      </c>
      <c r="G562" s="3">
        <v>13</v>
      </c>
      <c r="H562">
        <v>1</v>
      </c>
      <c r="I562" s="3">
        <v>79.131245117443598</v>
      </c>
      <c r="J562" s="3">
        <v>78.059828010656204</v>
      </c>
      <c r="K562" s="3">
        <v>257.73907616708999</v>
      </c>
      <c r="L562" s="3">
        <v>80.526535418824395</v>
      </c>
      <c r="M562" s="3">
        <v>6.2548996055418202</v>
      </c>
      <c r="N562" s="3">
        <v>100</v>
      </c>
      <c r="O562" s="3">
        <v>8.6248407956269499</v>
      </c>
      <c r="P562" s="3">
        <v>35.616134146746397</v>
      </c>
      <c r="Q562" s="3">
        <v>70.406285288158898</v>
      </c>
      <c r="R562" s="3" t="str">
        <f>IF(Table1[[#This Row],[Nutrition_Quality_Score]]&lt;60, "Poor Nutrition",IF(AND(Table1[[#This Row],[Nutrition_Quality_Score]]&gt;=60,Table1[[#This Row],[Nutrition_Quality_Score]]&lt;=80),"Average Nutrition", "Good Nutrition"))</f>
        <v>Average Nutrition</v>
      </c>
      <c r="S562">
        <v>1</v>
      </c>
      <c r="T562" t="str">
        <f>IF(Table1[[#This Row],[Warmup_Routine_Adherence]]=1, "Adherent","Non-Adherent")</f>
        <v>Adherent</v>
      </c>
      <c r="U562">
        <v>0</v>
      </c>
      <c r="V562" t="str">
        <f>IF(Table1[[#This Row],[Injury_Next_Season]]=1, "Injury","No Injury")</f>
        <v>No Injury</v>
      </c>
      <c r="W562" s="3">
        <v>26.794938016528899</v>
      </c>
    </row>
    <row r="563" spans="1:23" x14ac:dyDescent="0.25">
      <c r="A563" s="6">
        <v>24</v>
      </c>
      <c r="B563" s="8" t="str">
        <f>CONCATENATE(Table1[[#This Row],[Age]]," ", "years")</f>
        <v>24 years</v>
      </c>
      <c r="C563">
        <v>181</v>
      </c>
      <c r="D563">
        <v>90</v>
      </c>
      <c r="E563" t="s">
        <v>20</v>
      </c>
      <c r="F563" s="3">
        <v>9.9616406043928496</v>
      </c>
      <c r="G563" s="3">
        <v>24</v>
      </c>
      <c r="H563">
        <v>1</v>
      </c>
      <c r="I563" s="3">
        <v>75.549154996237903</v>
      </c>
      <c r="J563" s="3">
        <v>94.894917506156602</v>
      </c>
      <c r="K563" s="3">
        <v>246.25020311857901</v>
      </c>
      <c r="L563" s="3">
        <v>90.666619475307101</v>
      </c>
      <c r="M563" s="3">
        <v>5.9825051280888299</v>
      </c>
      <c r="N563" s="3">
        <v>73.1926131208117</v>
      </c>
      <c r="O563" s="3">
        <v>5.9934134972883397</v>
      </c>
      <c r="P563" s="3">
        <v>57.486909242187302</v>
      </c>
      <c r="Q563" s="3">
        <v>64.988509978517897</v>
      </c>
      <c r="R563" s="3" t="str">
        <f>IF(Table1[[#This Row],[Nutrition_Quality_Score]]&lt;60, "Poor Nutrition",IF(AND(Table1[[#This Row],[Nutrition_Quality_Score]]&gt;=60,Table1[[#This Row],[Nutrition_Quality_Score]]&lt;=80),"Average Nutrition", "Good Nutrition"))</f>
        <v>Average Nutrition</v>
      </c>
      <c r="S563">
        <v>1</v>
      </c>
      <c r="T563" t="str">
        <f>IF(Table1[[#This Row],[Warmup_Routine_Adherence]]=1, "Adherent","Non-Adherent")</f>
        <v>Adherent</v>
      </c>
      <c r="U563">
        <v>1</v>
      </c>
      <c r="V563" t="str">
        <f>IF(Table1[[#This Row],[Injury_Next_Season]]=1, "Injury","No Injury")</f>
        <v>Injury</v>
      </c>
      <c r="W563" s="3">
        <v>27.471688898385199</v>
      </c>
    </row>
    <row r="564" spans="1:23" x14ac:dyDescent="0.25">
      <c r="A564" s="6">
        <v>22</v>
      </c>
      <c r="B564" s="8" t="str">
        <f>CONCATENATE(Table1[[#This Row],[Age]]," ", "years")</f>
        <v>22 years</v>
      </c>
      <c r="C564">
        <v>169</v>
      </c>
      <c r="D564">
        <v>52</v>
      </c>
      <c r="E564" t="s">
        <v>20</v>
      </c>
      <c r="F564" s="3">
        <v>9.45378957997303</v>
      </c>
      <c r="G564" s="3">
        <v>34</v>
      </c>
      <c r="H564">
        <v>3</v>
      </c>
      <c r="I564" s="3">
        <v>71.277742649114003</v>
      </c>
      <c r="J564" s="3">
        <v>83.594435355811399</v>
      </c>
      <c r="K564" s="3">
        <v>195.590206546704</v>
      </c>
      <c r="L564" s="3">
        <v>90.7835412472446</v>
      </c>
      <c r="M564" s="3">
        <v>5.4680129782261</v>
      </c>
      <c r="N564" s="3">
        <v>72.981770681986404</v>
      </c>
      <c r="O564" s="3">
        <v>7.5017418098984301</v>
      </c>
      <c r="P564" s="3">
        <v>50.775278526978397</v>
      </c>
      <c r="Q564" s="3">
        <v>76.165672424944802</v>
      </c>
      <c r="R564" s="3" t="str">
        <f>IF(Table1[[#This Row],[Nutrition_Quality_Score]]&lt;60, "Poor Nutrition",IF(AND(Table1[[#This Row],[Nutrition_Quality_Score]]&gt;=60,Table1[[#This Row],[Nutrition_Quality_Score]]&lt;=80),"Average Nutrition", "Good Nutrition"))</f>
        <v>Average Nutrition</v>
      </c>
      <c r="S564">
        <v>0</v>
      </c>
      <c r="T564" t="str">
        <f>IF(Table1[[#This Row],[Warmup_Routine_Adherence]]=1, "Adherent","Non-Adherent")</f>
        <v>Non-Adherent</v>
      </c>
      <c r="U564">
        <v>0</v>
      </c>
      <c r="V564" t="str">
        <f>IF(Table1[[#This Row],[Injury_Next_Season]]=1, "Injury","No Injury")</f>
        <v>No Injury</v>
      </c>
      <c r="W564" s="3">
        <v>18.206645425580302</v>
      </c>
    </row>
    <row r="565" spans="1:23" x14ac:dyDescent="0.25">
      <c r="A565" s="6">
        <v>23</v>
      </c>
      <c r="B565" s="8" t="str">
        <f>CONCATENATE(Table1[[#This Row],[Age]]," ", "years")</f>
        <v>23 years</v>
      </c>
      <c r="C565">
        <v>177</v>
      </c>
      <c r="D565">
        <v>58</v>
      </c>
      <c r="E565" t="s">
        <v>21</v>
      </c>
      <c r="F565" s="3">
        <v>11.2222308000618</v>
      </c>
      <c r="G565" s="3">
        <v>12</v>
      </c>
      <c r="H565">
        <v>1</v>
      </c>
      <c r="I565" s="3">
        <v>73.476473414756995</v>
      </c>
      <c r="J565" s="3">
        <v>83.809687745883807</v>
      </c>
      <c r="K565" s="3">
        <v>261.91213843970399</v>
      </c>
      <c r="L565" s="3">
        <v>84.220386143460104</v>
      </c>
      <c r="M565" s="3">
        <v>5.7014441533000202</v>
      </c>
      <c r="N565" s="3">
        <v>74.596693001987404</v>
      </c>
      <c r="O565" s="3">
        <v>7.3345962333322401</v>
      </c>
      <c r="P565" s="3">
        <v>67.209909755040599</v>
      </c>
      <c r="Q565" s="3">
        <v>64.565821946546805</v>
      </c>
      <c r="R565" s="3" t="str">
        <f>IF(Table1[[#This Row],[Nutrition_Quality_Score]]&lt;60, "Poor Nutrition",IF(AND(Table1[[#This Row],[Nutrition_Quality_Score]]&gt;=60,Table1[[#This Row],[Nutrition_Quality_Score]]&lt;=80),"Average Nutrition", "Good Nutrition"))</f>
        <v>Average Nutrition</v>
      </c>
      <c r="S565">
        <v>0</v>
      </c>
      <c r="T565" t="str">
        <f>IF(Table1[[#This Row],[Warmup_Routine_Adherence]]=1, "Adherent","Non-Adherent")</f>
        <v>Non-Adherent</v>
      </c>
      <c r="U565">
        <v>1</v>
      </c>
      <c r="V565" t="str">
        <f>IF(Table1[[#This Row],[Injury_Next_Season]]=1, "Injury","No Injury")</f>
        <v>Injury</v>
      </c>
      <c r="W565" s="3">
        <v>18.513198633853602</v>
      </c>
    </row>
    <row r="566" spans="1:23" x14ac:dyDescent="0.25">
      <c r="A566" s="6">
        <v>20</v>
      </c>
      <c r="B566" s="8" t="str">
        <f>CONCATENATE(Table1[[#This Row],[Age]]," ", "years")</f>
        <v>20 years</v>
      </c>
      <c r="C566">
        <v>179</v>
      </c>
      <c r="D566">
        <v>75</v>
      </c>
      <c r="E566" t="s">
        <v>19</v>
      </c>
      <c r="F566" s="3">
        <v>10.678872083515399</v>
      </c>
      <c r="G566" s="3">
        <v>26</v>
      </c>
      <c r="H566">
        <v>2</v>
      </c>
      <c r="I566" s="3">
        <v>72.772443459073003</v>
      </c>
      <c r="J566" s="3">
        <v>77.662766581051997</v>
      </c>
      <c r="K566" s="3">
        <v>255.57781339017001</v>
      </c>
      <c r="L566" s="3">
        <v>69.897740435034507</v>
      </c>
      <c r="M566" s="3">
        <v>6.3310039032634204</v>
      </c>
      <c r="N566" s="3">
        <v>88.300084979795699</v>
      </c>
      <c r="O566" s="3">
        <v>8.4795995512383104</v>
      </c>
      <c r="P566" s="3">
        <v>48.115505479843797</v>
      </c>
      <c r="Q566" s="3">
        <v>77.565017477507695</v>
      </c>
      <c r="R566" s="3" t="str">
        <f>IF(Table1[[#This Row],[Nutrition_Quality_Score]]&lt;60, "Poor Nutrition",IF(AND(Table1[[#This Row],[Nutrition_Quality_Score]]&gt;=60,Table1[[#This Row],[Nutrition_Quality_Score]]&lt;=80),"Average Nutrition", "Good Nutrition"))</f>
        <v>Average Nutrition</v>
      </c>
      <c r="S566">
        <v>1</v>
      </c>
      <c r="T566" t="str">
        <f>IF(Table1[[#This Row],[Warmup_Routine_Adherence]]=1, "Adherent","Non-Adherent")</f>
        <v>Adherent</v>
      </c>
      <c r="U566">
        <v>1</v>
      </c>
      <c r="V566" t="str">
        <f>IF(Table1[[#This Row],[Injury_Next_Season]]=1, "Injury","No Injury")</f>
        <v>Injury</v>
      </c>
      <c r="W566" s="3">
        <v>23.407509128928499</v>
      </c>
    </row>
    <row r="567" spans="1:23" x14ac:dyDescent="0.25">
      <c r="A567" s="6">
        <v>23</v>
      </c>
      <c r="B567" s="8" t="str">
        <f>CONCATENATE(Table1[[#This Row],[Age]]," ", "years")</f>
        <v>23 years</v>
      </c>
      <c r="C567">
        <v>168</v>
      </c>
      <c r="D567">
        <v>69</v>
      </c>
      <c r="E567" t="s">
        <v>20</v>
      </c>
      <c r="F567" s="3">
        <v>9.0655772674837198</v>
      </c>
      <c r="G567" s="3">
        <v>34</v>
      </c>
      <c r="H567">
        <v>0</v>
      </c>
      <c r="I567" s="3">
        <v>79.678588443824296</v>
      </c>
      <c r="J567" s="3">
        <v>79.833329840278196</v>
      </c>
      <c r="K567" s="3">
        <v>261.26765113815998</v>
      </c>
      <c r="L567" s="3">
        <v>95.061333635181199</v>
      </c>
      <c r="M567" s="3">
        <v>6.4506196814026904</v>
      </c>
      <c r="N567" s="3">
        <v>87.887813747207801</v>
      </c>
      <c r="O567" s="3">
        <v>8.0500469312282501</v>
      </c>
      <c r="P567" s="3">
        <v>45.091374309479001</v>
      </c>
      <c r="Q567" s="3">
        <v>86.956762692577897</v>
      </c>
      <c r="R567" s="3" t="str">
        <f>IF(Table1[[#This Row],[Nutrition_Quality_Score]]&lt;60, "Poor Nutrition",IF(AND(Table1[[#This Row],[Nutrition_Quality_Score]]&gt;=60,Table1[[#This Row],[Nutrition_Quality_Score]]&lt;=80),"Average Nutrition", "Good Nutrition"))</f>
        <v>Good Nutrition</v>
      </c>
      <c r="S567">
        <v>1</v>
      </c>
      <c r="T567" t="str">
        <f>IF(Table1[[#This Row],[Warmup_Routine_Adherence]]=1, "Adherent","Non-Adherent")</f>
        <v>Adherent</v>
      </c>
      <c r="U567">
        <v>0</v>
      </c>
      <c r="V567" t="str">
        <f>IF(Table1[[#This Row],[Injury_Next_Season]]=1, "Injury","No Injury")</f>
        <v>No Injury</v>
      </c>
      <c r="W567" s="3">
        <v>24.447278911564599</v>
      </c>
    </row>
    <row r="568" spans="1:23" x14ac:dyDescent="0.25">
      <c r="A568" s="6">
        <v>23</v>
      </c>
      <c r="B568" s="8" t="str">
        <f>CONCATENATE(Table1[[#This Row],[Age]]," ", "years")</f>
        <v>23 years</v>
      </c>
      <c r="C568">
        <v>165</v>
      </c>
      <c r="D568">
        <v>69</v>
      </c>
      <c r="E568" t="s">
        <v>19</v>
      </c>
      <c r="F568" s="3">
        <v>8.83238097766165</v>
      </c>
      <c r="G568" s="3">
        <v>36</v>
      </c>
      <c r="H568">
        <v>0</v>
      </c>
      <c r="I568" s="3">
        <v>70.383698581770204</v>
      </c>
      <c r="J568" s="3">
        <v>87.260800493873205</v>
      </c>
      <c r="K568" s="3">
        <v>232.68463163667201</v>
      </c>
      <c r="L568" s="3">
        <v>89.142591624442801</v>
      </c>
      <c r="M568" s="3">
        <v>6.3933226777418897</v>
      </c>
      <c r="N568" s="3">
        <v>84.0897102302674</v>
      </c>
      <c r="O568" s="3">
        <v>6.1006025924512297</v>
      </c>
      <c r="P568" s="3">
        <v>59.868893191514097</v>
      </c>
      <c r="Q568" s="3">
        <v>84.067394043836401</v>
      </c>
      <c r="R568" s="3" t="str">
        <f>IF(Table1[[#This Row],[Nutrition_Quality_Score]]&lt;60, "Poor Nutrition",IF(AND(Table1[[#This Row],[Nutrition_Quality_Score]]&gt;=60,Table1[[#This Row],[Nutrition_Quality_Score]]&lt;=80),"Average Nutrition", "Good Nutrition"))</f>
        <v>Good Nutrition</v>
      </c>
      <c r="S568">
        <v>0</v>
      </c>
      <c r="T568" t="str">
        <f>IF(Table1[[#This Row],[Warmup_Routine_Adherence]]=1, "Adherent","Non-Adherent")</f>
        <v>Non-Adherent</v>
      </c>
      <c r="U568">
        <v>0</v>
      </c>
      <c r="V568" t="str">
        <f>IF(Table1[[#This Row],[Injury_Next_Season]]=1, "Injury","No Injury")</f>
        <v>No Injury</v>
      </c>
      <c r="W568" s="3">
        <v>25.344352617079799</v>
      </c>
    </row>
    <row r="569" spans="1:23" x14ac:dyDescent="0.25">
      <c r="A569" s="6">
        <v>20</v>
      </c>
      <c r="B569" s="8" t="str">
        <f>CONCATENATE(Table1[[#This Row],[Age]]," ", "years")</f>
        <v>20 years</v>
      </c>
      <c r="C569">
        <v>175</v>
      </c>
      <c r="D569">
        <v>72</v>
      </c>
      <c r="E569" t="s">
        <v>19</v>
      </c>
      <c r="F569" s="3">
        <v>6.6002466046764798</v>
      </c>
      <c r="G569" s="3">
        <v>27</v>
      </c>
      <c r="H569">
        <v>0</v>
      </c>
      <c r="I569" s="3">
        <v>79.963214039688694</v>
      </c>
      <c r="J569" s="3">
        <v>75.336945500756102</v>
      </c>
      <c r="K569" s="3">
        <v>247.818974225495</v>
      </c>
      <c r="L569" s="3">
        <v>84.363461180305194</v>
      </c>
      <c r="M569" s="3">
        <v>5.63294566291425</v>
      </c>
      <c r="N569" s="3">
        <v>68.013417338615895</v>
      </c>
      <c r="O569" s="3">
        <v>7.2290743644370599</v>
      </c>
      <c r="P569" s="3">
        <v>52.7842437539719</v>
      </c>
      <c r="Q569" s="3">
        <v>78.016983579667396</v>
      </c>
      <c r="R569" s="3" t="str">
        <f>IF(Table1[[#This Row],[Nutrition_Quality_Score]]&lt;60, "Poor Nutrition",IF(AND(Table1[[#This Row],[Nutrition_Quality_Score]]&gt;=60,Table1[[#This Row],[Nutrition_Quality_Score]]&lt;=80),"Average Nutrition", "Good Nutrition"))</f>
        <v>Average Nutrition</v>
      </c>
      <c r="S569">
        <v>1</v>
      </c>
      <c r="T569" t="str">
        <f>IF(Table1[[#This Row],[Warmup_Routine_Adherence]]=1, "Adherent","Non-Adherent")</f>
        <v>Adherent</v>
      </c>
      <c r="U569">
        <v>0</v>
      </c>
      <c r="V569" t="str">
        <f>IF(Table1[[#This Row],[Injury_Next_Season]]=1, "Injury","No Injury")</f>
        <v>No Injury</v>
      </c>
      <c r="W569" s="3">
        <v>23.510204081632601</v>
      </c>
    </row>
    <row r="570" spans="1:23" x14ac:dyDescent="0.25">
      <c r="A570" s="6">
        <v>23</v>
      </c>
      <c r="B570" s="8" t="str">
        <f>CONCATENATE(Table1[[#This Row],[Age]]," ", "years")</f>
        <v>23 years</v>
      </c>
      <c r="C570">
        <v>193</v>
      </c>
      <c r="D570">
        <v>70</v>
      </c>
      <c r="E570" t="s">
        <v>20</v>
      </c>
      <c r="F570" s="3">
        <v>5</v>
      </c>
      <c r="G570" s="3">
        <v>23</v>
      </c>
      <c r="H570">
        <v>1</v>
      </c>
      <c r="I570" s="3">
        <v>74.218874522270497</v>
      </c>
      <c r="J570" s="3">
        <v>82.977163859051203</v>
      </c>
      <c r="K570" s="3">
        <v>276.02465050180399</v>
      </c>
      <c r="L570" s="3">
        <v>88.721699913185006</v>
      </c>
      <c r="M570" s="3">
        <v>6.1907830631200698</v>
      </c>
      <c r="N570" s="3">
        <v>79.166138091034597</v>
      </c>
      <c r="O570" s="3">
        <v>6.3654901439721598</v>
      </c>
      <c r="P570" s="3">
        <v>76.027756426897795</v>
      </c>
      <c r="Q570" s="3">
        <v>64.7399790935808</v>
      </c>
      <c r="R570" s="3" t="str">
        <f>IF(Table1[[#This Row],[Nutrition_Quality_Score]]&lt;60, "Poor Nutrition",IF(AND(Table1[[#This Row],[Nutrition_Quality_Score]]&gt;=60,Table1[[#This Row],[Nutrition_Quality_Score]]&lt;=80),"Average Nutrition", "Good Nutrition"))</f>
        <v>Average Nutrition</v>
      </c>
      <c r="S570">
        <v>1</v>
      </c>
      <c r="T570" t="str">
        <f>IF(Table1[[#This Row],[Warmup_Routine_Adherence]]=1, "Adherent","Non-Adherent")</f>
        <v>Adherent</v>
      </c>
      <c r="U570">
        <v>1</v>
      </c>
      <c r="V570" t="str">
        <f>IF(Table1[[#This Row],[Injury_Next_Season]]=1, "Injury","No Injury")</f>
        <v>Injury</v>
      </c>
      <c r="W570" s="3">
        <v>18.7924508040484</v>
      </c>
    </row>
    <row r="571" spans="1:23" x14ac:dyDescent="0.25">
      <c r="A571" s="6">
        <v>20</v>
      </c>
      <c r="B571" s="8" t="str">
        <f>CONCATENATE(Table1[[#This Row],[Age]]," ", "years")</f>
        <v>20 years</v>
      </c>
      <c r="C571">
        <v>167</v>
      </c>
      <c r="D571">
        <v>58</v>
      </c>
      <c r="E571" t="s">
        <v>21</v>
      </c>
      <c r="F571" s="3">
        <v>7.8976715023722504</v>
      </c>
      <c r="G571" s="3">
        <v>28</v>
      </c>
      <c r="H571">
        <v>3</v>
      </c>
      <c r="I571" s="3">
        <v>66.7701016323022</v>
      </c>
      <c r="J571" s="3">
        <v>72.498503738648296</v>
      </c>
      <c r="K571" s="3">
        <v>275.01460151406701</v>
      </c>
      <c r="L571" s="3">
        <v>76.387997330926197</v>
      </c>
      <c r="M571" s="3">
        <v>5.8060050418049398</v>
      </c>
      <c r="N571" s="3">
        <v>69.3885522350934</v>
      </c>
      <c r="O571" s="3">
        <v>7.0018626674801299</v>
      </c>
      <c r="P571" s="3">
        <v>63.206437940905097</v>
      </c>
      <c r="Q571" s="3">
        <v>84.311045408519703</v>
      </c>
      <c r="R571" s="3" t="str">
        <f>IF(Table1[[#This Row],[Nutrition_Quality_Score]]&lt;60, "Poor Nutrition",IF(AND(Table1[[#This Row],[Nutrition_Quality_Score]]&gt;=60,Table1[[#This Row],[Nutrition_Quality_Score]]&lt;=80),"Average Nutrition", "Good Nutrition"))</f>
        <v>Good Nutrition</v>
      </c>
      <c r="S571">
        <v>1</v>
      </c>
      <c r="T571" t="str">
        <f>IF(Table1[[#This Row],[Warmup_Routine_Adherence]]=1, "Adherent","Non-Adherent")</f>
        <v>Adherent</v>
      </c>
      <c r="U571">
        <v>1</v>
      </c>
      <c r="V571" t="str">
        <f>IF(Table1[[#This Row],[Injury_Next_Season]]=1, "Injury","No Injury")</f>
        <v>Injury</v>
      </c>
      <c r="W571" s="3">
        <v>20.796729893506399</v>
      </c>
    </row>
    <row r="572" spans="1:23" x14ac:dyDescent="0.25">
      <c r="A572" s="6">
        <v>23</v>
      </c>
      <c r="B572" s="8" t="str">
        <f>CONCATENATE(Table1[[#This Row],[Age]]," ", "years")</f>
        <v>23 years</v>
      </c>
      <c r="C572">
        <v>176</v>
      </c>
      <c r="D572">
        <v>55</v>
      </c>
      <c r="E572" t="s">
        <v>21</v>
      </c>
      <c r="F572" s="3">
        <v>7.9234341284953498</v>
      </c>
      <c r="G572" s="3">
        <v>38</v>
      </c>
      <c r="H572">
        <v>1</v>
      </c>
      <c r="I572" s="3">
        <v>80.165247187507006</v>
      </c>
      <c r="J572" s="3">
        <v>83.632921214495596</v>
      </c>
      <c r="K572" s="3">
        <v>219.09480904021601</v>
      </c>
      <c r="L572" s="3">
        <v>86.539483351334297</v>
      </c>
      <c r="M572" s="3">
        <v>6.1057848836082202</v>
      </c>
      <c r="N572" s="3">
        <v>84.417198523228706</v>
      </c>
      <c r="O572" s="3">
        <v>7.38021265110378</v>
      </c>
      <c r="P572" s="3">
        <v>51.566171228019499</v>
      </c>
      <c r="Q572" s="3">
        <v>90.140906150804398</v>
      </c>
      <c r="R572" s="3" t="str">
        <f>IF(Table1[[#This Row],[Nutrition_Quality_Score]]&lt;60, "Poor Nutrition",IF(AND(Table1[[#This Row],[Nutrition_Quality_Score]]&gt;=60,Table1[[#This Row],[Nutrition_Quality_Score]]&lt;=80),"Average Nutrition", "Good Nutrition"))</f>
        <v>Good Nutrition</v>
      </c>
      <c r="S572">
        <v>1</v>
      </c>
      <c r="T572" t="str">
        <f>IF(Table1[[#This Row],[Warmup_Routine_Adherence]]=1, "Adherent","Non-Adherent")</f>
        <v>Adherent</v>
      </c>
      <c r="U572">
        <v>0</v>
      </c>
      <c r="V572" t="str">
        <f>IF(Table1[[#This Row],[Injury_Next_Season]]=1, "Injury","No Injury")</f>
        <v>No Injury</v>
      </c>
      <c r="W572" s="3">
        <v>17.755681818181799</v>
      </c>
    </row>
    <row r="573" spans="1:23" x14ac:dyDescent="0.25">
      <c r="A573" s="6">
        <v>21</v>
      </c>
      <c r="B573" s="8" t="str">
        <f>CONCATENATE(Table1[[#This Row],[Age]]," ", "years")</f>
        <v>21 years</v>
      </c>
      <c r="C573">
        <v>183</v>
      </c>
      <c r="D573">
        <v>58</v>
      </c>
      <c r="E573" t="s">
        <v>21</v>
      </c>
      <c r="F573" s="3">
        <v>15.7683240800687</v>
      </c>
      <c r="G573" s="3">
        <v>30</v>
      </c>
      <c r="H573">
        <v>2</v>
      </c>
      <c r="I573" s="3">
        <v>65.555818407517904</v>
      </c>
      <c r="J573" s="3">
        <v>80.205874778024295</v>
      </c>
      <c r="K573" s="3">
        <v>237.23926117716201</v>
      </c>
      <c r="L573" s="3">
        <v>73.893772922939405</v>
      </c>
      <c r="M573" s="3">
        <v>5.9636623805020799</v>
      </c>
      <c r="N573" s="3">
        <v>80.743696782819399</v>
      </c>
      <c r="O573" s="3">
        <v>7.1839060132153403</v>
      </c>
      <c r="P573" s="3">
        <v>32.575751182905996</v>
      </c>
      <c r="Q573" s="3">
        <v>82.562966795941705</v>
      </c>
      <c r="R573" s="3" t="str">
        <f>IF(Table1[[#This Row],[Nutrition_Quality_Score]]&lt;60, "Poor Nutrition",IF(AND(Table1[[#This Row],[Nutrition_Quality_Score]]&gt;=60,Table1[[#This Row],[Nutrition_Quality_Score]]&lt;=80),"Average Nutrition", "Good Nutrition"))</f>
        <v>Good Nutrition</v>
      </c>
      <c r="S573">
        <v>0</v>
      </c>
      <c r="T573" t="str">
        <f>IF(Table1[[#This Row],[Warmup_Routine_Adherence]]=1, "Adherent","Non-Adherent")</f>
        <v>Non-Adherent</v>
      </c>
      <c r="U573">
        <v>1</v>
      </c>
      <c r="V573" t="str">
        <f>IF(Table1[[#This Row],[Injury_Next_Season]]=1, "Injury","No Injury")</f>
        <v>Injury</v>
      </c>
      <c r="W573" s="3">
        <v>17.319119710949799</v>
      </c>
    </row>
    <row r="574" spans="1:23" x14ac:dyDescent="0.25">
      <c r="A574" s="6">
        <v>24</v>
      </c>
      <c r="B574" s="8" t="str">
        <f>CONCATENATE(Table1[[#This Row],[Age]]," ", "years")</f>
        <v>24 years</v>
      </c>
      <c r="C574">
        <v>179</v>
      </c>
      <c r="D574">
        <v>69</v>
      </c>
      <c r="E574" t="s">
        <v>19</v>
      </c>
      <c r="F574" s="3">
        <v>9.1194906722538498</v>
      </c>
      <c r="G574" s="3">
        <v>34</v>
      </c>
      <c r="H574">
        <v>0</v>
      </c>
      <c r="I574" s="3">
        <v>73.811428325025204</v>
      </c>
      <c r="J574" s="3">
        <v>71.554603792026995</v>
      </c>
      <c r="K574" s="3">
        <v>241.300690308279</v>
      </c>
      <c r="L574" s="3">
        <v>89.341487569216099</v>
      </c>
      <c r="M574" s="3">
        <v>6.0456838367939998</v>
      </c>
      <c r="N574" s="3">
        <v>80.1857870573876</v>
      </c>
      <c r="O574" s="3">
        <v>7.9655152194483403</v>
      </c>
      <c r="P574" s="3">
        <v>51.669814534979501</v>
      </c>
      <c r="Q574" s="3">
        <v>73.5046105011874</v>
      </c>
      <c r="R574" s="3" t="str">
        <f>IF(Table1[[#This Row],[Nutrition_Quality_Score]]&lt;60, "Poor Nutrition",IF(AND(Table1[[#This Row],[Nutrition_Quality_Score]]&gt;=60,Table1[[#This Row],[Nutrition_Quality_Score]]&lt;=80),"Average Nutrition", "Good Nutrition"))</f>
        <v>Average Nutrition</v>
      </c>
      <c r="S574">
        <v>1</v>
      </c>
      <c r="T574" t="str">
        <f>IF(Table1[[#This Row],[Warmup_Routine_Adherence]]=1, "Adherent","Non-Adherent")</f>
        <v>Adherent</v>
      </c>
      <c r="U574">
        <v>0</v>
      </c>
      <c r="V574" t="str">
        <f>IF(Table1[[#This Row],[Injury_Next_Season]]=1, "Injury","No Injury")</f>
        <v>No Injury</v>
      </c>
      <c r="W574" s="3">
        <v>21.534908398614199</v>
      </c>
    </row>
    <row r="575" spans="1:23" x14ac:dyDescent="0.25">
      <c r="A575" s="6">
        <v>19</v>
      </c>
      <c r="B575" s="8" t="str">
        <f>CONCATENATE(Table1[[#This Row],[Age]]," ", "years")</f>
        <v>19 years</v>
      </c>
      <c r="C575">
        <v>191</v>
      </c>
      <c r="D575">
        <v>70</v>
      </c>
      <c r="E575" t="s">
        <v>19</v>
      </c>
      <c r="F575" s="3">
        <v>10.8791781730501</v>
      </c>
      <c r="G575" s="3">
        <v>14</v>
      </c>
      <c r="H575">
        <v>0</v>
      </c>
      <c r="I575" s="3">
        <v>73.968708095327898</v>
      </c>
      <c r="J575" s="3">
        <v>66.200404839847906</v>
      </c>
      <c r="K575" s="3">
        <v>230.87062497390301</v>
      </c>
      <c r="L575" s="3">
        <v>73.677171349891694</v>
      </c>
      <c r="M575" s="3">
        <v>6.2884491641435103</v>
      </c>
      <c r="N575" s="3">
        <v>89.153543459499701</v>
      </c>
      <c r="O575" s="3">
        <v>7.4923739997555803</v>
      </c>
      <c r="P575" s="3">
        <v>60.130835022352898</v>
      </c>
      <c r="Q575" s="3">
        <v>75.577893782908703</v>
      </c>
      <c r="R575" s="3" t="str">
        <f>IF(Table1[[#This Row],[Nutrition_Quality_Score]]&lt;60, "Poor Nutrition",IF(AND(Table1[[#This Row],[Nutrition_Quality_Score]]&gt;=60,Table1[[#This Row],[Nutrition_Quality_Score]]&lt;=80),"Average Nutrition", "Good Nutrition"))</f>
        <v>Average Nutrition</v>
      </c>
      <c r="S575">
        <v>1</v>
      </c>
      <c r="T575" t="str">
        <f>IF(Table1[[#This Row],[Warmup_Routine_Adherence]]=1, "Adherent","Non-Adherent")</f>
        <v>Adherent</v>
      </c>
      <c r="U575">
        <v>0</v>
      </c>
      <c r="V575" t="str">
        <f>IF(Table1[[#This Row],[Injury_Next_Season]]=1, "Injury","No Injury")</f>
        <v>No Injury</v>
      </c>
      <c r="W575" s="3">
        <v>19.1880705024533</v>
      </c>
    </row>
    <row r="576" spans="1:23" x14ac:dyDescent="0.25">
      <c r="A576" s="6">
        <v>21</v>
      </c>
      <c r="B576" s="8" t="str">
        <f>CONCATENATE(Table1[[#This Row],[Age]]," ", "years")</f>
        <v>21 years</v>
      </c>
      <c r="C576">
        <v>173</v>
      </c>
      <c r="D576">
        <v>81</v>
      </c>
      <c r="E576" t="s">
        <v>20</v>
      </c>
      <c r="F576" s="3">
        <v>10.9639981995153</v>
      </c>
      <c r="G576" s="3">
        <v>13</v>
      </c>
      <c r="H576">
        <v>2</v>
      </c>
      <c r="I576" s="3">
        <v>79.631501443917102</v>
      </c>
      <c r="J576" s="3">
        <v>74.533191353215202</v>
      </c>
      <c r="K576" s="3">
        <v>216.040507403758</v>
      </c>
      <c r="L576" s="3">
        <v>91.3310431680178</v>
      </c>
      <c r="M576" s="3">
        <v>6.0109096437640401</v>
      </c>
      <c r="N576" s="3">
        <v>79.194368678008104</v>
      </c>
      <c r="O576" s="3">
        <v>7.1725846478712398</v>
      </c>
      <c r="P576" s="3">
        <v>53.701164224888601</v>
      </c>
      <c r="Q576" s="3">
        <v>94.5649621699352</v>
      </c>
      <c r="R576" s="3" t="str">
        <f>IF(Table1[[#This Row],[Nutrition_Quality_Score]]&lt;60, "Poor Nutrition",IF(AND(Table1[[#This Row],[Nutrition_Quality_Score]]&gt;=60,Table1[[#This Row],[Nutrition_Quality_Score]]&lt;=80),"Average Nutrition", "Good Nutrition"))</f>
        <v>Good Nutrition</v>
      </c>
      <c r="S576">
        <v>1</v>
      </c>
      <c r="T576" t="str">
        <f>IF(Table1[[#This Row],[Warmup_Routine_Adherence]]=1, "Adherent","Non-Adherent")</f>
        <v>Adherent</v>
      </c>
      <c r="U576">
        <v>0</v>
      </c>
      <c r="V576" t="str">
        <f>IF(Table1[[#This Row],[Injury_Next_Season]]=1, "Injury","No Injury")</f>
        <v>No Injury</v>
      </c>
      <c r="W576" s="3">
        <v>27.064051588760002</v>
      </c>
    </row>
    <row r="577" spans="1:23" x14ac:dyDescent="0.25">
      <c r="A577" s="6">
        <v>24</v>
      </c>
      <c r="B577" s="8" t="str">
        <f>CONCATENATE(Table1[[#This Row],[Age]]," ", "years")</f>
        <v>24 years</v>
      </c>
      <c r="C577">
        <v>176</v>
      </c>
      <c r="D577">
        <v>80</v>
      </c>
      <c r="E577" t="s">
        <v>22</v>
      </c>
      <c r="F577" s="3">
        <v>10.933232435531901</v>
      </c>
      <c r="G577" s="3">
        <v>21</v>
      </c>
      <c r="H577">
        <v>2</v>
      </c>
      <c r="I577" s="3">
        <v>74.280750051301496</v>
      </c>
      <c r="J577" s="3">
        <v>88.222907741827299</v>
      </c>
      <c r="K577" s="3">
        <v>229.98474569927799</v>
      </c>
      <c r="L577" s="3">
        <v>87.856685869476095</v>
      </c>
      <c r="M577" s="3">
        <v>5.67346617159515</v>
      </c>
      <c r="N577" s="3">
        <v>93.765291787633103</v>
      </c>
      <c r="O577" s="3">
        <v>8.2380513489343592</v>
      </c>
      <c r="P577" s="3">
        <v>60.049902582142998</v>
      </c>
      <c r="Q577" s="3">
        <v>74.836259450914696</v>
      </c>
      <c r="R577" s="3" t="str">
        <f>IF(Table1[[#This Row],[Nutrition_Quality_Score]]&lt;60, "Poor Nutrition",IF(AND(Table1[[#This Row],[Nutrition_Quality_Score]]&gt;=60,Table1[[#This Row],[Nutrition_Quality_Score]]&lt;=80),"Average Nutrition", "Good Nutrition"))</f>
        <v>Average Nutrition</v>
      </c>
      <c r="S577">
        <v>1</v>
      </c>
      <c r="T577" t="str">
        <f>IF(Table1[[#This Row],[Warmup_Routine_Adherence]]=1, "Adherent","Non-Adherent")</f>
        <v>Adherent</v>
      </c>
      <c r="U577">
        <v>0</v>
      </c>
      <c r="V577" t="str">
        <f>IF(Table1[[#This Row],[Injury_Next_Season]]=1, "Injury","No Injury")</f>
        <v>No Injury</v>
      </c>
      <c r="W577" s="3">
        <v>25.8264462809917</v>
      </c>
    </row>
    <row r="578" spans="1:23" x14ac:dyDescent="0.25">
      <c r="A578" s="6">
        <v>19</v>
      </c>
      <c r="B578" s="8" t="str">
        <f>CONCATENATE(Table1[[#This Row],[Age]]," ", "years")</f>
        <v>19 years</v>
      </c>
      <c r="C578">
        <v>174</v>
      </c>
      <c r="D578">
        <v>91</v>
      </c>
      <c r="E578" t="s">
        <v>20</v>
      </c>
      <c r="F578" s="3">
        <v>9.0344145206365507</v>
      </c>
      <c r="G578" s="3">
        <v>29</v>
      </c>
      <c r="H578">
        <v>2</v>
      </c>
      <c r="I578" s="3">
        <v>60.491944291139497</v>
      </c>
      <c r="J578" s="3">
        <v>76.323234270024201</v>
      </c>
      <c r="K578" s="3">
        <v>256.89395146597701</v>
      </c>
      <c r="L578" s="3">
        <v>87.182577491119702</v>
      </c>
      <c r="M578" s="3">
        <v>5.87953474202852</v>
      </c>
      <c r="N578" s="3">
        <v>64.442268795468905</v>
      </c>
      <c r="O578" s="3">
        <v>6.9144126369185104</v>
      </c>
      <c r="P578" s="3">
        <v>73.841229768938106</v>
      </c>
      <c r="Q578" s="3">
        <v>77.541155267991996</v>
      </c>
      <c r="R578" s="3" t="str">
        <f>IF(Table1[[#This Row],[Nutrition_Quality_Score]]&lt;60, "Poor Nutrition",IF(AND(Table1[[#This Row],[Nutrition_Quality_Score]]&gt;=60,Table1[[#This Row],[Nutrition_Quality_Score]]&lt;=80),"Average Nutrition", "Good Nutrition"))</f>
        <v>Average Nutrition</v>
      </c>
      <c r="S578">
        <v>0</v>
      </c>
      <c r="T578" t="str">
        <f>IF(Table1[[#This Row],[Warmup_Routine_Adherence]]=1, "Adherent","Non-Adherent")</f>
        <v>Non-Adherent</v>
      </c>
      <c r="U578">
        <v>1</v>
      </c>
      <c r="V578" t="str">
        <f>IF(Table1[[#This Row],[Injury_Next_Season]]=1, "Injury","No Injury")</f>
        <v>Injury</v>
      </c>
      <c r="W578" s="3">
        <v>30.0568106751222</v>
      </c>
    </row>
    <row r="579" spans="1:23" x14ac:dyDescent="0.25">
      <c r="A579" s="6">
        <v>20</v>
      </c>
      <c r="B579" s="8" t="str">
        <f>CONCATENATE(Table1[[#This Row],[Age]]," ", "years")</f>
        <v>20 years</v>
      </c>
      <c r="C579">
        <v>180</v>
      </c>
      <c r="D579">
        <v>67</v>
      </c>
      <c r="E579" t="s">
        <v>20</v>
      </c>
      <c r="F579" s="3">
        <v>11.7611621085248</v>
      </c>
      <c r="G579" s="3">
        <v>17</v>
      </c>
      <c r="H579">
        <v>1</v>
      </c>
      <c r="I579" s="3">
        <v>73.290085362974395</v>
      </c>
      <c r="J579" s="3">
        <v>75.616383351886796</v>
      </c>
      <c r="K579" s="3">
        <v>249.216734604181</v>
      </c>
      <c r="L579" s="3">
        <v>81.804193600771896</v>
      </c>
      <c r="M579" s="3">
        <v>5.6989640278720497</v>
      </c>
      <c r="N579" s="3">
        <v>66.163554141853496</v>
      </c>
      <c r="O579" s="3">
        <v>6.67369117963342</v>
      </c>
      <c r="P579" s="3">
        <v>55.792771478525601</v>
      </c>
      <c r="Q579" s="3">
        <v>79.288897151007006</v>
      </c>
      <c r="R579" s="3" t="str">
        <f>IF(Table1[[#This Row],[Nutrition_Quality_Score]]&lt;60, "Poor Nutrition",IF(AND(Table1[[#This Row],[Nutrition_Quality_Score]]&gt;=60,Table1[[#This Row],[Nutrition_Quality_Score]]&lt;=80),"Average Nutrition", "Good Nutrition"))</f>
        <v>Average Nutrition</v>
      </c>
      <c r="S579">
        <v>1</v>
      </c>
      <c r="T579" t="str">
        <f>IF(Table1[[#This Row],[Warmup_Routine_Adherence]]=1, "Adherent","Non-Adherent")</f>
        <v>Adherent</v>
      </c>
      <c r="U579">
        <v>1</v>
      </c>
      <c r="V579" t="str">
        <f>IF(Table1[[#This Row],[Injury_Next_Season]]=1, "Injury","No Injury")</f>
        <v>Injury</v>
      </c>
      <c r="W579" s="3">
        <v>20.679012345678998</v>
      </c>
    </row>
    <row r="580" spans="1:23" x14ac:dyDescent="0.25">
      <c r="A580" s="6">
        <v>19</v>
      </c>
      <c r="B580" s="8" t="str">
        <f>CONCATENATE(Table1[[#This Row],[Age]]," ", "years")</f>
        <v>19 years</v>
      </c>
      <c r="C580">
        <v>174</v>
      </c>
      <c r="D580">
        <v>53</v>
      </c>
      <c r="E580" t="s">
        <v>20</v>
      </c>
      <c r="F580" s="3">
        <v>12.935380244177299</v>
      </c>
      <c r="G580" s="3">
        <v>39</v>
      </c>
      <c r="H580">
        <v>2</v>
      </c>
      <c r="I580" s="3">
        <v>76.867502812160495</v>
      </c>
      <c r="J580" s="3">
        <v>85.562935575044904</v>
      </c>
      <c r="K580" s="3">
        <v>260.24840904479902</v>
      </c>
      <c r="L580" s="3">
        <v>83.369932081473905</v>
      </c>
      <c r="M580" s="3">
        <v>6.2625825955279</v>
      </c>
      <c r="N580" s="3">
        <v>80.180271322556706</v>
      </c>
      <c r="O580" s="3">
        <v>8.3104967112831698</v>
      </c>
      <c r="P580" s="3">
        <v>52.788797428436403</v>
      </c>
      <c r="Q580" s="3">
        <v>90.953537316437604</v>
      </c>
      <c r="R580" s="3" t="str">
        <f>IF(Table1[[#This Row],[Nutrition_Quality_Score]]&lt;60, "Poor Nutrition",IF(AND(Table1[[#This Row],[Nutrition_Quality_Score]]&gt;=60,Table1[[#This Row],[Nutrition_Quality_Score]]&lt;=80),"Average Nutrition", "Good Nutrition"))</f>
        <v>Good Nutrition</v>
      </c>
      <c r="S580">
        <v>1</v>
      </c>
      <c r="T580" t="str">
        <f>IF(Table1[[#This Row],[Warmup_Routine_Adherence]]=1, "Adherent","Non-Adherent")</f>
        <v>Adherent</v>
      </c>
      <c r="U580">
        <v>0</v>
      </c>
      <c r="V580" t="str">
        <f>IF(Table1[[#This Row],[Injury_Next_Season]]=1, "Injury","No Injury")</f>
        <v>No Injury</v>
      </c>
      <c r="W580" s="3">
        <v>17.505615008587601</v>
      </c>
    </row>
    <row r="581" spans="1:23" x14ac:dyDescent="0.25">
      <c r="A581" s="6">
        <v>21</v>
      </c>
      <c r="B581" s="8" t="str">
        <f>CONCATENATE(Table1[[#This Row],[Age]]," ", "years")</f>
        <v>21 years</v>
      </c>
      <c r="C581">
        <v>188</v>
      </c>
      <c r="D581">
        <v>71</v>
      </c>
      <c r="E581" t="s">
        <v>21</v>
      </c>
      <c r="F581" s="3">
        <v>9.2999030621241907</v>
      </c>
      <c r="G581" s="3">
        <v>13</v>
      </c>
      <c r="H581">
        <v>2</v>
      </c>
      <c r="I581" s="3">
        <v>73.441993998762598</v>
      </c>
      <c r="J581" s="3">
        <v>80.841464440961701</v>
      </c>
      <c r="K581" s="3">
        <v>240.83123234484199</v>
      </c>
      <c r="L581" s="3">
        <v>93.164493835202094</v>
      </c>
      <c r="M581" s="3">
        <v>6.2964663279441897</v>
      </c>
      <c r="N581" s="3">
        <v>89.634468768329995</v>
      </c>
      <c r="O581" s="3">
        <v>8.6671144140753906</v>
      </c>
      <c r="P581" s="3">
        <v>46.040878697718298</v>
      </c>
      <c r="Q581" s="3">
        <v>84.280650504540006</v>
      </c>
      <c r="R581" s="3" t="str">
        <f>IF(Table1[[#This Row],[Nutrition_Quality_Score]]&lt;60, "Poor Nutrition",IF(AND(Table1[[#This Row],[Nutrition_Quality_Score]]&gt;=60,Table1[[#This Row],[Nutrition_Quality_Score]]&lt;=80),"Average Nutrition", "Good Nutrition"))</f>
        <v>Good Nutrition</v>
      </c>
      <c r="S581">
        <v>1</v>
      </c>
      <c r="T581" t="str">
        <f>IF(Table1[[#This Row],[Warmup_Routine_Adherence]]=1, "Adherent","Non-Adherent")</f>
        <v>Adherent</v>
      </c>
      <c r="U581">
        <v>0</v>
      </c>
      <c r="V581" t="str">
        <f>IF(Table1[[#This Row],[Injury_Next_Season]]=1, "Injury","No Injury")</f>
        <v>No Injury</v>
      </c>
      <c r="W581" s="3">
        <v>20.088275237664099</v>
      </c>
    </row>
    <row r="582" spans="1:23" x14ac:dyDescent="0.25">
      <c r="A582" s="6">
        <v>21</v>
      </c>
      <c r="B582" s="8" t="str">
        <f>CONCATENATE(Table1[[#This Row],[Age]]," ", "years")</f>
        <v>21 years</v>
      </c>
      <c r="C582">
        <v>184</v>
      </c>
      <c r="D582">
        <v>74</v>
      </c>
      <c r="E582" t="s">
        <v>20</v>
      </c>
      <c r="F582" s="3">
        <v>5.2935416555663597</v>
      </c>
      <c r="G582" s="3">
        <v>23</v>
      </c>
      <c r="H582">
        <v>0</v>
      </c>
      <c r="I582" s="3">
        <v>77.822689615525206</v>
      </c>
      <c r="J582" s="3">
        <v>84.000458453146607</v>
      </c>
      <c r="K582" s="3">
        <v>215.71227697162001</v>
      </c>
      <c r="L582" s="3">
        <v>100</v>
      </c>
      <c r="M582" s="3">
        <v>6.4348206145429199</v>
      </c>
      <c r="N582" s="3">
        <v>95.1577472933118</v>
      </c>
      <c r="O582" s="3">
        <v>7.5529357742558201</v>
      </c>
      <c r="P582" s="3">
        <v>44.114462564688097</v>
      </c>
      <c r="Q582" s="3">
        <v>88.741890655572206</v>
      </c>
      <c r="R582" s="3" t="str">
        <f>IF(Table1[[#This Row],[Nutrition_Quality_Score]]&lt;60, "Poor Nutrition",IF(AND(Table1[[#This Row],[Nutrition_Quality_Score]]&gt;=60,Table1[[#This Row],[Nutrition_Quality_Score]]&lt;=80),"Average Nutrition", "Good Nutrition"))</f>
        <v>Good Nutrition</v>
      </c>
      <c r="S582">
        <v>1</v>
      </c>
      <c r="T582" t="str">
        <f>IF(Table1[[#This Row],[Warmup_Routine_Adherence]]=1, "Adherent","Non-Adherent")</f>
        <v>Adherent</v>
      </c>
      <c r="U582">
        <v>0</v>
      </c>
      <c r="V582" t="str">
        <f>IF(Table1[[#This Row],[Injury_Next_Season]]=1, "Injury","No Injury")</f>
        <v>No Injury</v>
      </c>
      <c r="W582" s="3">
        <v>21.8572778827977</v>
      </c>
    </row>
    <row r="583" spans="1:23" x14ac:dyDescent="0.25">
      <c r="A583" s="6">
        <v>22</v>
      </c>
      <c r="B583" s="8" t="str">
        <f>CONCATENATE(Table1[[#This Row],[Age]]," ", "years")</f>
        <v>22 years</v>
      </c>
      <c r="C583">
        <v>166</v>
      </c>
      <c r="D583">
        <v>82</v>
      </c>
      <c r="E583" t="s">
        <v>22</v>
      </c>
      <c r="F583" s="3">
        <v>12.2058244825686</v>
      </c>
      <c r="G583" s="3">
        <v>22</v>
      </c>
      <c r="H583">
        <v>0</v>
      </c>
      <c r="I583" s="3">
        <v>64.957765217412799</v>
      </c>
      <c r="J583" s="3">
        <v>70.767731297398001</v>
      </c>
      <c r="K583" s="3">
        <v>247.529265098537</v>
      </c>
      <c r="L583" s="3">
        <v>81.787905984579098</v>
      </c>
      <c r="M583" s="3">
        <v>5.8716083724779997</v>
      </c>
      <c r="N583" s="3">
        <v>86.519843309945998</v>
      </c>
      <c r="O583" s="3">
        <v>7.17964981336889</v>
      </c>
      <c r="P583" s="3">
        <v>38.091891708488603</v>
      </c>
      <c r="Q583" s="3">
        <v>64.006660211842998</v>
      </c>
      <c r="R583" s="3" t="str">
        <f>IF(Table1[[#This Row],[Nutrition_Quality_Score]]&lt;60, "Poor Nutrition",IF(AND(Table1[[#This Row],[Nutrition_Quality_Score]]&gt;=60,Table1[[#This Row],[Nutrition_Quality_Score]]&lt;=80),"Average Nutrition", "Good Nutrition"))</f>
        <v>Average Nutrition</v>
      </c>
      <c r="S583">
        <v>1</v>
      </c>
      <c r="T583" t="str">
        <f>IF(Table1[[#This Row],[Warmup_Routine_Adherence]]=1, "Adherent","Non-Adherent")</f>
        <v>Adherent</v>
      </c>
      <c r="U583">
        <v>1</v>
      </c>
      <c r="V583" t="str">
        <f>IF(Table1[[#This Row],[Injury_Next_Season]]=1, "Injury","No Injury")</f>
        <v>Injury</v>
      </c>
      <c r="W583" s="3">
        <v>29.757584555087799</v>
      </c>
    </row>
    <row r="584" spans="1:23" x14ac:dyDescent="0.25">
      <c r="A584" s="6">
        <v>21</v>
      </c>
      <c r="B584" s="8" t="str">
        <f>CONCATENATE(Table1[[#This Row],[Age]]," ", "years")</f>
        <v>21 years</v>
      </c>
      <c r="C584">
        <v>174</v>
      </c>
      <c r="D584">
        <v>68</v>
      </c>
      <c r="E584" t="s">
        <v>20</v>
      </c>
      <c r="F584" s="3">
        <v>5.3487590830781402</v>
      </c>
      <c r="G584" s="3">
        <v>6</v>
      </c>
      <c r="H584">
        <v>0</v>
      </c>
      <c r="I584" s="3">
        <v>82.277386635132004</v>
      </c>
      <c r="J584" s="3">
        <v>81.884307941486597</v>
      </c>
      <c r="K584" s="3">
        <v>266.70091859609602</v>
      </c>
      <c r="L584" s="3">
        <v>93.135499541163099</v>
      </c>
      <c r="M584" s="3">
        <v>6.4333718896426699</v>
      </c>
      <c r="N584" s="3">
        <v>81.125004210741594</v>
      </c>
      <c r="O584" s="3">
        <v>7.9723176671914997</v>
      </c>
      <c r="P584" s="3">
        <v>50.951090668534199</v>
      </c>
      <c r="Q584" s="3">
        <v>80.753389828723002</v>
      </c>
      <c r="R584" s="3" t="str">
        <f>IF(Table1[[#This Row],[Nutrition_Quality_Score]]&lt;60, "Poor Nutrition",IF(AND(Table1[[#This Row],[Nutrition_Quality_Score]]&gt;=60,Table1[[#This Row],[Nutrition_Quality_Score]]&lt;=80),"Average Nutrition", "Good Nutrition"))</f>
        <v>Good Nutrition</v>
      </c>
      <c r="S584">
        <v>0</v>
      </c>
      <c r="T584" t="str">
        <f>IF(Table1[[#This Row],[Warmup_Routine_Adherence]]=1, "Adherent","Non-Adherent")</f>
        <v>Non-Adherent</v>
      </c>
      <c r="U584">
        <v>0</v>
      </c>
      <c r="V584" t="str">
        <f>IF(Table1[[#This Row],[Injury_Next_Season]]=1, "Injury","No Injury")</f>
        <v>No Injury</v>
      </c>
      <c r="W584" s="3">
        <v>22.460034350640701</v>
      </c>
    </row>
    <row r="585" spans="1:23" x14ac:dyDescent="0.25">
      <c r="A585" s="6">
        <v>21</v>
      </c>
      <c r="B585" s="8" t="str">
        <f>CONCATENATE(Table1[[#This Row],[Age]]," ", "years")</f>
        <v>21 years</v>
      </c>
      <c r="C585">
        <v>184</v>
      </c>
      <c r="D585">
        <v>77</v>
      </c>
      <c r="E585" t="s">
        <v>21</v>
      </c>
      <c r="F585" s="3">
        <v>18.866608420604098</v>
      </c>
      <c r="G585" s="3">
        <v>31</v>
      </c>
      <c r="H585">
        <v>2</v>
      </c>
      <c r="I585" s="3">
        <v>63.900675791737399</v>
      </c>
      <c r="J585" s="3">
        <v>80.644099062354897</v>
      </c>
      <c r="K585" s="3">
        <v>240.40363752282499</v>
      </c>
      <c r="L585" s="3">
        <v>85.711524794697596</v>
      </c>
      <c r="M585" s="3">
        <v>5.9394251369931004</v>
      </c>
      <c r="N585" s="3">
        <v>76.313000538100397</v>
      </c>
      <c r="O585" s="3">
        <v>7.1008696638137403</v>
      </c>
      <c r="P585" s="3">
        <v>63.444397428732799</v>
      </c>
      <c r="Q585" s="3">
        <v>65.901036822001402</v>
      </c>
      <c r="R585" s="3" t="str">
        <f>IF(Table1[[#This Row],[Nutrition_Quality_Score]]&lt;60, "Poor Nutrition",IF(AND(Table1[[#This Row],[Nutrition_Quality_Score]]&gt;=60,Table1[[#This Row],[Nutrition_Quality_Score]]&lt;=80),"Average Nutrition", "Good Nutrition"))</f>
        <v>Average Nutrition</v>
      </c>
      <c r="S585">
        <v>0</v>
      </c>
      <c r="T585" t="str">
        <f>IF(Table1[[#This Row],[Warmup_Routine_Adherence]]=1, "Adherent","Non-Adherent")</f>
        <v>Non-Adherent</v>
      </c>
      <c r="U585">
        <v>1</v>
      </c>
      <c r="V585" t="str">
        <f>IF(Table1[[#This Row],[Injury_Next_Season]]=1, "Injury","No Injury")</f>
        <v>Injury</v>
      </c>
      <c r="W585" s="3">
        <v>22.743383742911099</v>
      </c>
    </row>
    <row r="586" spans="1:23" x14ac:dyDescent="0.25">
      <c r="A586" s="6">
        <v>20</v>
      </c>
      <c r="B586" s="8" t="str">
        <f>CONCATENATE(Table1[[#This Row],[Age]]," ", "years")</f>
        <v>20 years</v>
      </c>
      <c r="C586">
        <v>187</v>
      </c>
      <c r="D586">
        <v>72</v>
      </c>
      <c r="E586" t="s">
        <v>20</v>
      </c>
      <c r="F586" s="3">
        <v>11.773858127753799</v>
      </c>
      <c r="G586" s="3">
        <v>33</v>
      </c>
      <c r="H586">
        <v>3</v>
      </c>
      <c r="I586" s="3">
        <v>76.612381815610107</v>
      </c>
      <c r="J586" s="3">
        <v>65.596489705943597</v>
      </c>
      <c r="K586" s="3">
        <v>279.55209540409101</v>
      </c>
      <c r="L586" s="3">
        <v>93.007373816409796</v>
      </c>
      <c r="M586" s="3">
        <v>5.43260436359349</v>
      </c>
      <c r="N586" s="3">
        <v>64.656332154885405</v>
      </c>
      <c r="O586" s="3">
        <v>6.9548568523203196</v>
      </c>
      <c r="P586" s="3">
        <v>61.619218459804401</v>
      </c>
      <c r="Q586" s="3">
        <v>80.466555140549005</v>
      </c>
      <c r="R586" s="3" t="str">
        <f>IF(Table1[[#This Row],[Nutrition_Quality_Score]]&lt;60, "Poor Nutrition",IF(AND(Table1[[#This Row],[Nutrition_Quality_Score]]&gt;=60,Table1[[#This Row],[Nutrition_Quality_Score]]&lt;=80),"Average Nutrition", "Good Nutrition"))</f>
        <v>Good Nutrition</v>
      </c>
      <c r="S586">
        <v>1</v>
      </c>
      <c r="T586" t="str">
        <f>IF(Table1[[#This Row],[Warmup_Routine_Adherence]]=1, "Adherent","Non-Adherent")</f>
        <v>Adherent</v>
      </c>
      <c r="U586">
        <v>1</v>
      </c>
      <c r="V586" t="str">
        <f>IF(Table1[[#This Row],[Injury_Next_Season]]=1, "Injury","No Injury")</f>
        <v>Injury</v>
      </c>
      <c r="W586" s="3">
        <v>20.589665131974002</v>
      </c>
    </row>
    <row r="587" spans="1:23" x14ac:dyDescent="0.25">
      <c r="A587" s="6">
        <v>20</v>
      </c>
      <c r="B587" s="8" t="str">
        <f>CONCATENATE(Table1[[#This Row],[Age]]," ", "years")</f>
        <v>20 years</v>
      </c>
      <c r="C587">
        <v>177</v>
      </c>
      <c r="D587">
        <v>65</v>
      </c>
      <c r="E587" t="s">
        <v>21</v>
      </c>
      <c r="F587" s="3">
        <v>11.032923337401501</v>
      </c>
      <c r="G587" s="3">
        <v>18</v>
      </c>
      <c r="H587">
        <v>3</v>
      </c>
      <c r="I587" s="3">
        <v>80.197386872203097</v>
      </c>
      <c r="J587" s="3">
        <v>80.045320882102899</v>
      </c>
      <c r="K587" s="3">
        <v>236.64799875207501</v>
      </c>
      <c r="L587" s="3">
        <v>83.962796253770605</v>
      </c>
      <c r="M587" s="3">
        <v>5.7872585905311702</v>
      </c>
      <c r="N587" s="3">
        <v>77.968420230637804</v>
      </c>
      <c r="O587" s="3">
        <v>5.9205227047140196</v>
      </c>
      <c r="P587" s="3">
        <v>50.611510970255097</v>
      </c>
      <c r="Q587" s="3">
        <v>57.935569513766197</v>
      </c>
      <c r="R587" s="3" t="str">
        <f>IF(Table1[[#This Row],[Nutrition_Quality_Score]]&lt;60, "Poor Nutrition",IF(AND(Table1[[#This Row],[Nutrition_Quality_Score]]&gt;=60,Table1[[#This Row],[Nutrition_Quality_Score]]&lt;=80),"Average Nutrition", "Good Nutrition"))</f>
        <v>Poor Nutrition</v>
      </c>
      <c r="S587">
        <v>0</v>
      </c>
      <c r="T587" t="str">
        <f>IF(Table1[[#This Row],[Warmup_Routine_Adherence]]=1, "Adherent","Non-Adherent")</f>
        <v>Non-Adherent</v>
      </c>
      <c r="U587">
        <v>1</v>
      </c>
      <c r="V587" t="str">
        <f>IF(Table1[[#This Row],[Injury_Next_Season]]=1, "Injury","No Injury")</f>
        <v>Injury</v>
      </c>
      <c r="W587" s="3">
        <v>20.747550193111799</v>
      </c>
    </row>
    <row r="588" spans="1:23" x14ac:dyDescent="0.25">
      <c r="A588" s="6">
        <v>20</v>
      </c>
      <c r="B588" s="8" t="str">
        <f>CONCATENATE(Table1[[#This Row],[Age]]," ", "years")</f>
        <v>20 years</v>
      </c>
      <c r="C588">
        <v>187</v>
      </c>
      <c r="D588">
        <v>65</v>
      </c>
      <c r="E588" t="s">
        <v>21</v>
      </c>
      <c r="F588" s="3">
        <v>11.5971001525795</v>
      </c>
      <c r="G588" s="3">
        <v>34</v>
      </c>
      <c r="H588">
        <v>1</v>
      </c>
      <c r="I588" s="3">
        <v>89.304475908218194</v>
      </c>
      <c r="J588" s="3">
        <v>82.642018260192998</v>
      </c>
      <c r="K588" s="3">
        <v>255.12114807335999</v>
      </c>
      <c r="L588" s="3">
        <v>96.905571516679103</v>
      </c>
      <c r="M588" s="3">
        <v>5.7327417649967698</v>
      </c>
      <c r="N588" s="3">
        <v>87.424300769938498</v>
      </c>
      <c r="O588" s="3">
        <v>7.0737313397705401</v>
      </c>
      <c r="P588" s="3">
        <v>41.619807413181199</v>
      </c>
      <c r="Q588" s="3">
        <v>89.241248962131905</v>
      </c>
      <c r="R588" s="3" t="str">
        <f>IF(Table1[[#This Row],[Nutrition_Quality_Score]]&lt;60, "Poor Nutrition",IF(AND(Table1[[#This Row],[Nutrition_Quality_Score]]&gt;=60,Table1[[#This Row],[Nutrition_Quality_Score]]&lt;=80),"Average Nutrition", "Good Nutrition"))</f>
        <v>Good Nutrition</v>
      </c>
      <c r="S588">
        <v>0</v>
      </c>
      <c r="T588" t="str">
        <f>IF(Table1[[#This Row],[Warmup_Routine_Adherence]]=1, "Adherent","Non-Adherent")</f>
        <v>Non-Adherent</v>
      </c>
      <c r="U588">
        <v>0</v>
      </c>
      <c r="V588" t="str">
        <f>IF(Table1[[#This Row],[Injury_Next_Season]]=1, "Injury","No Injury")</f>
        <v>No Injury</v>
      </c>
      <c r="W588" s="3">
        <v>18.587892133032099</v>
      </c>
    </row>
    <row r="589" spans="1:23" x14ac:dyDescent="0.25">
      <c r="A589" s="6">
        <v>21</v>
      </c>
      <c r="B589" s="8" t="str">
        <f>CONCATENATE(Table1[[#This Row],[Age]]," ", "years")</f>
        <v>21 years</v>
      </c>
      <c r="C589">
        <v>178</v>
      </c>
      <c r="D589">
        <v>82</v>
      </c>
      <c r="E589" t="s">
        <v>20</v>
      </c>
      <c r="F589" s="3">
        <v>8.8628200354323194</v>
      </c>
      <c r="G589" s="3">
        <v>33</v>
      </c>
      <c r="H589">
        <v>0</v>
      </c>
      <c r="I589" s="3">
        <v>74.973867340078399</v>
      </c>
      <c r="J589" s="3">
        <v>77.124189203134193</v>
      </c>
      <c r="K589" s="3">
        <v>261.69083757407202</v>
      </c>
      <c r="L589" s="3">
        <v>83.002855396222998</v>
      </c>
      <c r="M589" s="3">
        <v>5.4352759563343902</v>
      </c>
      <c r="N589" s="3">
        <v>78.172342533335197</v>
      </c>
      <c r="O589" s="3">
        <v>7.2731719223983502</v>
      </c>
      <c r="P589" s="3">
        <v>59.433334829750201</v>
      </c>
      <c r="Q589" s="3">
        <v>70.402329882675701</v>
      </c>
      <c r="R589" s="3" t="str">
        <f>IF(Table1[[#This Row],[Nutrition_Quality_Score]]&lt;60, "Poor Nutrition",IF(AND(Table1[[#This Row],[Nutrition_Quality_Score]]&gt;=60,Table1[[#This Row],[Nutrition_Quality_Score]]&lt;=80),"Average Nutrition", "Good Nutrition"))</f>
        <v>Average Nutrition</v>
      </c>
      <c r="S589">
        <v>0</v>
      </c>
      <c r="T589" t="str">
        <f>IF(Table1[[#This Row],[Warmup_Routine_Adherence]]=1, "Adherent","Non-Adherent")</f>
        <v>Non-Adherent</v>
      </c>
      <c r="U589">
        <v>1</v>
      </c>
      <c r="V589" t="str">
        <f>IF(Table1[[#This Row],[Injury_Next_Season]]=1, "Injury","No Injury")</f>
        <v>Injury</v>
      </c>
      <c r="W589" s="3">
        <v>25.880570635020799</v>
      </c>
    </row>
    <row r="590" spans="1:23" x14ac:dyDescent="0.25">
      <c r="A590" s="6">
        <v>21</v>
      </c>
      <c r="B590" s="8" t="str">
        <f>CONCATENATE(Table1[[#This Row],[Age]]," ", "years")</f>
        <v>21 years</v>
      </c>
      <c r="C590">
        <v>168</v>
      </c>
      <c r="D590">
        <v>77</v>
      </c>
      <c r="E590" t="s">
        <v>21</v>
      </c>
      <c r="F590" s="3">
        <v>11.579370801539699</v>
      </c>
      <c r="G590" s="3">
        <v>36</v>
      </c>
      <c r="H590">
        <v>2</v>
      </c>
      <c r="I590" s="3">
        <v>69.645291790957899</v>
      </c>
      <c r="J590" s="3">
        <v>83.144428800487404</v>
      </c>
      <c r="K590" s="3">
        <v>243.22607831103801</v>
      </c>
      <c r="L590" s="3">
        <v>86.086257440092396</v>
      </c>
      <c r="M590" s="3">
        <v>6.5600055655743903</v>
      </c>
      <c r="N590" s="3">
        <v>79.094056703686505</v>
      </c>
      <c r="O590" s="3">
        <v>6.5391378594582896</v>
      </c>
      <c r="P590" s="3">
        <v>52.129086697629603</v>
      </c>
      <c r="Q590" s="3">
        <v>79.555738298158403</v>
      </c>
      <c r="R590" s="3" t="str">
        <f>IF(Table1[[#This Row],[Nutrition_Quality_Score]]&lt;60, "Poor Nutrition",IF(AND(Table1[[#This Row],[Nutrition_Quality_Score]]&gt;=60,Table1[[#This Row],[Nutrition_Quality_Score]]&lt;=80),"Average Nutrition", "Good Nutrition"))</f>
        <v>Average Nutrition</v>
      </c>
      <c r="S590">
        <v>1</v>
      </c>
      <c r="T590" t="str">
        <f>IF(Table1[[#This Row],[Warmup_Routine_Adherence]]=1, "Adherent","Non-Adherent")</f>
        <v>Adherent</v>
      </c>
      <c r="U590">
        <v>0</v>
      </c>
      <c r="V590" t="str">
        <f>IF(Table1[[#This Row],[Injury_Next_Season]]=1, "Injury","No Injury")</f>
        <v>No Injury</v>
      </c>
      <c r="W590" s="3">
        <v>27.281746031746</v>
      </c>
    </row>
    <row r="591" spans="1:23" x14ac:dyDescent="0.25">
      <c r="A591" s="6">
        <v>22</v>
      </c>
      <c r="B591" s="8" t="str">
        <f>CONCATENATE(Table1[[#This Row],[Age]]," ", "years")</f>
        <v>22 years</v>
      </c>
      <c r="C591">
        <v>189</v>
      </c>
      <c r="D591">
        <v>65</v>
      </c>
      <c r="E591" t="s">
        <v>22</v>
      </c>
      <c r="F591" s="3">
        <v>6.3116742868867597</v>
      </c>
      <c r="G591" s="3">
        <v>16</v>
      </c>
      <c r="H591">
        <v>2</v>
      </c>
      <c r="I591" s="3">
        <v>73.689296840265897</v>
      </c>
      <c r="J591" s="3">
        <v>73.755737121869103</v>
      </c>
      <c r="K591" s="3">
        <v>276.671276873274</v>
      </c>
      <c r="L591" s="3">
        <v>73.830194638803107</v>
      </c>
      <c r="M591" s="3">
        <v>5.6741125886323696</v>
      </c>
      <c r="N591" s="3">
        <v>67.149686243480105</v>
      </c>
      <c r="O591" s="3">
        <v>6.7588502710455902</v>
      </c>
      <c r="P591" s="3">
        <v>59.3204563157759</v>
      </c>
      <c r="Q591" s="3">
        <v>89.098766242508503</v>
      </c>
      <c r="R591" s="3" t="str">
        <f>IF(Table1[[#This Row],[Nutrition_Quality_Score]]&lt;60, "Poor Nutrition",IF(AND(Table1[[#This Row],[Nutrition_Quality_Score]]&gt;=60,Table1[[#This Row],[Nutrition_Quality_Score]]&lt;=80),"Average Nutrition", "Good Nutrition"))</f>
        <v>Good Nutrition</v>
      </c>
      <c r="S591">
        <v>0</v>
      </c>
      <c r="T591" t="str">
        <f>IF(Table1[[#This Row],[Warmup_Routine_Adherence]]=1, "Adherent","Non-Adherent")</f>
        <v>Non-Adherent</v>
      </c>
      <c r="U591">
        <v>1</v>
      </c>
      <c r="V591" t="str">
        <f>IF(Table1[[#This Row],[Injury_Next_Season]]=1, "Injury","No Injury")</f>
        <v>Injury</v>
      </c>
      <c r="W591" s="3">
        <v>18.196579043139799</v>
      </c>
    </row>
    <row r="592" spans="1:23" x14ac:dyDescent="0.25">
      <c r="A592" s="6">
        <v>23</v>
      </c>
      <c r="B592" s="8" t="str">
        <f>CONCATENATE(Table1[[#This Row],[Age]]," ", "years")</f>
        <v>23 years</v>
      </c>
      <c r="C592">
        <v>177</v>
      </c>
      <c r="D592">
        <v>79</v>
      </c>
      <c r="E592" t="s">
        <v>19</v>
      </c>
      <c r="F592" s="3">
        <v>13.5792369151839</v>
      </c>
      <c r="G592" s="3">
        <v>28</v>
      </c>
      <c r="H592">
        <v>2</v>
      </c>
      <c r="I592" s="3">
        <v>73.075185035159805</v>
      </c>
      <c r="J592" s="3">
        <v>85.941410676871698</v>
      </c>
      <c r="K592" s="3">
        <v>244.122230233278</v>
      </c>
      <c r="L592" s="3">
        <v>73.526932672210904</v>
      </c>
      <c r="M592" s="3">
        <v>5.5636211320674596</v>
      </c>
      <c r="N592" s="3">
        <v>71.438273590008606</v>
      </c>
      <c r="O592" s="3">
        <v>6.0883594463766997</v>
      </c>
      <c r="P592" s="3">
        <v>53.668118770297703</v>
      </c>
      <c r="Q592" s="3">
        <v>76.602107666057293</v>
      </c>
      <c r="R592" s="3" t="str">
        <f>IF(Table1[[#This Row],[Nutrition_Quality_Score]]&lt;60, "Poor Nutrition",IF(AND(Table1[[#This Row],[Nutrition_Quality_Score]]&gt;=60,Table1[[#This Row],[Nutrition_Quality_Score]]&lt;=80),"Average Nutrition", "Good Nutrition"))</f>
        <v>Average Nutrition</v>
      </c>
      <c r="S592">
        <v>1</v>
      </c>
      <c r="T592" t="str">
        <f>IF(Table1[[#This Row],[Warmup_Routine_Adherence]]=1, "Adherent","Non-Adherent")</f>
        <v>Adherent</v>
      </c>
      <c r="U592">
        <v>1</v>
      </c>
      <c r="V592" t="str">
        <f>IF(Table1[[#This Row],[Injury_Next_Season]]=1, "Injury","No Injury")</f>
        <v>Injury</v>
      </c>
      <c r="W592" s="3">
        <v>25.216253311628201</v>
      </c>
    </row>
    <row r="593" spans="1:23" x14ac:dyDescent="0.25">
      <c r="A593" s="6">
        <v>24</v>
      </c>
      <c r="B593" s="8" t="str">
        <f>CONCATENATE(Table1[[#This Row],[Age]]," ", "years")</f>
        <v>24 years</v>
      </c>
      <c r="C593">
        <v>167</v>
      </c>
      <c r="D593">
        <v>70</v>
      </c>
      <c r="E593" t="s">
        <v>22</v>
      </c>
      <c r="F593" s="3">
        <v>14.1135670678081</v>
      </c>
      <c r="G593" s="3">
        <v>9</v>
      </c>
      <c r="H593">
        <v>0</v>
      </c>
      <c r="I593" s="3">
        <v>69.040135166255197</v>
      </c>
      <c r="J593" s="3">
        <v>74.058058860459298</v>
      </c>
      <c r="K593" s="3">
        <v>283.30130728599499</v>
      </c>
      <c r="L593" s="3">
        <v>80.775426572591002</v>
      </c>
      <c r="M593" s="3">
        <v>5.8084185449810599</v>
      </c>
      <c r="N593" s="3">
        <v>73.111349963282905</v>
      </c>
      <c r="O593" s="3">
        <v>5.5694978613505004</v>
      </c>
      <c r="P593" s="3">
        <v>61.562675513503102</v>
      </c>
      <c r="Q593" s="3">
        <v>67.993847502941094</v>
      </c>
      <c r="R593" s="3" t="str">
        <f>IF(Table1[[#This Row],[Nutrition_Quality_Score]]&lt;60, "Poor Nutrition",IF(AND(Table1[[#This Row],[Nutrition_Quality_Score]]&gt;=60,Table1[[#This Row],[Nutrition_Quality_Score]]&lt;=80),"Average Nutrition", "Good Nutrition"))</f>
        <v>Average Nutrition</v>
      </c>
      <c r="S593">
        <v>1</v>
      </c>
      <c r="T593" t="str">
        <f>IF(Table1[[#This Row],[Warmup_Routine_Adherence]]=1, "Adherent","Non-Adherent")</f>
        <v>Adherent</v>
      </c>
      <c r="U593">
        <v>1</v>
      </c>
      <c r="V593" t="str">
        <f>IF(Table1[[#This Row],[Injury_Next_Season]]=1, "Injury","No Injury")</f>
        <v>Injury</v>
      </c>
      <c r="W593" s="3">
        <v>25.099501595611098</v>
      </c>
    </row>
    <row r="594" spans="1:23" x14ac:dyDescent="0.25">
      <c r="A594" s="6">
        <v>23</v>
      </c>
      <c r="B594" s="8" t="str">
        <f>CONCATENATE(Table1[[#This Row],[Age]]," ", "years")</f>
        <v>23 years</v>
      </c>
      <c r="C594">
        <v>178</v>
      </c>
      <c r="D594">
        <v>75</v>
      </c>
      <c r="E594" t="s">
        <v>19</v>
      </c>
      <c r="F594" s="3">
        <v>11.087301213197</v>
      </c>
      <c r="G594" s="3">
        <v>29</v>
      </c>
      <c r="H594">
        <v>2</v>
      </c>
      <c r="I594" s="3">
        <v>85.246422717133498</v>
      </c>
      <c r="J594" s="3">
        <v>84.442197252762099</v>
      </c>
      <c r="K594" s="3">
        <v>232.23147769690999</v>
      </c>
      <c r="L594" s="3">
        <v>83.999497591391702</v>
      </c>
      <c r="M594" s="3">
        <v>6.0585586378915597</v>
      </c>
      <c r="N594" s="3">
        <v>86.321058865837799</v>
      </c>
      <c r="O594" s="3">
        <v>7.16940899795389</v>
      </c>
      <c r="P594" s="3">
        <v>52.263507397567899</v>
      </c>
      <c r="Q594" s="3">
        <v>77.375363458421802</v>
      </c>
      <c r="R594" s="3" t="str">
        <f>IF(Table1[[#This Row],[Nutrition_Quality_Score]]&lt;60, "Poor Nutrition",IF(AND(Table1[[#This Row],[Nutrition_Quality_Score]]&gt;=60,Table1[[#This Row],[Nutrition_Quality_Score]]&lt;=80),"Average Nutrition", "Good Nutrition"))</f>
        <v>Average Nutrition</v>
      </c>
      <c r="S594">
        <v>1</v>
      </c>
      <c r="T594" t="str">
        <f>IF(Table1[[#This Row],[Warmup_Routine_Adherence]]=1, "Adherent","Non-Adherent")</f>
        <v>Adherent</v>
      </c>
      <c r="U594">
        <v>0</v>
      </c>
      <c r="V594" t="str">
        <f>IF(Table1[[#This Row],[Injury_Next_Season]]=1, "Injury","No Injury")</f>
        <v>No Injury</v>
      </c>
      <c r="W594" s="3">
        <v>23.671253629592201</v>
      </c>
    </row>
    <row r="595" spans="1:23" x14ac:dyDescent="0.25">
      <c r="A595" s="6">
        <v>21</v>
      </c>
      <c r="B595" s="8" t="str">
        <f>CONCATENATE(Table1[[#This Row],[Age]]," ", "years")</f>
        <v>21 years</v>
      </c>
      <c r="C595">
        <v>184</v>
      </c>
      <c r="D595">
        <v>72</v>
      </c>
      <c r="E595" t="s">
        <v>19</v>
      </c>
      <c r="F595" s="3">
        <v>13.042976658856</v>
      </c>
      <c r="G595" s="3">
        <v>24</v>
      </c>
      <c r="H595">
        <v>4</v>
      </c>
      <c r="I595" s="3">
        <v>67.403529226798</v>
      </c>
      <c r="J595" s="3">
        <v>75.992650853242495</v>
      </c>
      <c r="K595" s="3">
        <v>265.717421135969</v>
      </c>
      <c r="L595" s="3">
        <v>68.979218111030903</v>
      </c>
      <c r="M595" s="3">
        <v>5.6975550708782396</v>
      </c>
      <c r="N595" s="3">
        <v>89.799414623054602</v>
      </c>
      <c r="O595" s="3">
        <v>6.9507552895267404</v>
      </c>
      <c r="P595" s="3">
        <v>67.305191597929706</v>
      </c>
      <c r="Q595" s="3">
        <v>72.787591657886495</v>
      </c>
      <c r="R595" s="3" t="str">
        <f>IF(Table1[[#This Row],[Nutrition_Quality_Score]]&lt;60, "Poor Nutrition",IF(AND(Table1[[#This Row],[Nutrition_Quality_Score]]&gt;=60,Table1[[#This Row],[Nutrition_Quality_Score]]&lt;=80),"Average Nutrition", "Good Nutrition"))</f>
        <v>Average Nutrition</v>
      </c>
      <c r="S595">
        <v>1</v>
      </c>
      <c r="T595" t="str">
        <f>IF(Table1[[#This Row],[Warmup_Routine_Adherence]]=1, "Adherent","Non-Adherent")</f>
        <v>Adherent</v>
      </c>
      <c r="U595">
        <v>1</v>
      </c>
      <c r="V595" t="str">
        <f>IF(Table1[[#This Row],[Injury_Next_Season]]=1, "Injury","No Injury")</f>
        <v>Injury</v>
      </c>
      <c r="W595" s="3">
        <v>21.266540642722099</v>
      </c>
    </row>
    <row r="596" spans="1:23" x14ac:dyDescent="0.25">
      <c r="A596" s="6">
        <v>18</v>
      </c>
      <c r="B596" s="8" t="str">
        <f>CONCATENATE(Table1[[#This Row],[Age]]," ", "years")</f>
        <v>18 years</v>
      </c>
      <c r="C596">
        <v>169</v>
      </c>
      <c r="D596">
        <v>71</v>
      </c>
      <c r="E596" t="s">
        <v>19</v>
      </c>
      <c r="F596" s="3">
        <v>13.808557549238101</v>
      </c>
      <c r="G596" s="3">
        <v>38</v>
      </c>
      <c r="H596">
        <v>1</v>
      </c>
      <c r="I596" s="3">
        <v>56.6644815250609</v>
      </c>
      <c r="J596" s="3">
        <v>73.278333785901495</v>
      </c>
      <c r="K596" s="3">
        <v>263.96242663060099</v>
      </c>
      <c r="L596" s="3">
        <v>86.866006879262201</v>
      </c>
      <c r="M596" s="3">
        <v>5.8072813820092701</v>
      </c>
      <c r="N596" s="3">
        <v>73.617716740780693</v>
      </c>
      <c r="O596" s="3">
        <v>5.8246222118739501</v>
      </c>
      <c r="P596" s="3">
        <v>61.349900066954298</v>
      </c>
      <c r="Q596" s="3">
        <v>76.774574517485405</v>
      </c>
      <c r="R596" s="3" t="str">
        <f>IF(Table1[[#This Row],[Nutrition_Quality_Score]]&lt;60, "Poor Nutrition",IF(AND(Table1[[#This Row],[Nutrition_Quality_Score]]&gt;=60,Table1[[#This Row],[Nutrition_Quality_Score]]&lt;=80),"Average Nutrition", "Good Nutrition"))</f>
        <v>Average Nutrition</v>
      </c>
      <c r="S596">
        <v>1</v>
      </c>
      <c r="T596" t="str">
        <f>IF(Table1[[#This Row],[Warmup_Routine_Adherence]]=1, "Adherent","Non-Adherent")</f>
        <v>Adherent</v>
      </c>
      <c r="U596">
        <v>1</v>
      </c>
      <c r="V596" t="str">
        <f>IF(Table1[[#This Row],[Injury_Next_Season]]=1, "Injury","No Injury")</f>
        <v>Injury</v>
      </c>
      <c r="W596" s="3">
        <v>24.85907356185</v>
      </c>
    </row>
    <row r="597" spans="1:23" x14ac:dyDescent="0.25">
      <c r="A597" s="6">
        <v>20</v>
      </c>
      <c r="B597" s="8" t="str">
        <f>CONCATENATE(Table1[[#This Row],[Age]]," ", "years")</f>
        <v>20 years</v>
      </c>
      <c r="C597">
        <v>177</v>
      </c>
      <c r="D597">
        <v>85</v>
      </c>
      <c r="E597" t="s">
        <v>19</v>
      </c>
      <c r="F597" s="3">
        <v>9.5766116076070205</v>
      </c>
      <c r="G597" s="3">
        <v>31</v>
      </c>
      <c r="H597">
        <v>1</v>
      </c>
      <c r="I597" s="3">
        <v>66.336396986422301</v>
      </c>
      <c r="J597" s="3">
        <v>64.579089805912801</v>
      </c>
      <c r="K597" s="3">
        <v>239.16659218613299</v>
      </c>
      <c r="L597" s="3">
        <v>78.602723500528896</v>
      </c>
      <c r="M597" s="3">
        <v>5.5164698481002397</v>
      </c>
      <c r="N597" s="3">
        <v>74.284448534536395</v>
      </c>
      <c r="O597" s="3">
        <v>7.0624407493066998</v>
      </c>
      <c r="P597" s="3">
        <v>50.9608774664202</v>
      </c>
      <c r="Q597" s="3">
        <v>82.320332357401597</v>
      </c>
      <c r="R597" s="3" t="str">
        <f>IF(Table1[[#This Row],[Nutrition_Quality_Score]]&lt;60, "Poor Nutrition",IF(AND(Table1[[#This Row],[Nutrition_Quality_Score]]&gt;=60,Table1[[#This Row],[Nutrition_Quality_Score]]&lt;=80),"Average Nutrition", "Good Nutrition"))</f>
        <v>Good Nutrition</v>
      </c>
      <c r="S597">
        <v>1</v>
      </c>
      <c r="T597" t="str">
        <f>IF(Table1[[#This Row],[Warmup_Routine_Adherence]]=1, "Adherent","Non-Adherent")</f>
        <v>Adherent</v>
      </c>
      <c r="U597">
        <v>1</v>
      </c>
      <c r="V597" t="str">
        <f>IF(Table1[[#This Row],[Injury_Next_Season]]=1, "Injury","No Injury")</f>
        <v>Injury</v>
      </c>
      <c r="W597" s="3">
        <v>27.131411790992299</v>
      </c>
    </row>
    <row r="598" spans="1:23" x14ac:dyDescent="0.25">
      <c r="A598" s="6">
        <v>18</v>
      </c>
      <c r="B598" s="8" t="str">
        <f>CONCATENATE(Table1[[#This Row],[Age]]," ", "years")</f>
        <v>18 years</v>
      </c>
      <c r="C598">
        <v>178</v>
      </c>
      <c r="D598">
        <v>76</v>
      </c>
      <c r="E598" t="s">
        <v>21</v>
      </c>
      <c r="F598" s="3">
        <v>7.5677983589683198</v>
      </c>
      <c r="G598" s="3">
        <v>26</v>
      </c>
      <c r="H598">
        <v>0</v>
      </c>
      <c r="I598" s="3">
        <v>87.171156117473302</v>
      </c>
      <c r="J598" s="3">
        <v>88.834637960461393</v>
      </c>
      <c r="K598" s="3">
        <v>230.82357903105</v>
      </c>
      <c r="L598" s="3">
        <v>90.731072993120605</v>
      </c>
      <c r="M598" s="3">
        <v>5.90306640191986</v>
      </c>
      <c r="N598" s="3">
        <v>91.555973619591299</v>
      </c>
      <c r="O598" s="3">
        <v>7.5371045711150897</v>
      </c>
      <c r="P598" s="3">
        <v>40.446631504902697</v>
      </c>
      <c r="Q598" s="3">
        <v>81.645656815661695</v>
      </c>
      <c r="R598" s="3" t="str">
        <f>IF(Table1[[#This Row],[Nutrition_Quality_Score]]&lt;60, "Poor Nutrition",IF(AND(Table1[[#This Row],[Nutrition_Quality_Score]]&gt;=60,Table1[[#This Row],[Nutrition_Quality_Score]]&lt;=80),"Average Nutrition", "Good Nutrition"))</f>
        <v>Good Nutrition</v>
      </c>
      <c r="S598">
        <v>1</v>
      </c>
      <c r="T598" t="str">
        <f>IF(Table1[[#This Row],[Warmup_Routine_Adherence]]=1, "Adherent","Non-Adherent")</f>
        <v>Adherent</v>
      </c>
      <c r="U598">
        <v>0</v>
      </c>
      <c r="V598" t="str">
        <f>IF(Table1[[#This Row],[Injury_Next_Season]]=1, "Injury","No Injury")</f>
        <v>No Injury</v>
      </c>
      <c r="W598" s="3">
        <v>23.986870344653401</v>
      </c>
    </row>
    <row r="599" spans="1:23" x14ac:dyDescent="0.25">
      <c r="A599" s="6">
        <v>22</v>
      </c>
      <c r="B599" s="8" t="str">
        <f>CONCATENATE(Table1[[#This Row],[Age]]," ", "years")</f>
        <v>22 years</v>
      </c>
      <c r="C599">
        <v>167</v>
      </c>
      <c r="D599">
        <v>59</v>
      </c>
      <c r="E599" t="s">
        <v>20</v>
      </c>
      <c r="F599" s="3">
        <v>14.041789030238199</v>
      </c>
      <c r="G599" s="3">
        <v>10</v>
      </c>
      <c r="H599">
        <v>2</v>
      </c>
      <c r="I599" s="3">
        <v>77.197471947000494</v>
      </c>
      <c r="J599" s="3">
        <v>82.828863769838506</v>
      </c>
      <c r="K599" s="3">
        <v>262.14889815483099</v>
      </c>
      <c r="L599" s="3">
        <v>79.899757373587803</v>
      </c>
      <c r="M599" s="3">
        <v>5.4599457490310597</v>
      </c>
      <c r="N599" s="3">
        <v>77.235056905514597</v>
      </c>
      <c r="O599" s="3">
        <v>7.3865286800665002</v>
      </c>
      <c r="P599" s="3">
        <v>57.173884580872198</v>
      </c>
      <c r="Q599" s="3">
        <v>76.639534669782506</v>
      </c>
      <c r="R599" s="3" t="str">
        <f>IF(Table1[[#This Row],[Nutrition_Quality_Score]]&lt;60, "Poor Nutrition",IF(AND(Table1[[#This Row],[Nutrition_Quality_Score]]&gt;=60,Table1[[#This Row],[Nutrition_Quality_Score]]&lt;=80),"Average Nutrition", "Good Nutrition"))</f>
        <v>Average Nutrition</v>
      </c>
      <c r="S599">
        <v>0</v>
      </c>
      <c r="T599" t="str">
        <f>IF(Table1[[#This Row],[Warmup_Routine_Adherence]]=1, "Adherent","Non-Adherent")</f>
        <v>Non-Adherent</v>
      </c>
      <c r="U599">
        <v>1</v>
      </c>
      <c r="V599" t="str">
        <f>IF(Table1[[#This Row],[Injury_Next_Season]]=1, "Injury","No Injury")</f>
        <v>Injury</v>
      </c>
      <c r="W599" s="3">
        <v>21.155294202015099</v>
      </c>
    </row>
    <row r="600" spans="1:23" x14ac:dyDescent="0.25">
      <c r="A600" s="6">
        <v>21</v>
      </c>
      <c r="B600" s="8" t="str">
        <f>CONCATENATE(Table1[[#This Row],[Age]]," ", "years")</f>
        <v>21 years</v>
      </c>
      <c r="C600">
        <v>176</v>
      </c>
      <c r="D600">
        <v>84</v>
      </c>
      <c r="E600" t="s">
        <v>19</v>
      </c>
      <c r="F600" s="3">
        <v>8.5890658928551993</v>
      </c>
      <c r="G600" s="3">
        <v>36</v>
      </c>
      <c r="H600">
        <v>1</v>
      </c>
      <c r="I600" s="3">
        <v>77.299096362316902</v>
      </c>
      <c r="J600" s="3">
        <v>90.717707680346706</v>
      </c>
      <c r="K600" s="3">
        <v>252.285522826826</v>
      </c>
      <c r="L600" s="3">
        <v>77.491130827267398</v>
      </c>
      <c r="M600" s="3">
        <v>6.1315844429781503</v>
      </c>
      <c r="N600" s="3">
        <v>92.896729315262306</v>
      </c>
      <c r="O600" s="3">
        <v>7.7339598417955999</v>
      </c>
      <c r="P600" s="3">
        <v>55.3480668695601</v>
      </c>
      <c r="Q600" s="3">
        <v>95.890571152372701</v>
      </c>
      <c r="R600" s="3" t="str">
        <f>IF(Table1[[#This Row],[Nutrition_Quality_Score]]&lt;60, "Poor Nutrition",IF(AND(Table1[[#This Row],[Nutrition_Quality_Score]]&gt;=60,Table1[[#This Row],[Nutrition_Quality_Score]]&lt;=80),"Average Nutrition", "Good Nutrition"))</f>
        <v>Good Nutrition</v>
      </c>
      <c r="S600">
        <v>0</v>
      </c>
      <c r="T600" t="str">
        <f>IF(Table1[[#This Row],[Warmup_Routine_Adherence]]=1, "Adherent","Non-Adherent")</f>
        <v>Non-Adherent</v>
      </c>
      <c r="U600">
        <v>0</v>
      </c>
      <c r="V600" t="str">
        <f>IF(Table1[[#This Row],[Injury_Next_Season]]=1, "Injury","No Injury")</f>
        <v>No Injury</v>
      </c>
      <c r="W600" s="3">
        <v>27.117768595041301</v>
      </c>
    </row>
    <row r="601" spans="1:23" x14ac:dyDescent="0.25">
      <c r="A601" s="6">
        <v>21</v>
      </c>
      <c r="B601" s="8" t="str">
        <f>CONCATENATE(Table1[[#This Row],[Age]]," ", "years")</f>
        <v>21 years</v>
      </c>
      <c r="C601">
        <v>191</v>
      </c>
      <c r="D601">
        <v>77</v>
      </c>
      <c r="E601" t="s">
        <v>20</v>
      </c>
      <c r="F601" s="3">
        <v>10.5416807144094</v>
      </c>
      <c r="G601" s="3">
        <v>8</v>
      </c>
      <c r="H601">
        <v>3</v>
      </c>
      <c r="I601" s="3">
        <v>68.122038289537898</v>
      </c>
      <c r="J601" s="3">
        <v>68.551676609744206</v>
      </c>
      <c r="K601" s="3">
        <v>244.70110197817201</v>
      </c>
      <c r="L601" s="3">
        <v>91.507575716735204</v>
      </c>
      <c r="M601" s="3">
        <v>6.3197760812654797</v>
      </c>
      <c r="N601" s="3">
        <v>85.379274448176801</v>
      </c>
      <c r="O601" s="3">
        <v>8.3037786721771205</v>
      </c>
      <c r="P601" s="3">
        <v>68.885299183300702</v>
      </c>
      <c r="Q601" s="3">
        <v>75.756092662031705</v>
      </c>
      <c r="R601" s="3" t="str">
        <f>IF(Table1[[#This Row],[Nutrition_Quality_Score]]&lt;60, "Poor Nutrition",IF(AND(Table1[[#This Row],[Nutrition_Quality_Score]]&gt;=60,Table1[[#This Row],[Nutrition_Quality_Score]]&lt;=80),"Average Nutrition", "Good Nutrition"))</f>
        <v>Average Nutrition</v>
      </c>
      <c r="S601">
        <v>0</v>
      </c>
      <c r="T601" t="str">
        <f>IF(Table1[[#This Row],[Warmup_Routine_Adherence]]=1, "Adherent","Non-Adherent")</f>
        <v>Non-Adherent</v>
      </c>
      <c r="U601">
        <v>0</v>
      </c>
      <c r="V601" t="str">
        <f>IF(Table1[[#This Row],[Injury_Next_Season]]=1, "Injury","No Injury")</f>
        <v>No Injury</v>
      </c>
      <c r="W601" s="3">
        <v>21.106877552698599</v>
      </c>
    </row>
    <row r="602" spans="1:23" x14ac:dyDescent="0.25">
      <c r="A602" s="6">
        <v>24</v>
      </c>
      <c r="B602" s="8" t="str">
        <f>CONCATENATE(Table1[[#This Row],[Age]]," ", "years")</f>
        <v>24 years</v>
      </c>
      <c r="C602">
        <v>175</v>
      </c>
      <c r="D602">
        <v>70</v>
      </c>
      <c r="E602" t="s">
        <v>21</v>
      </c>
      <c r="F602" s="3">
        <v>7.8889663328692397</v>
      </c>
      <c r="G602" s="3">
        <v>5</v>
      </c>
      <c r="H602">
        <v>0</v>
      </c>
      <c r="I602" s="3">
        <v>74.219592042291197</v>
      </c>
      <c r="J602" s="3">
        <v>69.961639911741699</v>
      </c>
      <c r="K602" s="3">
        <v>271.48987617545498</v>
      </c>
      <c r="L602" s="3">
        <v>87.498288374116697</v>
      </c>
      <c r="M602" s="3">
        <v>6.0038508709715597</v>
      </c>
      <c r="N602" s="3">
        <v>72.058437018646401</v>
      </c>
      <c r="O602" s="3">
        <v>7.4547947926765596</v>
      </c>
      <c r="P602" s="3">
        <v>61.018065015884297</v>
      </c>
      <c r="Q602" s="3">
        <v>79.351819595047601</v>
      </c>
      <c r="R602" s="3" t="str">
        <f>IF(Table1[[#This Row],[Nutrition_Quality_Score]]&lt;60, "Poor Nutrition",IF(AND(Table1[[#This Row],[Nutrition_Quality_Score]]&gt;=60,Table1[[#This Row],[Nutrition_Quality_Score]]&lt;=80),"Average Nutrition", "Good Nutrition"))</f>
        <v>Average Nutrition</v>
      </c>
      <c r="S602">
        <v>1</v>
      </c>
      <c r="T602" t="str">
        <f>IF(Table1[[#This Row],[Warmup_Routine_Adherence]]=1, "Adherent","Non-Adherent")</f>
        <v>Adherent</v>
      </c>
      <c r="U602">
        <v>1</v>
      </c>
      <c r="V602" t="str">
        <f>IF(Table1[[#This Row],[Injury_Next_Season]]=1, "Injury","No Injury")</f>
        <v>Injury</v>
      </c>
      <c r="W602" s="3">
        <v>22.857142857142801</v>
      </c>
    </row>
    <row r="603" spans="1:23" x14ac:dyDescent="0.25">
      <c r="A603" s="6">
        <v>21</v>
      </c>
      <c r="B603" s="8" t="str">
        <f>CONCATENATE(Table1[[#This Row],[Age]]," ", "years")</f>
        <v>21 years</v>
      </c>
      <c r="C603">
        <v>181</v>
      </c>
      <c r="D603">
        <v>89</v>
      </c>
      <c r="E603" t="s">
        <v>22</v>
      </c>
      <c r="F603" s="3">
        <v>16.294754484639501</v>
      </c>
      <c r="G603" s="3">
        <v>18</v>
      </c>
      <c r="H603">
        <v>1</v>
      </c>
      <c r="I603" s="3">
        <v>74.042859280029305</v>
      </c>
      <c r="J603" s="3">
        <v>87.162325788571493</v>
      </c>
      <c r="K603" s="3">
        <v>221.29282539707199</v>
      </c>
      <c r="L603" s="3">
        <v>77.850996269648604</v>
      </c>
      <c r="M603" s="3">
        <v>6.5658374949995197</v>
      </c>
      <c r="N603" s="3">
        <v>90.8452695850021</v>
      </c>
      <c r="O603" s="3">
        <v>8.4739903771293896</v>
      </c>
      <c r="P603" s="3">
        <v>36.030686968196598</v>
      </c>
      <c r="Q603" s="3">
        <v>74.972834715428107</v>
      </c>
      <c r="R603" s="3" t="str">
        <f>IF(Table1[[#This Row],[Nutrition_Quality_Score]]&lt;60, "Poor Nutrition",IF(AND(Table1[[#This Row],[Nutrition_Quality_Score]]&gt;=60,Table1[[#This Row],[Nutrition_Quality_Score]]&lt;=80),"Average Nutrition", "Good Nutrition"))</f>
        <v>Average Nutrition</v>
      </c>
      <c r="S603">
        <v>0</v>
      </c>
      <c r="T603" t="str">
        <f>IF(Table1[[#This Row],[Warmup_Routine_Adherence]]=1, "Adherent","Non-Adherent")</f>
        <v>Non-Adherent</v>
      </c>
      <c r="U603">
        <v>0</v>
      </c>
      <c r="V603" t="str">
        <f>IF(Table1[[#This Row],[Injury_Next_Season]]=1, "Injury","No Injury")</f>
        <v>No Injury</v>
      </c>
      <c r="W603" s="3">
        <v>27.166447910625401</v>
      </c>
    </row>
    <row r="604" spans="1:23" x14ac:dyDescent="0.25">
      <c r="A604" s="6">
        <v>20</v>
      </c>
      <c r="B604" s="8" t="str">
        <f>CONCATENATE(Table1[[#This Row],[Age]]," ", "years")</f>
        <v>20 years</v>
      </c>
      <c r="C604">
        <v>183</v>
      </c>
      <c r="D604">
        <v>68</v>
      </c>
      <c r="E604" t="s">
        <v>22</v>
      </c>
      <c r="F604" s="3">
        <v>6.41544703442369</v>
      </c>
      <c r="G604" s="3">
        <v>38</v>
      </c>
      <c r="H604">
        <v>0</v>
      </c>
      <c r="I604" s="3">
        <v>78.311437841565905</v>
      </c>
      <c r="J604" s="3">
        <v>74.240253412512203</v>
      </c>
      <c r="K604" s="3">
        <v>271.34002032685402</v>
      </c>
      <c r="L604" s="3">
        <v>86.443746759942698</v>
      </c>
      <c r="M604" s="3">
        <v>5.7544241303744696</v>
      </c>
      <c r="N604" s="3">
        <v>76.674651904399298</v>
      </c>
      <c r="O604" s="3">
        <v>7.7784905709105399</v>
      </c>
      <c r="P604" s="3">
        <v>46.676335818628303</v>
      </c>
      <c r="Q604" s="3">
        <v>79.711399760391998</v>
      </c>
      <c r="R604" s="3" t="str">
        <f>IF(Table1[[#This Row],[Nutrition_Quality_Score]]&lt;60, "Poor Nutrition",IF(AND(Table1[[#This Row],[Nutrition_Quality_Score]]&gt;=60,Table1[[#This Row],[Nutrition_Quality_Score]]&lt;=80),"Average Nutrition", "Good Nutrition"))</f>
        <v>Average Nutrition</v>
      </c>
      <c r="S604">
        <v>1</v>
      </c>
      <c r="T604" t="str">
        <f>IF(Table1[[#This Row],[Warmup_Routine_Adherence]]=1, "Adherent","Non-Adherent")</f>
        <v>Adherent</v>
      </c>
      <c r="U604">
        <v>0</v>
      </c>
      <c r="V604" t="str">
        <f>IF(Table1[[#This Row],[Injury_Next_Season]]=1, "Injury","No Injury")</f>
        <v>No Injury</v>
      </c>
      <c r="W604" s="3">
        <v>20.305174833527399</v>
      </c>
    </row>
    <row r="605" spans="1:23" x14ac:dyDescent="0.25">
      <c r="A605" s="6">
        <v>19</v>
      </c>
      <c r="B605" s="8" t="str">
        <f>CONCATENATE(Table1[[#This Row],[Age]]," ", "years")</f>
        <v>19 years</v>
      </c>
      <c r="C605">
        <v>185</v>
      </c>
      <c r="D605">
        <v>69</v>
      </c>
      <c r="E605" t="s">
        <v>19</v>
      </c>
      <c r="F605" s="3">
        <v>9.5394542844155801</v>
      </c>
      <c r="G605" s="3">
        <v>24</v>
      </c>
      <c r="H605">
        <v>1</v>
      </c>
      <c r="I605" s="3">
        <v>75.489483153317195</v>
      </c>
      <c r="J605" s="3">
        <v>76.924255619434305</v>
      </c>
      <c r="K605" s="3">
        <v>245.986794312775</v>
      </c>
      <c r="L605" s="3">
        <v>82.355308307229905</v>
      </c>
      <c r="M605" s="3">
        <v>5.8724782892863203</v>
      </c>
      <c r="N605" s="3">
        <v>73.347928694439204</v>
      </c>
      <c r="O605" s="3">
        <v>8.7220678100277702</v>
      </c>
      <c r="P605" s="3">
        <v>52.494432858953999</v>
      </c>
      <c r="Q605" s="3">
        <v>67.711061467256599</v>
      </c>
      <c r="R605" s="3" t="str">
        <f>IF(Table1[[#This Row],[Nutrition_Quality_Score]]&lt;60, "Poor Nutrition",IF(AND(Table1[[#This Row],[Nutrition_Quality_Score]]&gt;=60,Table1[[#This Row],[Nutrition_Quality_Score]]&lt;=80),"Average Nutrition", "Good Nutrition"))</f>
        <v>Average Nutrition</v>
      </c>
      <c r="S605">
        <v>1</v>
      </c>
      <c r="T605" t="str">
        <f>IF(Table1[[#This Row],[Warmup_Routine_Adherence]]=1, "Adherent","Non-Adherent")</f>
        <v>Adherent</v>
      </c>
      <c r="U605">
        <v>0</v>
      </c>
      <c r="V605" t="str">
        <f>IF(Table1[[#This Row],[Injury_Next_Season]]=1, "Injury","No Injury")</f>
        <v>No Injury</v>
      </c>
      <c r="W605" s="3">
        <v>20.160701241782299</v>
      </c>
    </row>
    <row r="606" spans="1:23" x14ac:dyDescent="0.25">
      <c r="A606" s="6">
        <v>22</v>
      </c>
      <c r="B606" s="8" t="str">
        <f>CONCATENATE(Table1[[#This Row],[Age]]," ", "years")</f>
        <v>22 years</v>
      </c>
      <c r="C606">
        <v>174</v>
      </c>
      <c r="D606">
        <v>61</v>
      </c>
      <c r="E606" t="s">
        <v>20</v>
      </c>
      <c r="F606" s="3">
        <v>10.8758692917585</v>
      </c>
      <c r="G606" s="3">
        <v>11</v>
      </c>
      <c r="H606">
        <v>2</v>
      </c>
      <c r="I606" s="3">
        <v>75.302994541492197</v>
      </c>
      <c r="J606" s="3">
        <v>73.709531351790304</v>
      </c>
      <c r="K606" s="3">
        <v>231.83688864130301</v>
      </c>
      <c r="L606" s="3">
        <v>85.705085266758701</v>
      </c>
      <c r="M606" s="3">
        <v>6.1825098911707803</v>
      </c>
      <c r="N606" s="3">
        <v>79.412747953201105</v>
      </c>
      <c r="O606" s="3">
        <v>7.9999947290906004</v>
      </c>
      <c r="P606" s="3">
        <v>28.5130079199132</v>
      </c>
      <c r="Q606" s="3">
        <v>82.507278750742003</v>
      </c>
      <c r="R606" s="3" t="str">
        <f>IF(Table1[[#This Row],[Nutrition_Quality_Score]]&lt;60, "Poor Nutrition",IF(AND(Table1[[#This Row],[Nutrition_Quality_Score]]&gt;=60,Table1[[#This Row],[Nutrition_Quality_Score]]&lt;=80),"Average Nutrition", "Good Nutrition"))</f>
        <v>Good Nutrition</v>
      </c>
      <c r="S606">
        <v>1</v>
      </c>
      <c r="T606" t="str">
        <f>IF(Table1[[#This Row],[Warmup_Routine_Adherence]]=1, "Adherent","Non-Adherent")</f>
        <v>Adherent</v>
      </c>
      <c r="U606">
        <v>0</v>
      </c>
      <c r="V606" t="str">
        <f>IF(Table1[[#This Row],[Injury_Next_Season]]=1, "Injury","No Injury")</f>
        <v>No Injury</v>
      </c>
      <c r="W606" s="3">
        <v>20.147971991015901</v>
      </c>
    </row>
    <row r="607" spans="1:23" x14ac:dyDescent="0.25">
      <c r="A607" s="6">
        <v>20</v>
      </c>
      <c r="B607" s="8" t="str">
        <f>CONCATENATE(Table1[[#This Row],[Age]]," ", "years")</f>
        <v>20 years</v>
      </c>
      <c r="C607">
        <v>170</v>
      </c>
      <c r="D607">
        <v>78</v>
      </c>
      <c r="E607" t="s">
        <v>21</v>
      </c>
      <c r="F607" s="3">
        <v>10.1323129294515</v>
      </c>
      <c r="G607" s="3">
        <v>27</v>
      </c>
      <c r="H607">
        <v>5</v>
      </c>
      <c r="I607" s="3">
        <v>84.453050235477505</v>
      </c>
      <c r="J607" s="3">
        <v>90.519342106933905</v>
      </c>
      <c r="K607" s="3">
        <v>268.09695713411003</v>
      </c>
      <c r="L607" s="3">
        <v>82.890891735456094</v>
      </c>
      <c r="M607" s="3">
        <v>5.8434082533015799</v>
      </c>
      <c r="N607" s="3">
        <v>88.910173236142299</v>
      </c>
      <c r="O607" s="3">
        <v>7.0431539917139201</v>
      </c>
      <c r="P607" s="3">
        <v>58.118150184314899</v>
      </c>
      <c r="Q607" s="3">
        <v>69.932864222641399</v>
      </c>
      <c r="R607" s="3" t="str">
        <f>IF(Table1[[#This Row],[Nutrition_Quality_Score]]&lt;60, "Poor Nutrition",IF(AND(Table1[[#This Row],[Nutrition_Quality_Score]]&gt;=60,Table1[[#This Row],[Nutrition_Quality_Score]]&lt;=80),"Average Nutrition", "Good Nutrition"))</f>
        <v>Average Nutrition</v>
      </c>
      <c r="S607">
        <v>0</v>
      </c>
      <c r="T607" t="str">
        <f>IF(Table1[[#This Row],[Warmup_Routine_Adherence]]=1, "Adherent","Non-Adherent")</f>
        <v>Non-Adherent</v>
      </c>
      <c r="U607">
        <v>1</v>
      </c>
      <c r="V607" t="str">
        <f>IF(Table1[[#This Row],[Injury_Next_Season]]=1, "Injury","No Injury")</f>
        <v>Injury</v>
      </c>
      <c r="W607" s="3">
        <v>26.989619377162601</v>
      </c>
    </row>
    <row r="608" spans="1:23" x14ac:dyDescent="0.25">
      <c r="A608" s="6">
        <v>18</v>
      </c>
      <c r="B608" s="8" t="str">
        <f>CONCATENATE(Table1[[#This Row],[Age]]," ", "years")</f>
        <v>18 years</v>
      </c>
      <c r="C608">
        <v>180</v>
      </c>
      <c r="D608">
        <v>82</v>
      </c>
      <c r="E608" t="s">
        <v>20</v>
      </c>
      <c r="F608" s="3">
        <v>8.9482043075631097</v>
      </c>
      <c r="G608" s="3">
        <v>26</v>
      </c>
      <c r="H608">
        <v>0</v>
      </c>
      <c r="I608" s="3">
        <v>84.443468077492597</v>
      </c>
      <c r="J608" s="3">
        <v>90.764294209554393</v>
      </c>
      <c r="K608" s="3">
        <v>232.890353793304</v>
      </c>
      <c r="L608" s="3">
        <v>82.199026253731802</v>
      </c>
      <c r="M608" s="3">
        <v>6.7564231646730697</v>
      </c>
      <c r="N608" s="3">
        <v>82.724192636884595</v>
      </c>
      <c r="O608" s="3">
        <v>6.7381181041835001</v>
      </c>
      <c r="P608" s="3">
        <v>28.7471074393344</v>
      </c>
      <c r="Q608" s="3">
        <v>85.169365320034998</v>
      </c>
      <c r="R608" s="3" t="str">
        <f>IF(Table1[[#This Row],[Nutrition_Quality_Score]]&lt;60, "Poor Nutrition",IF(AND(Table1[[#This Row],[Nutrition_Quality_Score]]&gt;=60,Table1[[#This Row],[Nutrition_Quality_Score]]&lt;=80),"Average Nutrition", "Good Nutrition"))</f>
        <v>Good Nutrition</v>
      </c>
      <c r="S608">
        <v>1</v>
      </c>
      <c r="T608" t="str">
        <f>IF(Table1[[#This Row],[Warmup_Routine_Adherence]]=1, "Adherent","Non-Adherent")</f>
        <v>Adherent</v>
      </c>
      <c r="U608">
        <v>0</v>
      </c>
      <c r="V608" t="str">
        <f>IF(Table1[[#This Row],[Injury_Next_Season]]=1, "Injury","No Injury")</f>
        <v>No Injury</v>
      </c>
      <c r="W608" s="3">
        <v>25.3086419753086</v>
      </c>
    </row>
    <row r="609" spans="1:23" x14ac:dyDescent="0.25">
      <c r="A609" s="6">
        <v>20</v>
      </c>
      <c r="B609" s="8" t="str">
        <f>CONCATENATE(Table1[[#This Row],[Age]]," ", "years")</f>
        <v>20 years</v>
      </c>
      <c r="C609">
        <v>178</v>
      </c>
      <c r="D609">
        <v>72</v>
      </c>
      <c r="E609" t="s">
        <v>19</v>
      </c>
      <c r="F609" s="3">
        <v>11.2979924513377</v>
      </c>
      <c r="G609" s="3">
        <v>14</v>
      </c>
      <c r="H609">
        <v>2</v>
      </c>
      <c r="I609" s="3">
        <v>81.857176570856893</v>
      </c>
      <c r="J609" s="3">
        <v>71.712956253019101</v>
      </c>
      <c r="K609" s="3">
        <v>243.48525025220201</v>
      </c>
      <c r="L609" s="3">
        <v>87.322733435207795</v>
      </c>
      <c r="M609" s="3">
        <v>6.1204228859503598</v>
      </c>
      <c r="N609" s="3">
        <v>83.592643559813993</v>
      </c>
      <c r="O609" s="3">
        <v>8.7341472799530298</v>
      </c>
      <c r="P609" s="3">
        <v>53.498681294886097</v>
      </c>
      <c r="Q609" s="3">
        <v>83.415255341157902</v>
      </c>
      <c r="R609" s="3" t="str">
        <f>IF(Table1[[#This Row],[Nutrition_Quality_Score]]&lt;60, "Poor Nutrition",IF(AND(Table1[[#This Row],[Nutrition_Quality_Score]]&gt;=60,Table1[[#This Row],[Nutrition_Quality_Score]]&lt;=80),"Average Nutrition", "Good Nutrition"))</f>
        <v>Good Nutrition</v>
      </c>
      <c r="S609">
        <v>1</v>
      </c>
      <c r="T609" t="str">
        <f>IF(Table1[[#This Row],[Warmup_Routine_Adherence]]=1, "Adherent","Non-Adherent")</f>
        <v>Adherent</v>
      </c>
      <c r="U609">
        <v>0</v>
      </c>
      <c r="V609" t="str">
        <f>IF(Table1[[#This Row],[Injury_Next_Season]]=1, "Injury","No Injury")</f>
        <v>No Injury</v>
      </c>
      <c r="W609" s="3">
        <v>22.724403484408501</v>
      </c>
    </row>
    <row r="610" spans="1:23" x14ac:dyDescent="0.25">
      <c r="A610" s="6">
        <v>24</v>
      </c>
      <c r="B610" s="8" t="str">
        <f>CONCATENATE(Table1[[#This Row],[Age]]," ", "years")</f>
        <v>24 years</v>
      </c>
      <c r="C610">
        <v>176</v>
      </c>
      <c r="D610">
        <v>93</v>
      </c>
      <c r="E610" t="s">
        <v>22</v>
      </c>
      <c r="F610" s="3">
        <v>10.937699741581</v>
      </c>
      <c r="G610" s="3">
        <v>25</v>
      </c>
      <c r="H610">
        <v>2</v>
      </c>
      <c r="I610" s="3">
        <v>75.339844665825893</v>
      </c>
      <c r="J610" s="3">
        <v>78.779053785109397</v>
      </c>
      <c r="K610" s="3">
        <v>221.638175220091</v>
      </c>
      <c r="L610" s="3">
        <v>83.438735699445203</v>
      </c>
      <c r="M610" s="3">
        <v>5.5486152490525198</v>
      </c>
      <c r="N610" s="3">
        <v>76.7274719360163</v>
      </c>
      <c r="O610" s="3">
        <v>8.4007118685059208</v>
      </c>
      <c r="P610" s="3">
        <v>64.016048466031805</v>
      </c>
      <c r="Q610" s="3">
        <v>70.208631184918204</v>
      </c>
      <c r="R610" s="3" t="str">
        <f>IF(Table1[[#This Row],[Nutrition_Quality_Score]]&lt;60, "Poor Nutrition",IF(AND(Table1[[#This Row],[Nutrition_Quality_Score]]&gt;=60,Table1[[#This Row],[Nutrition_Quality_Score]]&lt;=80),"Average Nutrition", "Good Nutrition"))</f>
        <v>Average Nutrition</v>
      </c>
      <c r="S610">
        <v>1</v>
      </c>
      <c r="T610" t="str">
        <f>IF(Table1[[#This Row],[Warmup_Routine_Adherence]]=1, "Adherent","Non-Adherent")</f>
        <v>Adherent</v>
      </c>
      <c r="U610">
        <v>0</v>
      </c>
      <c r="V610" t="str">
        <f>IF(Table1[[#This Row],[Injury_Next_Season]]=1, "Injury","No Injury")</f>
        <v>No Injury</v>
      </c>
      <c r="W610" s="3">
        <v>30.0232438016528</v>
      </c>
    </row>
    <row r="611" spans="1:23" x14ac:dyDescent="0.25">
      <c r="A611" s="6">
        <v>24</v>
      </c>
      <c r="B611" s="8" t="str">
        <f>CONCATENATE(Table1[[#This Row],[Age]]," ", "years")</f>
        <v>24 years</v>
      </c>
      <c r="C611">
        <v>185</v>
      </c>
      <c r="D611">
        <v>80</v>
      </c>
      <c r="E611" t="s">
        <v>20</v>
      </c>
      <c r="F611" s="3">
        <v>6.8501639646217001</v>
      </c>
      <c r="G611" s="3">
        <v>22</v>
      </c>
      <c r="H611">
        <v>0</v>
      </c>
      <c r="I611" s="3">
        <v>74.241261670726502</v>
      </c>
      <c r="J611" s="3">
        <v>81.367881253412605</v>
      </c>
      <c r="K611" s="3">
        <v>262.72149261190998</v>
      </c>
      <c r="L611" s="3">
        <v>84.607540089343104</v>
      </c>
      <c r="M611" s="3">
        <v>6.0544975150543801</v>
      </c>
      <c r="N611" s="3">
        <v>90.256003590534107</v>
      </c>
      <c r="O611" s="3">
        <v>7.2259086797024796</v>
      </c>
      <c r="P611" s="3">
        <v>56.086535638793997</v>
      </c>
      <c r="Q611" s="3">
        <v>63.602957908491902</v>
      </c>
      <c r="R611" s="3" t="str">
        <f>IF(Table1[[#This Row],[Nutrition_Quality_Score]]&lt;60, "Poor Nutrition",IF(AND(Table1[[#This Row],[Nutrition_Quality_Score]]&gt;=60,Table1[[#This Row],[Nutrition_Quality_Score]]&lt;=80),"Average Nutrition", "Good Nutrition"))</f>
        <v>Average Nutrition</v>
      </c>
      <c r="S611">
        <v>1</v>
      </c>
      <c r="T611" t="str">
        <f>IF(Table1[[#This Row],[Warmup_Routine_Adherence]]=1, "Adherent","Non-Adherent")</f>
        <v>Adherent</v>
      </c>
      <c r="U611">
        <v>0</v>
      </c>
      <c r="V611" t="str">
        <f>IF(Table1[[#This Row],[Injury_Next_Season]]=1, "Injury","No Injury")</f>
        <v>No Injury</v>
      </c>
      <c r="W611" s="3">
        <v>23.374726077428701</v>
      </c>
    </row>
    <row r="612" spans="1:23" x14ac:dyDescent="0.25">
      <c r="A612" s="6">
        <v>20</v>
      </c>
      <c r="B612" s="8" t="str">
        <f>CONCATENATE(Table1[[#This Row],[Age]]," ", "years")</f>
        <v>20 years</v>
      </c>
      <c r="C612">
        <v>188</v>
      </c>
      <c r="D612">
        <v>67</v>
      </c>
      <c r="E612" t="s">
        <v>22</v>
      </c>
      <c r="F612" s="3">
        <v>10.2268522907512</v>
      </c>
      <c r="G612" s="3">
        <v>23</v>
      </c>
      <c r="H612">
        <v>2</v>
      </c>
      <c r="I612" s="3">
        <v>68.201012054506094</v>
      </c>
      <c r="J612" s="3">
        <v>66.586636017424993</v>
      </c>
      <c r="K612" s="3">
        <v>290.75458488037702</v>
      </c>
      <c r="L612" s="3">
        <v>84.395467154574504</v>
      </c>
      <c r="M612" s="3">
        <v>6.06246408430136</v>
      </c>
      <c r="N612" s="3">
        <v>71.031450100338205</v>
      </c>
      <c r="O612" s="3">
        <v>8.6344472048889607</v>
      </c>
      <c r="P612" s="3">
        <v>54.0946936945438</v>
      </c>
      <c r="Q612" s="3">
        <v>75.134403536160505</v>
      </c>
      <c r="R612" s="3" t="str">
        <f>IF(Table1[[#This Row],[Nutrition_Quality_Score]]&lt;60, "Poor Nutrition",IF(AND(Table1[[#This Row],[Nutrition_Quality_Score]]&gt;=60,Table1[[#This Row],[Nutrition_Quality_Score]]&lt;=80),"Average Nutrition", "Good Nutrition"))</f>
        <v>Average Nutrition</v>
      </c>
      <c r="S612">
        <v>1</v>
      </c>
      <c r="T612" t="str">
        <f>IF(Table1[[#This Row],[Warmup_Routine_Adherence]]=1, "Adherent","Non-Adherent")</f>
        <v>Adherent</v>
      </c>
      <c r="U612">
        <v>1</v>
      </c>
      <c r="V612" t="str">
        <f>IF(Table1[[#This Row],[Injury_Next_Season]]=1, "Injury","No Injury")</f>
        <v>Injury</v>
      </c>
      <c r="W612" s="3">
        <v>18.956541421457601</v>
      </c>
    </row>
    <row r="613" spans="1:23" x14ac:dyDescent="0.25">
      <c r="A613" s="6">
        <v>22</v>
      </c>
      <c r="B613" s="8" t="str">
        <f>CONCATENATE(Table1[[#This Row],[Age]]," ", "years")</f>
        <v>22 years</v>
      </c>
      <c r="C613">
        <v>180</v>
      </c>
      <c r="D613">
        <v>63</v>
      </c>
      <c r="E613" t="s">
        <v>19</v>
      </c>
      <c r="F613" s="3">
        <v>13.504475749713301</v>
      </c>
      <c r="G613" s="3">
        <v>31</v>
      </c>
      <c r="H613">
        <v>2</v>
      </c>
      <c r="I613" s="3">
        <v>80.938717336783199</v>
      </c>
      <c r="J613" s="3">
        <v>80.385175962580007</v>
      </c>
      <c r="K613" s="3">
        <v>207.651238917955</v>
      </c>
      <c r="L613" s="3">
        <v>99.276614901806994</v>
      </c>
      <c r="M613" s="3">
        <v>6.2553058037513001</v>
      </c>
      <c r="N613" s="3">
        <v>94.199342709136204</v>
      </c>
      <c r="O613" s="3">
        <v>7.9786656793157498</v>
      </c>
      <c r="P613" s="3">
        <v>49.235614732371602</v>
      </c>
      <c r="Q613" s="3">
        <v>79.405918122368007</v>
      </c>
      <c r="R613" s="3" t="str">
        <f>IF(Table1[[#This Row],[Nutrition_Quality_Score]]&lt;60, "Poor Nutrition",IF(AND(Table1[[#This Row],[Nutrition_Quality_Score]]&gt;=60,Table1[[#This Row],[Nutrition_Quality_Score]]&lt;=80),"Average Nutrition", "Good Nutrition"))</f>
        <v>Average Nutrition</v>
      </c>
      <c r="S613">
        <v>0</v>
      </c>
      <c r="T613" t="str">
        <f>IF(Table1[[#This Row],[Warmup_Routine_Adherence]]=1, "Adherent","Non-Adherent")</f>
        <v>Non-Adherent</v>
      </c>
      <c r="U613">
        <v>0</v>
      </c>
      <c r="V613" t="str">
        <f>IF(Table1[[#This Row],[Injury_Next_Season]]=1, "Injury","No Injury")</f>
        <v>No Injury</v>
      </c>
      <c r="W613" s="3">
        <v>19.4444444444444</v>
      </c>
    </row>
    <row r="614" spans="1:23" x14ac:dyDescent="0.25">
      <c r="A614" s="6">
        <v>22</v>
      </c>
      <c r="B614" s="8" t="str">
        <f>CONCATENATE(Table1[[#This Row],[Age]]," ", "years")</f>
        <v>22 years</v>
      </c>
      <c r="C614">
        <v>182</v>
      </c>
      <c r="D614">
        <v>66</v>
      </c>
      <c r="E614" t="s">
        <v>22</v>
      </c>
      <c r="F614" s="3">
        <v>8.0598592394315496</v>
      </c>
      <c r="G614" s="3">
        <v>26</v>
      </c>
      <c r="H614">
        <v>1</v>
      </c>
      <c r="I614" s="3">
        <v>74.942119564776206</v>
      </c>
      <c r="J614" s="3">
        <v>80.524437765540497</v>
      </c>
      <c r="K614" s="3">
        <v>242.534404646844</v>
      </c>
      <c r="L614" s="3">
        <v>87.751389207863596</v>
      </c>
      <c r="M614" s="3">
        <v>6.32846605932136</v>
      </c>
      <c r="N614" s="3">
        <v>78.106703526048804</v>
      </c>
      <c r="O614" s="3">
        <v>7.9148727027220502</v>
      </c>
      <c r="P614" s="3">
        <v>52.570109043610998</v>
      </c>
      <c r="Q614" s="3">
        <v>71.733950938209105</v>
      </c>
      <c r="R614" s="3" t="str">
        <f>IF(Table1[[#This Row],[Nutrition_Quality_Score]]&lt;60, "Poor Nutrition",IF(AND(Table1[[#This Row],[Nutrition_Quality_Score]]&gt;=60,Table1[[#This Row],[Nutrition_Quality_Score]]&lt;=80),"Average Nutrition", "Good Nutrition"))</f>
        <v>Average Nutrition</v>
      </c>
      <c r="S614">
        <v>1</v>
      </c>
      <c r="T614" t="str">
        <f>IF(Table1[[#This Row],[Warmup_Routine_Adherence]]=1, "Adherent","Non-Adherent")</f>
        <v>Adherent</v>
      </c>
      <c r="U614">
        <v>0</v>
      </c>
      <c r="V614" t="str">
        <f>IF(Table1[[#This Row],[Injury_Next_Season]]=1, "Injury","No Injury")</f>
        <v>No Injury</v>
      </c>
      <c r="W614" s="3">
        <v>19.9251298152397</v>
      </c>
    </row>
    <row r="615" spans="1:23" x14ac:dyDescent="0.25">
      <c r="A615" s="6">
        <v>19</v>
      </c>
      <c r="B615" s="8" t="str">
        <f>CONCATENATE(Table1[[#This Row],[Age]]," ", "years")</f>
        <v>19 years</v>
      </c>
      <c r="C615">
        <v>177</v>
      </c>
      <c r="D615">
        <v>89</v>
      </c>
      <c r="E615" t="s">
        <v>19</v>
      </c>
      <c r="F615" s="3">
        <v>12.137811757421099</v>
      </c>
      <c r="G615" s="3">
        <v>17</v>
      </c>
      <c r="H615">
        <v>0</v>
      </c>
      <c r="I615" s="3">
        <v>79.104295679022201</v>
      </c>
      <c r="J615" s="3">
        <v>86.361765409543594</v>
      </c>
      <c r="K615" s="3">
        <v>263.988260176285</v>
      </c>
      <c r="L615" s="3">
        <v>83.443153070794494</v>
      </c>
      <c r="M615" s="3">
        <v>5.89752418611931</v>
      </c>
      <c r="N615" s="3">
        <v>74.115125047584101</v>
      </c>
      <c r="O615" s="3">
        <v>6.1632245084389599</v>
      </c>
      <c r="P615" s="3">
        <v>51.338652522822002</v>
      </c>
      <c r="Q615" s="3">
        <v>66.965791114246201</v>
      </c>
      <c r="R615" s="3" t="str">
        <f>IF(Table1[[#This Row],[Nutrition_Quality_Score]]&lt;60, "Poor Nutrition",IF(AND(Table1[[#This Row],[Nutrition_Quality_Score]]&gt;=60,Table1[[#This Row],[Nutrition_Quality_Score]]&lt;=80),"Average Nutrition", "Good Nutrition"))</f>
        <v>Average Nutrition</v>
      </c>
      <c r="S615">
        <v>0</v>
      </c>
      <c r="T615" t="str">
        <f>IF(Table1[[#This Row],[Warmup_Routine_Adherence]]=1, "Adherent","Non-Adherent")</f>
        <v>Non-Adherent</v>
      </c>
      <c r="U615">
        <v>1</v>
      </c>
      <c r="V615" t="str">
        <f>IF(Table1[[#This Row],[Injury_Next_Season]]=1, "Injury","No Injury")</f>
        <v>Injury</v>
      </c>
      <c r="W615" s="3">
        <v>28.408184110568399</v>
      </c>
    </row>
    <row r="616" spans="1:23" x14ac:dyDescent="0.25">
      <c r="A616" s="6">
        <v>24</v>
      </c>
      <c r="B616" s="8" t="str">
        <f>CONCATENATE(Table1[[#This Row],[Age]]," ", "years")</f>
        <v>24 years</v>
      </c>
      <c r="C616">
        <v>188</v>
      </c>
      <c r="D616">
        <v>89</v>
      </c>
      <c r="E616" t="s">
        <v>20</v>
      </c>
      <c r="F616" s="3">
        <v>12.5277463329257</v>
      </c>
      <c r="G616" s="3">
        <v>27</v>
      </c>
      <c r="H616">
        <v>2</v>
      </c>
      <c r="I616" s="3">
        <v>78.547613059963695</v>
      </c>
      <c r="J616" s="3">
        <v>78.061504537758296</v>
      </c>
      <c r="K616" s="3">
        <v>248.55944933398999</v>
      </c>
      <c r="L616" s="3">
        <v>84.586580780486798</v>
      </c>
      <c r="M616" s="3">
        <v>6.0198955389490303</v>
      </c>
      <c r="N616" s="3">
        <v>94.668408189104198</v>
      </c>
      <c r="O616" s="3">
        <v>6.8459821637074096</v>
      </c>
      <c r="P616" s="3">
        <v>43.896208797958401</v>
      </c>
      <c r="Q616" s="3">
        <v>85.218498848542197</v>
      </c>
      <c r="R616" s="3" t="str">
        <f>IF(Table1[[#This Row],[Nutrition_Quality_Score]]&lt;60, "Poor Nutrition",IF(AND(Table1[[#This Row],[Nutrition_Quality_Score]]&gt;=60,Table1[[#This Row],[Nutrition_Quality_Score]]&lt;=80),"Average Nutrition", "Good Nutrition"))</f>
        <v>Good Nutrition</v>
      </c>
      <c r="S616">
        <v>0</v>
      </c>
      <c r="T616" t="str">
        <f>IF(Table1[[#This Row],[Warmup_Routine_Adherence]]=1, "Adherent","Non-Adherent")</f>
        <v>Non-Adherent</v>
      </c>
      <c r="U616">
        <v>0</v>
      </c>
      <c r="V616" t="str">
        <f>IF(Table1[[#This Row],[Injury_Next_Season]]=1, "Injury","No Injury")</f>
        <v>No Injury</v>
      </c>
      <c r="W616" s="3">
        <v>25.181077410593002</v>
      </c>
    </row>
    <row r="617" spans="1:23" x14ac:dyDescent="0.25">
      <c r="A617" s="6">
        <v>22</v>
      </c>
      <c r="B617" s="8" t="str">
        <f>CONCATENATE(Table1[[#This Row],[Age]]," ", "years")</f>
        <v>22 years</v>
      </c>
      <c r="C617">
        <v>174</v>
      </c>
      <c r="D617">
        <v>80</v>
      </c>
      <c r="E617" t="s">
        <v>20</v>
      </c>
      <c r="F617" s="3">
        <v>9.8838700003967297</v>
      </c>
      <c r="G617" s="3">
        <v>12</v>
      </c>
      <c r="H617">
        <v>1</v>
      </c>
      <c r="I617" s="3">
        <v>75.251751227929802</v>
      </c>
      <c r="J617" s="3">
        <v>84.144265086836995</v>
      </c>
      <c r="K617" s="3">
        <v>225.85182996037801</v>
      </c>
      <c r="L617" s="3">
        <v>95.044509101901397</v>
      </c>
      <c r="M617" s="3">
        <v>5.7368566691742098</v>
      </c>
      <c r="N617" s="3">
        <v>82.237572672597693</v>
      </c>
      <c r="O617" s="3">
        <v>7.8221510907724801</v>
      </c>
      <c r="P617" s="3">
        <v>44.416623277155303</v>
      </c>
      <c r="Q617" s="3">
        <v>76.448754576722706</v>
      </c>
      <c r="R617" s="3" t="str">
        <f>IF(Table1[[#This Row],[Nutrition_Quality_Score]]&lt;60, "Poor Nutrition",IF(AND(Table1[[#This Row],[Nutrition_Quality_Score]]&gt;=60,Table1[[#This Row],[Nutrition_Quality_Score]]&lt;=80),"Average Nutrition", "Good Nutrition"))</f>
        <v>Average Nutrition</v>
      </c>
      <c r="S617">
        <v>1</v>
      </c>
      <c r="T617" t="str">
        <f>IF(Table1[[#This Row],[Warmup_Routine_Adherence]]=1, "Adherent","Non-Adherent")</f>
        <v>Adherent</v>
      </c>
      <c r="U617">
        <v>0</v>
      </c>
      <c r="V617" t="str">
        <f>IF(Table1[[#This Row],[Injury_Next_Season]]=1, "Injury","No Injury")</f>
        <v>No Injury</v>
      </c>
      <c r="W617" s="3">
        <v>26.423569824283199</v>
      </c>
    </row>
    <row r="618" spans="1:23" x14ac:dyDescent="0.25">
      <c r="A618" s="6">
        <v>22</v>
      </c>
      <c r="B618" s="8" t="str">
        <f>CONCATENATE(Table1[[#This Row],[Age]]," ", "years")</f>
        <v>22 years</v>
      </c>
      <c r="C618">
        <v>173</v>
      </c>
      <c r="D618">
        <v>81</v>
      </c>
      <c r="E618" t="s">
        <v>19</v>
      </c>
      <c r="F618" s="3">
        <v>5.9782443425045999</v>
      </c>
      <c r="G618" s="3">
        <v>15</v>
      </c>
      <c r="H618">
        <v>1</v>
      </c>
      <c r="I618" s="3">
        <v>80.617669774232894</v>
      </c>
      <c r="J618" s="3">
        <v>78.546537380349207</v>
      </c>
      <c r="K618" s="3">
        <v>213.75551227796799</v>
      </c>
      <c r="L618" s="3">
        <v>91.486359549550798</v>
      </c>
      <c r="M618" s="3">
        <v>6.0845456463739396</v>
      </c>
      <c r="N618" s="3">
        <v>78.948503838343299</v>
      </c>
      <c r="O618" s="3">
        <v>7.7582624409060301</v>
      </c>
      <c r="P618" s="3">
        <v>50.609202567109399</v>
      </c>
      <c r="Q618" s="3">
        <v>69.708496906049007</v>
      </c>
      <c r="R618" s="3" t="str">
        <f>IF(Table1[[#This Row],[Nutrition_Quality_Score]]&lt;60, "Poor Nutrition",IF(AND(Table1[[#This Row],[Nutrition_Quality_Score]]&gt;=60,Table1[[#This Row],[Nutrition_Quality_Score]]&lt;=80),"Average Nutrition", "Good Nutrition"))</f>
        <v>Average Nutrition</v>
      </c>
      <c r="S618">
        <v>1</v>
      </c>
      <c r="T618" t="str">
        <f>IF(Table1[[#This Row],[Warmup_Routine_Adherence]]=1, "Adherent","Non-Adherent")</f>
        <v>Adherent</v>
      </c>
      <c r="U618">
        <v>0</v>
      </c>
      <c r="V618" t="str">
        <f>IF(Table1[[#This Row],[Injury_Next_Season]]=1, "Injury","No Injury")</f>
        <v>No Injury</v>
      </c>
      <c r="W618" s="3">
        <v>27.064051588760002</v>
      </c>
    </row>
    <row r="619" spans="1:23" x14ac:dyDescent="0.25">
      <c r="A619" s="6">
        <v>18</v>
      </c>
      <c r="B619" s="8" t="str">
        <f>CONCATENATE(Table1[[#This Row],[Age]]," ", "years")</f>
        <v>18 years</v>
      </c>
      <c r="C619">
        <v>183</v>
      </c>
      <c r="D619">
        <v>78</v>
      </c>
      <c r="E619" t="s">
        <v>19</v>
      </c>
      <c r="F619" s="3">
        <v>9.1660569829529699</v>
      </c>
      <c r="G619" s="3">
        <v>12</v>
      </c>
      <c r="H619">
        <v>1</v>
      </c>
      <c r="I619" s="3">
        <v>72.457154733123801</v>
      </c>
      <c r="J619" s="3">
        <v>74.546243986912103</v>
      </c>
      <c r="K619" s="3">
        <v>285.06115236361302</v>
      </c>
      <c r="L619" s="3">
        <v>81.756833384793097</v>
      </c>
      <c r="M619" s="3">
        <v>5.9377163640259401</v>
      </c>
      <c r="N619" s="3">
        <v>78.672863331960897</v>
      </c>
      <c r="O619" s="3">
        <v>5.5568652326861896</v>
      </c>
      <c r="P619" s="3">
        <v>55.796254362155302</v>
      </c>
      <c r="Q619" s="3">
        <v>74.633735641136496</v>
      </c>
      <c r="R619" s="3" t="str">
        <f>IF(Table1[[#This Row],[Nutrition_Quality_Score]]&lt;60, "Poor Nutrition",IF(AND(Table1[[#This Row],[Nutrition_Quality_Score]]&gt;=60,Table1[[#This Row],[Nutrition_Quality_Score]]&lt;=80),"Average Nutrition", "Good Nutrition"))</f>
        <v>Average Nutrition</v>
      </c>
      <c r="S619">
        <v>1</v>
      </c>
      <c r="T619" t="str">
        <f>IF(Table1[[#This Row],[Warmup_Routine_Adherence]]=1, "Adherent","Non-Adherent")</f>
        <v>Adherent</v>
      </c>
      <c r="U619">
        <v>1</v>
      </c>
      <c r="V619" t="str">
        <f>IF(Table1[[#This Row],[Injury_Next_Season]]=1, "Injury","No Injury")</f>
        <v>Injury</v>
      </c>
      <c r="W619" s="3">
        <v>23.2912299561049</v>
      </c>
    </row>
    <row r="620" spans="1:23" x14ac:dyDescent="0.25">
      <c r="A620" s="6">
        <v>21</v>
      </c>
      <c r="B620" s="8" t="str">
        <f>CONCATENATE(Table1[[#This Row],[Age]]," ", "years")</f>
        <v>21 years</v>
      </c>
      <c r="C620">
        <v>171</v>
      </c>
      <c r="D620">
        <v>67</v>
      </c>
      <c r="E620" t="s">
        <v>21</v>
      </c>
      <c r="F620" s="3">
        <v>9.0583563286465392</v>
      </c>
      <c r="G620" s="3">
        <v>22</v>
      </c>
      <c r="H620">
        <v>4</v>
      </c>
      <c r="I620" s="3">
        <v>79.630905016259007</v>
      </c>
      <c r="J620" s="3">
        <v>78.213509710871094</v>
      </c>
      <c r="K620" s="3">
        <v>303.30029475555898</v>
      </c>
      <c r="L620" s="3">
        <v>83.728949245357398</v>
      </c>
      <c r="M620" s="3">
        <v>6.51690578826351</v>
      </c>
      <c r="N620" s="3">
        <v>77.452984306778305</v>
      </c>
      <c r="O620" s="3">
        <v>6.9777793736230702</v>
      </c>
      <c r="P620" s="3">
        <v>62.014528198955603</v>
      </c>
      <c r="Q620" s="3">
        <v>78.655101090612405</v>
      </c>
      <c r="R620" s="3" t="str">
        <f>IF(Table1[[#This Row],[Nutrition_Quality_Score]]&lt;60, "Poor Nutrition",IF(AND(Table1[[#This Row],[Nutrition_Quality_Score]]&gt;=60,Table1[[#This Row],[Nutrition_Quality_Score]]&lt;=80),"Average Nutrition", "Good Nutrition"))</f>
        <v>Average Nutrition</v>
      </c>
      <c r="S620">
        <v>1</v>
      </c>
      <c r="T620" t="str">
        <f>IF(Table1[[#This Row],[Warmup_Routine_Adherence]]=1, "Adherent","Non-Adherent")</f>
        <v>Adherent</v>
      </c>
      <c r="U620">
        <v>1</v>
      </c>
      <c r="V620" t="str">
        <f>IF(Table1[[#This Row],[Injury_Next_Season]]=1, "Injury","No Injury")</f>
        <v>Injury</v>
      </c>
      <c r="W620" s="3">
        <v>22.913033070004399</v>
      </c>
    </row>
    <row r="621" spans="1:23" x14ac:dyDescent="0.25">
      <c r="A621" s="6">
        <v>22</v>
      </c>
      <c r="B621" s="8" t="str">
        <f>CONCATENATE(Table1[[#This Row],[Age]]," ", "years")</f>
        <v>22 years</v>
      </c>
      <c r="C621">
        <v>177</v>
      </c>
      <c r="D621">
        <v>74</v>
      </c>
      <c r="E621" t="s">
        <v>19</v>
      </c>
      <c r="F621" s="3">
        <v>12.4036798387109</v>
      </c>
      <c r="G621" s="3">
        <v>24</v>
      </c>
      <c r="H621">
        <v>0</v>
      </c>
      <c r="I621" s="3">
        <v>81.108681495932899</v>
      </c>
      <c r="J621" s="3">
        <v>73.0245678839824</v>
      </c>
      <c r="K621" s="3">
        <v>200.48681720525701</v>
      </c>
      <c r="L621" s="3">
        <v>84.685850614370096</v>
      </c>
      <c r="M621" s="3">
        <v>5.9408040348241</v>
      </c>
      <c r="N621" s="3">
        <v>84.486626122108106</v>
      </c>
      <c r="O621" s="3">
        <v>7.9144045080398397</v>
      </c>
      <c r="P621" s="3">
        <v>60.077965821459003</v>
      </c>
      <c r="Q621" s="3">
        <v>82.717663982262295</v>
      </c>
      <c r="R621" s="3" t="str">
        <f>IF(Table1[[#This Row],[Nutrition_Quality_Score]]&lt;60, "Poor Nutrition",IF(AND(Table1[[#This Row],[Nutrition_Quality_Score]]&gt;=60,Table1[[#This Row],[Nutrition_Quality_Score]]&lt;=80),"Average Nutrition", "Good Nutrition"))</f>
        <v>Good Nutrition</v>
      </c>
      <c r="S621">
        <v>1</v>
      </c>
      <c r="T621" t="str">
        <f>IF(Table1[[#This Row],[Warmup_Routine_Adherence]]=1, "Adherent","Non-Adherent")</f>
        <v>Adherent</v>
      </c>
      <c r="U621">
        <v>0</v>
      </c>
      <c r="V621" t="str">
        <f>IF(Table1[[#This Row],[Injury_Next_Season]]=1, "Injury","No Injury")</f>
        <v>No Injury</v>
      </c>
      <c r="W621" s="3">
        <v>23.620287912157998</v>
      </c>
    </row>
    <row r="622" spans="1:23" x14ac:dyDescent="0.25">
      <c r="A622" s="6">
        <v>23</v>
      </c>
      <c r="B622" s="8" t="str">
        <f>CONCATENATE(Table1[[#This Row],[Age]]," ", "years")</f>
        <v>23 years</v>
      </c>
      <c r="C622">
        <v>177</v>
      </c>
      <c r="D622">
        <v>88</v>
      </c>
      <c r="E622" t="s">
        <v>20</v>
      </c>
      <c r="F622" s="3">
        <v>6.0827464789770804</v>
      </c>
      <c r="G622" s="3">
        <v>15</v>
      </c>
      <c r="H622">
        <v>1</v>
      </c>
      <c r="I622" s="3">
        <v>72.904751896037297</v>
      </c>
      <c r="J622" s="3">
        <v>84.203498384891603</v>
      </c>
      <c r="K622" s="3">
        <v>213.86187391020599</v>
      </c>
      <c r="L622" s="3">
        <v>86.496869183837703</v>
      </c>
      <c r="M622" s="3">
        <v>5.9008089018574204</v>
      </c>
      <c r="N622" s="3">
        <v>86.522590312126994</v>
      </c>
      <c r="O622" s="3">
        <v>8.2202924013410499</v>
      </c>
      <c r="P622" s="3">
        <v>53.315571986676197</v>
      </c>
      <c r="Q622" s="3">
        <v>53.788259785807497</v>
      </c>
      <c r="R622" s="3" t="str">
        <f>IF(Table1[[#This Row],[Nutrition_Quality_Score]]&lt;60, "Poor Nutrition",IF(AND(Table1[[#This Row],[Nutrition_Quality_Score]]&gt;=60,Table1[[#This Row],[Nutrition_Quality_Score]]&lt;=80),"Average Nutrition", "Good Nutrition"))</f>
        <v>Poor Nutrition</v>
      </c>
      <c r="S622">
        <v>1</v>
      </c>
      <c r="T622" t="str">
        <f>IF(Table1[[#This Row],[Warmup_Routine_Adherence]]=1, "Adherent","Non-Adherent")</f>
        <v>Adherent</v>
      </c>
      <c r="U622">
        <v>0</v>
      </c>
      <c r="V622" t="str">
        <f>IF(Table1[[#This Row],[Injury_Next_Season]]=1, "Injury","No Injury")</f>
        <v>No Injury</v>
      </c>
      <c r="W622" s="3">
        <v>28.0889910306744</v>
      </c>
    </row>
    <row r="623" spans="1:23" x14ac:dyDescent="0.25">
      <c r="A623" s="6">
        <v>22</v>
      </c>
      <c r="B623" s="8" t="str">
        <f>CONCATENATE(Table1[[#This Row],[Age]]," ", "years")</f>
        <v>22 years</v>
      </c>
      <c r="C623">
        <v>173</v>
      </c>
      <c r="D623">
        <v>74</v>
      </c>
      <c r="E623" t="s">
        <v>22</v>
      </c>
      <c r="F623" s="3">
        <v>13.3834276127071</v>
      </c>
      <c r="G623" s="3">
        <v>12</v>
      </c>
      <c r="H623">
        <v>1</v>
      </c>
      <c r="I623" s="3">
        <v>73.748106624625095</v>
      </c>
      <c r="J623" s="3">
        <v>71.549882337381803</v>
      </c>
      <c r="K623" s="3">
        <v>243.99280460149501</v>
      </c>
      <c r="L623" s="3">
        <v>87.059195306550905</v>
      </c>
      <c r="M623" s="3">
        <v>5.1074893987924304</v>
      </c>
      <c r="N623" s="3">
        <v>80.527578590778901</v>
      </c>
      <c r="O623" s="3">
        <v>6.3631961088807198</v>
      </c>
      <c r="P623" s="3">
        <v>34.702364891077302</v>
      </c>
      <c r="Q623" s="3">
        <v>64.781849358306204</v>
      </c>
      <c r="R623" s="3" t="str">
        <f>IF(Table1[[#This Row],[Nutrition_Quality_Score]]&lt;60, "Poor Nutrition",IF(AND(Table1[[#This Row],[Nutrition_Quality_Score]]&gt;=60,Table1[[#This Row],[Nutrition_Quality_Score]]&lt;=80),"Average Nutrition", "Good Nutrition"))</f>
        <v>Average Nutrition</v>
      </c>
      <c r="S623">
        <v>0</v>
      </c>
      <c r="T623" t="str">
        <f>IF(Table1[[#This Row],[Warmup_Routine_Adherence]]=1, "Adherent","Non-Adherent")</f>
        <v>Non-Adherent</v>
      </c>
      <c r="U623">
        <v>1</v>
      </c>
      <c r="V623" t="str">
        <f>IF(Table1[[#This Row],[Injury_Next_Season]]=1, "Injury","No Injury")</f>
        <v>Injury</v>
      </c>
      <c r="W623" s="3">
        <v>24.725182932941198</v>
      </c>
    </row>
    <row r="624" spans="1:23" x14ac:dyDescent="0.25">
      <c r="A624" s="6">
        <v>22</v>
      </c>
      <c r="B624" s="8" t="str">
        <f>CONCATENATE(Table1[[#This Row],[Age]]," ", "years")</f>
        <v>22 years</v>
      </c>
      <c r="C624">
        <v>164</v>
      </c>
      <c r="D624">
        <v>62</v>
      </c>
      <c r="E624" t="s">
        <v>22</v>
      </c>
      <c r="F624" s="3">
        <v>8.7254750724404797</v>
      </c>
      <c r="G624" s="3">
        <v>13</v>
      </c>
      <c r="H624">
        <v>1</v>
      </c>
      <c r="I624" s="3">
        <v>62.174421229221899</v>
      </c>
      <c r="J624" s="3">
        <v>82.773275541241503</v>
      </c>
      <c r="K624" s="3">
        <v>209.94908550154099</v>
      </c>
      <c r="L624" s="3">
        <v>77.371515438979799</v>
      </c>
      <c r="M624" s="3">
        <v>5.5808699898811804</v>
      </c>
      <c r="N624" s="3">
        <v>73.156167191589702</v>
      </c>
      <c r="O624" s="3">
        <v>6.8531565629364604</v>
      </c>
      <c r="P624" s="3">
        <v>61.613145321876601</v>
      </c>
      <c r="Q624" s="3">
        <v>61.542872761877597</v>
      </c>
      <c r="R624" s="3" t="str">
        <f>IF(Table1[[#This Row],[Nutrition_Quality_Score]]&lt;60, "Poor Nutrition",IF(AND(Table1[[#This Row],[Nutrition_Quality_Score]]&gt;=60,Table1[[#This Row],[Nutrition_Quality_Score]]&lt;=80),"Average Nutrition", "Good Nutrition"))</f>
        <v>Average Nutrition</v>
      </c>
      <c r="S624">
        <v>0</v>
      </c>
      <c r="T624" t="str">
        <f>IF(Table1[[#This Row],[Warmup_Routine_Adherence]]=1, "Adherent","Non-Adherent")</f>
        <v>Non-Adherent</v>
      </c>
      <c r="U624">
        <v>1</v>
      </c>
      <c r="V624" t="str">
        <f>IF(Table1[[#This Row],[Injury_Next_Season]]=1, "Injury","No Injury")</f>
        <v>Injury</v>
      </c>
      <c r="W624" s="3">
        <v>23.051754907792901</v>
      </c>
    </row>
    <row r="625" spans="1:23" x14ac:dyDescent="0.25">
      <c r="A625" s="6">
        <v>22</v>
      </c>
      <c r="B625" s="8" t="str">
        <f>CONCATENATE(Table1[[#This Row],[Age]]," ", "years")</f>
        <v>22 years</v>
      </c>
      <c r="C625">
        <v>170</v>
      </c>
      <c r="D625">
        <v>65</v>
      </c>
      <c r="E625" t="s">
        <v>21</v>
      </c>
      <c r="F625" s="3">
        <v>5.4861241766492599</v>
      </c>
      <c r="G625" s="3">
        <v>10</v>
      </c>
      <c r="H625">
        <v>1</v>
      </c>
      <c r="I625" s="3">
        <v>69.941293999883101</v>
      </c>
      <c r="J625" s="3">
        <v>77.660227672664206</v>
      </c>
      <c r="K625" s="3">
        <v>229.11240821303599</v>
      </c>
      <c r="L625" s="3">
        <v>89.046026199559194</v>
      </c>
      <c r="M625" s="3">
        <v>6.0973309694906801</v>
      </c>
      <c r="N625" s="3">
        <v>75.679382524965504</v>
      </c>
      <c r="O625" s="3">
        <v>8.3015461415248009</v>
      </c>
      <c r="P625" s="3">
        <v>35.648413537207098</v>
      </c>
      <c r="Q625" s="3">
        <v>81.616178536275996</v>
      </c>
      <c r="R625" s="3" t="str">
        <f>IF(Table1[[#This Row],[Nutrition_Quality_Score]]&lt;60, "Poor Nutrition",IF(AND(Table1[[#This Row],[Nutrition_Quality_Score]]&gt;=60,Table1[[#This Row],[Nutrition_Quality_Score]]&lt;=80),"Average Nutrition", "Good Nutrition"))</f>
        <v>Good Nutrition</v>
      </c>
      <c r="S625">
        <v>1</v>
      </c>
      <c r="T625" t="str">
        <f>IF(Table1[[#This Row],[Warmup_Routine_Adherence]]=1, "Adherent","Non-Adherent")</f>
        <v>Adherent</v>
      </c>
      <c r="U625">
        <v>0</v>
      </c>
      <c r="V625" t="str">
        <f>IF(Table1[[#This Row],[Injury_Next_Season]]=1, "Injury","No Injury")</f>
        <v>No Injury</v>
      </c>
      <c r="W625" s="3">
        <v>22.4913494809688</v>
      </c>
    </row>
    <row r="626" spans="1:23" x14ac:dyDescent="0.25">
      <c r="A626" s="6">
        <v>23</v>
      </c>
      <c r="B626" s="8" t="str">
        <f>CONCATENATE(Table1[[#This Row],[Age]]," ", "years")</f>
        <v>23 years</v>
      </c>
      <c r="C626">
        <v>171</v>
      </c>
      <c r="D626">
        <v>80</v>
      </c>
      <c r="E626" t="s">
        <v>22</v>
      </c>
      <c r="F626" s="3">
        <v>5</v>
      </c>
      <c r="G626" s="3">
        <v>12</v>
      </c>
      <c r="H626">
        <v>0</v>
      </c>
      <c r="I626" s="3">
        <v>78.493239665246406</v>
      </c>
      <c r="J626" s="3">
        <v>67.711580591593702</v>
      </c>
      <c r="K626" s="3">
        <v>241.753418222384</v>
      </c>
      <c r="L626" s="3">
        <v>81.790430114683303</v>
      </c>
      <c r="M626" s="3">
        <v>5.8360435067759697</v>
      </c>
      <c r="N626" s="3">
        <v>63.818534971496497</v>
      </c>
      <c r="O626" s="3">
        <v>7.5887235479562998</v>
      </c>
      <c r="P626" s="3">
        <v>64.918272101653102</v>
      </c>
      <c r="Q626" s="3">
        <v>73.342544995999205</v>
      </c>
      <c r="R626" s="3" t="str">
        <f>IF(Table1[[#This Row],[Nutrition_Quality_Score]]&lt;60, "Poor Nutrition",IF(AND(Table1[[#This Row],[Nutrition_Quality_Score]]&gt;=60,Table1[[#This Row],[Nutrition_Quality_Score]]&lt;=80),"Average Nutrition", "Good Nutrition"))</f>
        <v>Average Nutrition</v>
      </c>
      <c r="S626">
        <v>0</v>
      </c>
      <c r="T626" t="str">
        <f>IF(Table1[[#This Row],[Warmup_Routine_Adherence]]=1, "Adherent","Non-Adherent")</f>
        <v>Non-Adherent</v>
      </c>
      <c r="U626">
        <v>1</v>
      </c>
      <c r="V626" t="str">
        <f>IF(Table1[[#This Row],[Injury_Next_Season]]=1, "Injury","No Injury")</f>
        <v>Injury</v>
      </c>
      <c r="W626" s="3">
        <v>27.358845456721699</v>
      </c>
    </row>
    <row r="627" spans="1:23" x14ac:dyDescent="0.25">
      <c r="A627" s="6">
        <v>19</v>
      </c>
      <c r="B627" s="8" t="str">
        <f>CONCATENATE(Table1[[#This Row],[Age]]," ", "years")</f>
        <v>19 years</v>
      </c>
      <c r="C627">
        <v>164</v>
      </c>
      <c r="D627">
        <v>74</v>
      </c>
      <c r="E627" t="s">
        <v>21</v>
      </c>
      <c r="F627" s="3">
        <v>11.359660989585301</v>
      </c>
      <c r="G627" s="3">
        <v>38</v>
      </c>
      <c r="H627">
        <v>1</v>
      </c>
      <c r="I627" s="3">
        <v>78.386020433768905</v>
      </c>
      <c r="J627" s="3">
        <v>86.763839019618004</v>
      </c>
      <c r="K627" s="3">
        <v>244.35278128237999</v>
      </c>
      <c r="L627" s="3">
        <v>91.848489373126299</v>
      </c>
      <c r="M627" s="3">
        <v>5.9001674990542297</v>
      </c>
      <c r="N627" s="3">
        <v>85.261585453236407</v>
      </c>
      <c r="O627" s="3">
        <v>7.57405602760823</v>
      </c>
      <c r="P627" s="3">
        <v>52.368819542155997</v>
      </c>
      <c r="Q627" s="3">
        <v>79.675998076344399</v>
      </c>
      <c r="R627" s="3" t="str">
        <f>IF(Table1[[#This Row],[Nutrition_Quality_Score]]&lt;60, "Poor Nutrition",IF(AND(Table1[[#This Row],[Nutrition_Quality_Score]]&gt;=60,Table1[[#This Row],[Nutrition_Quality_Score]]&lt;=80),"Average Nutrition", "Good Nutrition"))</f>
        <v>Average Nutrition</v>
      </c>
      <c r="S627">
        <v>0</v>
      </c>
      <c r="T627" t="str">
        <f>IF(Table1[[#This Row],[Warmup_Routine_Adherence]]=1, "Adherent","Non-Adherent")</f>
        <v>Non-Adherent</v>
      </c>
      <c r="U627">
        <v>0</v>
      </c>
      <c r="V627" t="str">
        <f>IF(Table1[[#This Row],[Injury_Next_Season]]=1, "Injury","No Injury")</f>
        <v>No Injury</v>
      </c>
      <c r="W627" s="3">
        <v>27.513384889946401</v>
      </c>
    </row>
    <row r="628" spans="1:23" x14ac:dyDescent="0.25">
      <c r="A628" s="6">
        <v>19</v>
      </c>
      <c r="B628" s="8" t="str">
        <f>CONCATENATE(Table1[[#This Row],[Age]]," ", "years")</f>
        <v>19 years</v>
      </c>
      <c r="C628">
        <v>175</v>
      </c>
      <c r="D628">
        <v>86</v>
      </c>
      <c r="E628" t="s">
        <v>21</v>
      </c>
      <c r="F628" s="3">
        <v>13.8357660162039</v>
      </c>
      <c r="G628" s="3">
        <v>18</v>
      </c>
      <c r="H628">
        <v>1</v>
      </c>
      <c r="I628" s="3">
        <v>81.301005512619597</v>
      </c>
      <c r="J628" s="3">
        <v>84.054015419951597</v>
      </c>
      <c r="K628" s="3">
        <v>180</v>
      </c>
      <c r="L628" s="3">
        <v>88.984960099491403</v>
      </c>
      <c r="M628" s="3">
        <v>6.3162216529939004</v>
      </c>
      <c r="N628" s="3">
        <v>89.997489875158806</v>
      </c>
      <c r="O628" s="3">
        <v>7.6357633359912596</v>
      </c>
      <c r="P628" s="3">
        <v>29.786196359311301</v>
      </c>
      <c r="Q628" s="3">
        <v>78.327423309410506</v>
      </c>
      <c r="R628" s="3" t="str">
        <f>IF(Table1[[#This Row],[Nutrition_Quality_Score]]&lt;60, "Poor Nutrition",IF(AND(Table1[[#This Row],[Nutrition_Quality_Score]]&gt;=60,Table1[[#This Row],[Nutrition_Quality_Score]]&lt;=80),"Average Nutrition", "Good Nutrition"))</f>
        <v>Average Nutrition</v>
      </c>
      <c r="S628">
        <v>1</v>
      </c>
      <c r="T628" t="str">
        <f>IF(Table1[[#This Row],[Warmup_Routine_Adherence]]=1, "Adherent","Non-Adherent")</f>
        <v>Adherent</v>
      </c>
      <c r="U628">
        <v>0</v>
      </c>
      <c r="V628" t="str">
        <f>IF(Table1[[#This Row],[Injury_Next_Season]]=1, "Injury","No Injury")</f>
        <v>No Injury</v>
      </c>
      <c r="W628" s="3">
        <v>28.081632653061199</v>
      </c>
    </row>
    <row r="629" spans="1:23" x14ac:dyDescent="0.25">
      <c r="A629" s="6">
        <v>20</v>
      </c>
      <c r="B629" s="8" t="str">
        <f>CONCATENATE(Table1[[#This Row],[Age]]," ", "years")</f>
        <v>20 years</v>
      </c>
      <c r="C629">
        <v>166</v>
      </c>
      <c r="D629">
        <v>61</v>
      </c>
      <c r="E629" t="s">
        <v>21</v>
      </c>
      <c r="F629" s="3">
        <v>11.0436623215249</v>
      </c>
      <c r="G629" s="3">
        <v>18</v>
      </c>
      <c r="H629">
        <v>1</v>
      </c>
      <c r="I629" s="3">
        <v>81.106490821186895</v>
      </c>
      <c r="J629" s="3">
        <v>78.541551447807294</v>
      </c>
      <c r="K629" s="3">
        <v>281.16105564003198</v>
      </c>
      <c r="L629" s="3">
        <v>76.809128938275705</v>
      </c>
      <c r="M629" s="3">
        <v>5.5850327665583004</v>
      </c>
      <c r="N629" s="3">
        <v>71.029575912721995</v>
      </c>
      <c r="O629" s="3">
        <v>7.0865607870853999</v>
      </c>
      <c r="P629" s="3">
        <v>64.791204375270098</v>
      </c>
      <c r="Q629" s="3">
        <v>85.799422272335306</v>
      </c>
      <c r="R629" s="3" t="str">
        <f>IF(Table1[[#This Row],[Nutrition_Quality_Score]]&lt;60, "Poor Nutrition",IF(AND(Table1[[#This Row],[Nutrition_Quality_Score]]&gt;=60,Table1[[#This Row],[Nutrition_Quality_Score]]&lt;=80),"Average Nutrition", "Good Nutrition"))</f>
        <v>Good Nutrition</v>
      </c>
      <c r="S629">
        <v>1</v>
      </c>
      <c r="T629" t="str">
        <f>IF(Table1[[#This Row],[Warmup_Routine_Adherence]]=1, "Adherent","Non-Adherent")</f>
        <v>Adherent</v>
      </c>
      <c r="U629">
        <v>1</v>
      </c>
      <c r="V629" t="str">
        <f>IF(Table1[[#This Row],[Injury_Next_Season]]=1, "Injury","No Injury")</f>
        <v>Injury</v>
      </c>
      <c r="W629" s="3">
        <v>22.136739730004301</v>
      </c>
    </row>
    <row r="630" spans="1:23" x14ac:dyDescent="0.25">
      <c r="A630" s="6">
        <v>22</v>
      </c>
      <c r="B630" s="8" t="str">
        <f>CONCATENATE(Table1[[#This Row],[Age]]," ", "years")</f>
        <v>22 years</v>
      </c>
      <c r="C630">
        <v>176</v>
      </c>
      <c r="D630">
        <v>69</v>
      </c>
      <c r="E630" t="s">
        <v>22</v>
      </c>
      <c r="F630" s="3">
        <v>7.5771086753306598</v>
      </c>
      <c r="G630" s="3">
        <v>9</v>
      </c>
      <c r="H630">
        <v>1</v>
      </c>
      <c r="I630" s="3">
        <v>79.963361016833105</v>
      </c>
      <c r="J630" s="3">
        <v>78.793832991729303</v>
      </c>
      <c r="K630" s="3">
        <v>258.09811075006598</v>
      </c>
      <c r="L630" s="3">
        <v>81.760596967874903</v>
      </c>
      <c r="M630" s="3">
        <v>5.6725017211916802</v>
      </c>
      <c r="N630" s="3">
        <v>81.125914995444205</v>
      </c>
      <c r="O630" s="3">
        <v>7.7633111563181298</v>
      </c>
      <c r="P630" s="3">
        <v>60.177086841699001</v>
      </c>
      <c r="Q630" s="3">
        <v>66.965220705526903</v>
      </c>
      <c r="R630" s="3" t="str">
        <f>IF(Table1[[#This Row],[Nutrition_Quality_Score]]&lt;60, "Poor Nutrition",IF(AND(Table1[[#This Row],[Nutrition_Quality_Score]]&gt;=60,Table1[[#This Row],[Nutrition_Quality_Score]]&lt;=80),"Average Nutrition", "Good Nutrition"))</f>
        <v>Average Nutrition</v>
      </c>
      <c r="S630">
        <v>0</v>
      </c>
      <c r="T630" t="str">
        <f>IF(Table1[[#This Row],[Warmup_Routine_Adherence]]=1, "Adherent","Non-Adherent")</f>
        <v>Non-Adherent</v>
      </c>
      <c r="U630">
        <v>1</v>
      </c>
      <c r="V630" t="str">
        <f>IF(Table1[[#This Row],[Injury_Next_Season]]=1, "Injury","No Injury")</f>
        <v>Injury</v>
      </c>
      <c r="W630" s="3">
        <v>22.275309917355301</v>
      </c>
    </row>
    <row r="631" spans="1:23" x14ac:dyDescent="0.25">
      <c r="A631" s="6">
        <v>20</v>
      </c>
      <c r="B631" s="8" t="str">
        <f>CONCATENATE(Table1[[#This Row],[Age]]," ", "years")</f>
        <v>20 years</v>
      </c>
      <c r="C631">
        <v>183</v>
      </c>
      <c r="D631">
        <v>71</v>
      </c>
      <c r="E631" t="s">
        <v>21</v>
      </c>
      <c r="F631" s="3">
        <v>10.216731394906599</v>
      </c>
      <c r="G631" s="3">
        <v>39</v>
      </c>
      <c r="H631">
        <v>2</v>
      </c>
      <c r="I631" s="3">
        <v>83.792824973422299</v>
      </c>
      <c r="J631" s="3">
        <v>83.455448136141896</v>
      </c>
      <c r="K631" s="3">
        <v>260.25616019340902</v>
      </c>
      <c r="L631" s="3">
        <v>92.8363450297702</v>
      </c>
      <c r="M631" s="3">
        <v>5.6196618931761799</v>
      </c>
      <c r="N631" s="3">
        <v>86.999094156331296</v>
      </c>
      <c r="O631" s="3">
        <v>7.65749679468761</v>
      </c>
      <c r="P631" s="3">
        <v>52.191992744261697</v>
      </c>
      <c r="Q631" s="3">
        <v>85.804311744748503</v>
      </c>
      <c r="R631" s="3" t="str">
        <f>IF(Table1[[#This Row],[Nutrition_Quality_Score]]&lt;60, "Poor Nutrition",IF(AND(Table1[[#This Row],[Nutrition_Quality_Score]]&gt;=60,Table1[[#This Row],[Nutrition_Quality_Score]]&lt;=80),"Average Nutrition", "Good Nutrition"))</f>
        <v>Good Nutrition</v>
      </c>
      <c r="S631">
        <v>1</v>
      </c>
      <c r="T631" t="str">
        <f>IF(Table1[[#This Row],[Warmup_Routine_Adherence]]=1, "Adherent","Non-Adherent")</f>
        <v>Adherent</v>
      </c>
      <c r="U631">
        <v>0</v>
      </c>
      <c r="V631" t="str">
        <f>IF(Table1[[#This Row],[Injury_Next_Season]]=1, "Injury","No Injury")</f>
        <v>No Injury</v>
      </c>
      <c r="W631" s="3">
        <v>21.200991370300599</v>
      </c>
    </row>
    <row r="632" spans="1:23" x14ac:dyDescent="0.25">
      <c r="A632" s="6">
        <v>20</v>
      </c>
      <c r="B632" s="8" t="str">
        <f>CONCATENATE(Table1[[#This Row],[Age]]," ", "years")</f>
        <v>20 years</v>
      </c>
      <c r="C632">
        <v>177</v>
      </c>
      <c r="D632">
        <v>83</v>
      </c>
      <c r="E632" t="s">
        <v>22</v>
      </c>
      <c r="F632" s="3">
        <v>13.5157703013292</v>
      </c>
      <c r="G632" s="3">
        <v>25</v>
      </c>
      <c r="H632">
        <v>2</v>
      </c>
      <c r="I632" s="3">
        <v>83.711568655873094</v>
      </c>
      <c r="J632" s="3">
        <v>83.116858250068503</v>
      </c>
      <c r="K632" s="3">
        <v>268.140895286545</v>
      </c>
      <c r="L632" s="3">
        <v>76.6570704435875</v>
      </c>
      <c r="M632" s="3">
        <v>6.1925435991275304</v>
      </c>
      <c r="N632" s="3">
        <v>78.588764122690804</v>
      </c>
      <c r="O632" s="3">
        <v>8.4443681112838096</v>
      </c>
      <c r="P632" s="3">
        <v>43.326413684104097</v>
      </c>
      <c r="Q632" s="3">
        <v>66.0806963594991</v>
      </c>
      <c r="R632" s="3" t="str">
        <f>IF(Table1[[#This Row],[Nutrition_Quality_Score]]&lt;60, "Poor Nutrition",IF(AND(Table1[[#This Row],[Nutrition_Quality_Score]]&gt;=60,Table1[[#This Row],[Nutrition_Quality_Score]]&lt;=80),"Average Nutrition", "Good Nutrition"))</f>
        <v>Average Nutrition</v>
      </c>
      <c r="S632">
        <v>1</v>
      </c>
      <c r="T632" t="str">
        <f>IF(Table1[[#This Row],[Warmup_Routine_Adherence]]=1, "Adherent","Non-Adherent")</f>
        <v>Adherent</v>
      </c>
      <c r="U632">
        <v>1</v>
      </c>
      <c r="V632" t="str">
        <f>IF(Table1[[#This Row],[Injury_Next_Season]]=1, "Injury","No Injury")</f>
        <v>Injury</v>
      </c>
      <c r="W632" s="3">
        <v>26.493025631204301</v>
      </c>
    </row>
    <row r="633" spans="1:23" x14ac:dyDescent="0.25">
      <c r="A633" s="6">
        <v>18</v>
      </c>
      <c r="B633" s="8" t="str">
        <f>CONCATENATE(Table1[[#This Row],[Age]]," ", "years")</f>
        <v>18 years</v>
      </c>
      <c r="C633">
        <v>181</v>
      </c>
      <c r="D633">
        <v>65</v>
      </c>
      <c r="E633" t="s">
        <v>19</v>
      </c>
      <c r="F633" s="3">
        <v>11.650911751759701</v>
      </c>
      <c r="G633" s="3">
        <v>25</v>
      </c>
      <c r="H633">
        <v>1</v>
      </c>
      <c r="I633" s="3">
        <v>77.3749690478693</v>
      </c>
      <c r="J633" s="3">
        <v>86.053656128828706</v>
      </c>
      <c r="K633" s="3">
        <v>288.54118807900602</v>
      </c>
      <c r="L633" s="3">
        <v>77.753776608642198</v>
      </c>
      <c r="M633" s="3">
        <v>5.79805669211125</v>
      </c>
      <c r="N633" s="3">
        <v>62.835094391214</v>
      </c>
      <c r="O633" s="3">
        <v>6.4800442167049903</v>
      </c>
      <c r="P633" s="3">
        <v>67.480546242946502</v>
      </c>
      <c r="Q633" s="3">
        <v>70.290397671379196</v>
      </c>
      <c r="R633" s="3" t="str">
        <f>IF(Table1[[#This Row],[Nutrition_Quality_Score]]&lt;60, "Poor Nutrition",IF(AND(Table1[[#This Row],[Nutrition_Quality_Score]]&gt;=60,Table1[[#This Row],[Nutrition_Quality_Score]]&lt;=80),"Average Nutrition", "Good Nutrition"))</f>
        <v>Average Nutrition</v>
      </c>
      <c r="S633">
        <v>0</v>
      </c>
      <c r="T633" t="str">
        <f>IF(Table1[[#This Row],[Warmup_Routine_Adherence]]=1, "Adherent","Non-Adherent")</f>
        <v>Non-Adherent</v>
      </c>
      <c r="U633">
        <v>1</v>
      </c>
      <c r="V633" t="str">
        <f>IF(Table1[[#This Row],[Injury_Next_Season]]=1, "Injury","No Injury")</f>
        <v>Injury</v>
      </c>
      <c r="W633" s="3">
        <v>19.840664204389299</v>
      </c>
    </row>
    <row r="634" spans="1:23" x14ac:dyDescent="0.25">
      <c r="A634" s="6">
        <v>22</v>
      </c>
      <c r="B634" s="8" t="str">
        <f>CONCATENATE(Table1[[#This Row],[Age]]," ", "years")</f>
        <v>22 years</v>
      </c>
      <c r="C634">
        <v>178</v>
      </c>
      <c r="D634">
        <v>86</v>
      </c>
      <c r="E634" t="s">
        <v>20</v>
      </c>
      <c r="F634" s="3">
        <v>7.5033189219679501</v>
      </c>
      <c r="G634" s="3">
        <v>23</v>
      </c>
      <c r="H634">
        <v>4</v>
      </c>
      <c r="I634" s="3">
        <v>69.412925038848499</v>
      </c>
      <c r="J634" s="3">
        <v>79.681251738976897</v>
      </c>
      <c r="K634" s="3">
        <v>229.614178646504</v>
      </c>
      <c r="L634" s="3">
        <v>81.367092316979907</v>
      </c>
      <c r="M634" s="3">
        <v>6.1345765149241496</v>
      </c>
      <c r="N634" s="3">
        <v>72.684829555842597</v>
      </c>
      <c r="O634" s="3">
        <v>7.6602455633364803</v>
      </c>
      <c r="P634" s="3">
        <v>49.754052915326596</v>
      </c>
      <c r="Q634" s="3">
        <v>67.993225497426707</v>
      </c>
      <c r="R634" s="3" t="str">
        <f>IF(Table1[[#This Row],[Nutrition_Quality_Score]]&lt;60, "Poor Nutrition",IF(AND(Table1[[#This Row],[Nutrition_Quality_Score]]&gt;=60,Table1[[#This Row],[Nutrition_Quality_Score]]&lt;=80),"Average Nutrition", "Good Nutrition"))</f>
        <v>Average Nutrition</v>
      </c>
      <c r="S634">
        <v>0</v>
      </c>
      <c r="T634" t="str">
        <f>IF(Table1[[#This Row],[Warmup_Routine_Adherence]]=1, "Adherent","Non-Adherent")</f>
        <v>Non-Adherent</v>
      </c>
      <c r="U634">
        <v>1</v>
      </c>
      <c r="V634" t="str">
        <f>IF(Table1[[#This Row],[Injury_Next_Season]]=1, "Injury","No Injury")</f>
        <v>Injury</v>
      </c>
      <c r="W634" s="3">
        <v>27.143037495265698</v>
      </c>
    </row>
    <row r="635" spans="1:23" x14ac:dyDescent="0.25">
      <c r="A635" s="6">
        <v>21</v>
      </c>
      <c r="B635" s="8" t="str">
        <f>CONCATENATE(Table1[[#This Row],[Age]]," ", "years")</f>
        <v>21 years</v>
      </c>
      <c r="C635">
        <v>191</v>
      </c>
      <c r="D635">
        <v>83</v>
      </c>
      <c r="E635" t="s">
        <v>19</v>
      </c>
      <c r="F635" s="3">
        <v>8.7823555306833594</v>
      </c>
      <c r="G635" s="3">
        <v>22</v>
      </c>
      <c r="H635">
        <v>4</v>
      </c>
      <c r="I635" s="3">
        <v>73.7045772660571</v>
      </c>
      <c r="J635" s="3">
        <v>74.829349383687997</v>
      </c>
      <c r="K635" s="3">
        <v>269.485986905478</v>
      </c>
      <c r="L635" s="3">
        <v>80.737669472683606</v>
      </c>
      <c r="M635" s="3">
        <v>5.9794010636809096</v>
      </c>
      <c r="N635" s="3">
        <v>69.155899940770695</v>
      </c>
      <c r="O635" s="3">
        <v>7.0427935541429996</v>
      </c>
      <c r="P635" s="3">
        <v>68.164054595615298</v>
      </c>
      <c r="Q635" s="3">
        <v>62.644932893117897</v>
      </c>
      <c r="R635" s="3" t="str">
        <f>IF(Table1[[#This Row],[Nutrition_Quality_Score]]&lt;60, "Poor Nutrition",IF(AND(Table1[[#This Row],[Nutrition_Quality_Score]]&gt;=60,Table1[[#This Row],[Nutrition_Quality_Score]]&lt;=80),"Average Nutrition", "Good Nutrition"))</f>
        <v>Average Nutrition</v>
      </c>
      <c r="S635">
        <v>1</v>
      </c>
      <c r="T635" t="str">
        <f>IF(Table1[[#This Row],[Warmup_Routine_Adherence]]=1, "Adherent","Non-Adherent")</f>
        <v>Adherent</v>
      </c>
      <c r="U635">
        <v>1</v>
      </c>
      <c r="V635" t="str">
        <f>IF(Table1[[#This Row],[Injury_Next_Season]]=1, "Injury","No Injury")</f>
        <v>Injury</v>
      </c>
      <c r="W635" s="3">
        <v>22.751569310051799</v>
      </c>
    </row>
    <row r="636" spans="1:23" x14ac:dyDescent="0.25">
      <c r="A636" s="6">
        <v>19</v>
      </c>
      <c r="B636" s="8" t="str">
        <f>CONCATENATE(Table1[[#This Row],[Age]]," ", "years")</f>
        <v>19 years</v>
      </c>
      <c r="C636">
        <v>172</v>
      </c>
      <c r="D636">
        <v>85</v>
      </c>
      <c r="E636" t="s">
        <v>20</v>
      </c>
      <c r="F636" s="3">
        <v>6.4504666582486099</v>
      </c>
      <c r="G636" s="3">
        <v>6</v>
      </c>
      <c r="H636">
        <v>0</v>
      </c>
      <c r="I636" s="3">
        <v>66.750079266633804</v>
      </c>
      <c r="J636" s="3">
        <v>86.143451925698699</v>
      </c>
      <c r="K636" s="3">
        <v>198.544182017645</v>
      </c>
      <c r="L636" s="3">
        <v>82.074152591626003</v>
      </c>
      <c r="M636" s="3">
        <v>5.94567779639456</v>
      </c>
      <c r="N636" s="3">
        <v>80.123217531477295</v>
      </c>
      <c r="O636" s="3">
        <v>7.5728255503474804</v>
      </c>
      <c r="P636" s="3">
        <v>54.339291094024503</v>
      </c>
      <c r="Q636" s="3">
        <v>89.038781746840201</v>
      </c>
      <c r="R636" s="3" t="str">
        <f>IF(Table1[[#This Row],[Nutrition_Quality_Score]]&lt;60, "Poor Nutrition",IF(AND(Table1[[#This Row],[Nutrition_Quality_Score]]&gt;=60,Table1[[#This Row],[Nutrition_Quality_Score]]&lt;=80),"Average Nutrition", "Good Nutrition"))</f>
        <v>Good Nutrition</v>
      </c>
      <c r="S636">
        <v>0</v>
      </c>
      <c r="T636" t="str">
        <f>IF(Table1[[#This Row],[Warmup_Routine_Adherence]]=1, "Adherent","Non-Adherent")</f>
        <v>Non-Adherent</v>
      </c>
      <c r="U636">
        <v>0</v>
      </c>
      <c r="V636" t="str">
        <f>IF(Table1[[#This Row],[Injury_Next_Season]]=1, "Injury","No Injury")</f>
        <v>No Injury</v>
      </c>
      <c r="W636" s="3">
        <v>28.7317468902109</v>
      </c>
    </row>
    <row r="637" spans="1:23" x14ac:dyDescent="0.25">
      <c r="A637" s="6">
        <v>21</v>
      </c>
      <c r="B637" s="8" t="str">
        <f>CONCATENATE(Table1[[#This Row],[Age]]," ", "years")</f>
        <v>21 years</v>
      </c>
      <c r="C637">
        <v>166</v>
      </c>
      <c r="D637">
        <v>65</v>
      </c>
      <c r="E637" t="s">
        <v>22</v>
      </c>
      <c r="F637" s="3">
        <v>11.0658820746486</v>
      </c>
      <c r="G637" s="3">
        <v>34</v>
      </c>
      <c r="H637">
        <v>3</v>
      </c>
      <c r="I637" s="3">
        <v>81.558957398321198</v>
      </c>
      <c r="J637" s="3">
        <v>81.854904881777998</v>
      </c>
      <c r="K637" s="3">
        <v>253.32371532300101</v>
      </c>
      <c r="L637" s="3">
        <v>78.294372202285899</v>
      </c>
      <c r="M637" s="3">
        <v>5.9292811726399703</v>
      </c>
      <c r="N637" s="3">
        <v>61.305726963489199</v>
      </c>
      <c r="O637" s="3">
        <v>8.6763244952842609</v>
      </c>
      <c r="P637" s="3">
        <v>35.6440751316525</v>
      </c>
      <c r="Q637" s="3">
        <v>65.928685122603397</v>
      </c>
      <c r="R637" s="3" t="str">
        <f>IF(Table1[[#This Row],[Nutrition_Quality_Score]]&lt;60, "Poor Nutrition",IF(AND(Table1[[#This Row],[Nutrition_Quality_Score]]&gt;=60,Table1[[#This Row],[Nutrition_Quality_Score]]&lt;=80),"Average Nutrition", "Good Nutrition"))</f>
        <v>Average Nutrition</v>
      </c>
      <c r="S637">
        <v>1</v>
      </c>
      <c r="T637" t="str">
        <f>IF(Table1[[#This Row],[Warmup_Routine_Adherence]]=1, "Adherent","Non-Adherent")</f>
        <v>Adherent</v>
      </c>
      <c r="U637">
        <v>0</v>
      </c>
      <c r="V637" t="str">
        <f>IF(Table1[[#This Row],[Injury_Next_Season]]=1, "Injury","No Injury")</f>
        <v>No Injury</v>
      </c>
      <c r="W637" s="3">
        <v>23.588329220496401</v>
      </c>
    </row>
    <row r="638" spans="1:23" x14ac:dyDescent="0.25">
      <c r="A638" s="6">
        <v>23</v>
      </c>
      <c r="B638" s="8" t="str">
        <f>CONCATENATE(Table1[[#This Row],[Age]]," ", "years")</f>
        <v>23 years</v>
      </c>
      <c r="C638">
        <v>182</v>
      </c>
      <c r="D638">
        <v>82</v>
      </c>
      <c r="E638" t="s">
        <v>22</v>
      </c>
      <c r="F638" s="3">
        <v>11.445600334051401</v>
      </c>
      <c r="G638" s="3">
        <v>33</v>
      </c>
      <c r="H638">
        <v>2</v>
      </c>
      <c r="I638" s="3">
        <v>67.823246093906704</v>
      </c>
      <c r="J638" s="3">
        <v>81.850462728870696</v>
      </c>
      <c r="K638" s="3">
        <v>225.65583873852299</v>
      </c>
      <c r="L638" s="3">
        <v>86.715529448151997</v>
      </c>
      <c r="M638" s="3">
        <v>5.9357960092016304</v>
      </c>
      <c r="N638" s="3">
        <v>77.329882437174604</v>
      </c>
      <c r="O638" s="3">
        <v>6.9309105561650997</v>
      </c>
      <c r="P638" s="3">
        <v>62.001646875365303</v>
      </c>
      <c r="Q638" s="3">
        <v>64.614174341471795</v>
      </c>
      <c r="R638" s="3" t="str">
        <f>IF(Table1[[#This Row],[Nutrition_Quality_Score]]&lt;60, "Poor Nutrition",IF(AND(Table1[[#This Row],[Nutrition_Quality_Score]]&gt;=60,Table1[[#This Row],[Nutrition_Quality_Score]]&lt;=80),"Average Nutrition", "Good Nutrition"))</f>
        <v>Average Nutrition</v>
      </c>
      <c r="S638">
        <v>0</v>
      </c>
      <c r="T638" t="str">
        <f>IF(Table1[[#This Row],[Warmup_Routine_Adherence]]=1, "Adherent","Non-Adherent")</f>
        <v>Non-Adherent</v>
      </c>
      <c r="U638">
        <v>0</v>
      </c>
      <c r="V638" t="str">
        <f>IF(Table1[[#This Row],[Injury_Next_Season]]=1, "Injury","No Injury")</f>
        <v>No Injury</v>
      </c>
      <c r="W638" s="3">
        <v>24.755464315903801</v>
      </c>
    </row>
    <row r="639" spans="1:23" x14ac:dyDescent="0.25">
      <c r="A639" s="6">
        <v>22</v>
      </c>
      <c r="B639" s="8" t="str">
        <f>CONCATENATE(Table1[[#This Row],[Age]]," ", "years")</f>
        <v>22 years</v>
      </c>
      <c r="C639">
        <v>171</v>
      </c>
      <c r="D639">
        <v>69</v>
      </c>
      <c r="E639" t="s">
        <v>20</v>
      </c>
      <c r="F639" s="3">
        <v>10.372178683044</v>
      </c>
      <c r="G639" s="3">
        <v>13</v>
      </c>
      <c r="H639">
        <v>1</v>
      </c>
      <c r="I639" s="3">
        <v>71.192741226953601</v>
      </c>
      <c r="J639" s="3">
        <v>76.124095556170303</v>
      </c>
      <c r="K639" s="3">
        <v>251.05808027249199</v>
      </c>
      <c r="L639" s="3">
        <v>78.959214890745997</v>
      </c>
      <c r="M639" s="3">
        <v>5.9899055635738403</v>
      </c>
      <c r="N639" s="3">
        <v>71.196150598487407</v>
      </c>
      <c r="O639" s="3">
        <v>6.3143061358953601</v>
      </c>
      <c r="P639" s="3">
        <v>60.4883995341429</v>
      </c>
      <c r="Q639" s="3">
        <v>61.231817670377602</v>
      </c>
      <c r="R639" s="3" t="str">
        <f>IF(Table1[[#This Row],[Nutrition_Quality_Score]]&lt;60, "Poor Nutrition",IF(AND(Table1[[#This Row],[Nutrition_Quality_Score]]&gt;=60,Table1[[#This Row],[Nutrition_Quality_Score]]&lt;=80),"Average Nutrition", "Good Nutrition"))</f>
        <v>Average Nutrition</v>
      </c>
      <c r="S639">
        <v>1</v>
      </c>
      <c r="T639" t="str">
        <f>IF(Table1[[#This Row],[Warmup_Routine_Adherence]]=1, "Adherent","Non-Adherent")</f>
        <v>Adherent</v>
      </c>
      <c r="U639">
        <v>1</v>
      </c>
      <c r="V639" t="str">
        <f>IF(Table1[[#This Row],[Injury_Next_Season]]=1, "Injury","No Injury")</f>
        <v>Injury</v>
      </c>
      <c r="W639" s="3">
        <v>23.597004206422401</v>
      </c>
    </row>
    <row r="640" spans="1:23" x14ac:dyDescent="0.25">
      <c r="A640" s="6">
        <v>19</v>
      </c>
      <c r="B640" s="8" t="str">
        <f>CONCATENATE(Table1[[#This Row],[Age]]," ", "years")</f>
        <v>19 years</v>
      </c>
      <c r="C640">
        <v>169</v>
      </c>
      <c r="D640">
        <v>59</v>
      </c>
      <c r="E640" t="s">
        <v>20</v>
      </c>
      <c r="F640" s="3">
        <v>11.189160047225</v>
      </c>
      <c r="G640" s="3">
        <v>6</v>
      </c>
      <c r="H640">
        <v>1</v>
      </c>
      <c r="I640" s="3">
        <v>79.480920317585898</v>
      </c>
      <c r="J640" s="3">
        <v>70.240104864357093</v>
      </c>
      <c r="K640" s="3">
        <v>222.41127898487201</v>
      </c>
      <c r="L640" s="3">
        <v>92.984489984388603</v>
      </c>
      <c r="M640" s="3">
        <v>6.0868983452246699</v>
      </c>
      <c r="N640" s="3">
        <v>96.817813037711701</v>
      </c>
      <c r="O640" s="3">
        <v>7.2393093482867599</v>
      </c>
      <c r="P640" s="3">
        <v>37.919725964506</v>
      </c>
      <c r="Q640" s="3">
        <v>82.918029185777399</v>
      </c>
      <c r="R640" s="3" t="str">
        <f>IF(Table1[[#This Row],[Nutrition_Quality_Score]]&lt;60, "Poor Nutrition",IF(AND(Table1[[#This Row],[Nutrition_Quality_Score]]&gt;=60,Table1[[#This Row],[Nutrition_Quality_Score]]&lt;=80),"Average Nutrition", "Good Nutrition"))</f>
        <v>Good Nutrition</v>
      </c>
      <c r="S640">
        <v>1</v>
      </c>
      <c r="T640" t="str">
        <f>IF(Table1[[#This Row],[Warmup_Routine_Adherence]]=1, "Adherent","Non-Adherent")</f>
        <v>Adherent</v>
      </c>
      <c r="U640">
        <v>0</v>
      </c>
      <c r="V640" t="str">
        <f>IF(Table1[[#This Row],[Injury_Next_Season]]=1, "Injury","No Injury")</f>
        <v>No Injury</v>
      </c>
      <c r="W640" s="3">
        <v>20.657540002100699</v>
      </c>
    </row>
    <row r="641" spans="1:23" x14ac:dyDescent="0.25">
      <c r="A641" s="6">
        <v>20</v>
      </c>
      <c r="B641" s="8" t="str">
        <f>CONCATENATE(Table1[[#This Row],[Age]]," ", "years")</f>
        <v>20 years</v>
      </c>
      <c r="C641">
        <v>171</v>
      </c>
      <c r="D641">
        <v>78</v>
      </c>
      <c r="E641" t="s">
        <v>19</v>
      </c>
      <c r="F641" s="3">
        <v>9.6279601999318896</v>
      </c>
      <c r="G641" s="3">
        <v>28</v>
      </c>
      <c r="H641">
        <v>0</v>
      </c>
      <c r="I641" s="3">
        <v>80.713708104749799</v>
      </c>
      <c r="J641" s="3">
        <v>81.042208129656103</v>
      </c>
      <c r="K641" s="3">
        <v>242.30874728879101</v>
      </c>
      <c r="L641" s="3">
        <v>84.675663125026205</v>
      </c>
      <c r="M641" s="3">
        <v>6.3286983330804203</v>
      </c>
      <c r="N641" s="3">
        <v>90.390408095260298</v>
      </c>
      <c r="O641" s="3">
        <v>7.88138365603435</v>
      </c>
      <c r="P641" s="3">
        <v>61.470563250803103</v>
      </c>
      <c r="Q641" s="3">
        <v>89.448083959379602</v>
      </c>
      <c r="R641" s="3" t="str">
        <f>IF(Table1[[#This Row],[Nutrition_Quality_Score]]&lt;60, "Poor Nutrition",IF(AND(Table1[[#This Row],[Nutrition_Quality_Score]]&gt;=60,Table1[[#This Row],[Nutrition_Quality_Score]]&lt;=80),"Average Nutrition", "Good Nutrition"))</f>
        <v>Good Nutrition</v>
      </c>
      <c r="S641">
        <v>1</v>
      </c>
      <c r="T641" t="str">
        <f>IF(Table1[[#This Row],[Warmup_Routine_Adherence]]=1, "Adherent","Non-Adherent")</f>
        <v>Adherent</v>
      </c>
      <c r="U641">
        <v>0</v>
      </c>
      <c r="V641" t="str">
        <f>IF(Table1[[#This Row],[Injury_Next_Season]]=1, "Injury","No Injury")</f>
        <v>No Injury</v>
      </c>
      <c r="W641" s="3">
        <v>26.674874320303601</v>
      </c>
    </row>
    <row r="642" spans="1:23" x14ac:dyDescent="0.25">
      <c r="A642" s="6">
        <v>18</v>
      </c>
      <c r="B642" s="8" t="str">
        <f>CONCATENATE(Table1[[#This Row],[Age]]," ", "years")</f>
        <v>18 years</v>
      </c>
      <c r="C642">
        <v>183</v>
      </c>
      <c r="D642">
        <v>72</v>
      </c>
      <c r="E642" t="s">
        <v>22</v>
      </c>
      <c r="F642" s="3">
        <v>10.348422805939601</v>
      </c>
      <c r="G642" s="3">
        <v>32</v>
      </c>
      <c r="H642">
        <v>1</v>
      </c>
      <c r="I642" s="3">
        <v>84.750831419889295</v>
      </c>
      <c r="J642" s="3">
        <v>82.114081814415201</v>
      </c>
      <c r="K642" s="3">
        <v>269.322856609459</v>
      </c>
      <c r="L642" s="3">
        <v>95.093973916154397</v>
      </c>
      <c r="M642" s="3">
        <v>5.8865022422253404</v>
      </c>
      <c r="N642" s="3">
        <v>81.840573311507399</v>
      </c>
      <c r="O642" s="3">
        <v>8.3326886870172192</v>
      </c>
      <c r="P642" s="3">
        <v>33.349497796912502</v>
      </c>
      <c r="Q642" s="3">
        <v>72.699024460886406</v>
      </c>
      <c r="R642" s="3" t="str">
        <f>IF(Table1[[#This Row],[Nutrition_Quality_Score]]&lt;60, "Poor Nutrition",IF(AND(Table1[[#This Row],[Nutrition_Quality_Score]]&gt;=60,Table1[[#This Row],[Nutrition_Quality_Score]]&lt;=80),"Average Nutrition", "Good Nutrition"))</f>
        <v>Average Nutrition</v>
      </c>
      <c r="S642">
        <v>1</v>
      </c>
      <c r="T642" t="str">
        <f>IF(Table1[[#This Row],[Warmup_Routine_Adherence]]=1, "Adherent","Non-Adherent")</f>
        <v>Adherent</v>
      </c>
      <c r="U642">
        <v>0</v>
      </c>
      <c r="V642" t="str">
        <f>IF(Table1[[#This Row],[Injury_Next_Season]]=1, "Injury","No Injury")</f>
        <v>No Injury</v>
      </c>
      <c r="W642" s="3">
        <v>21.4995968825584</v>
      </c>
    </row>
    <row r="643" spans="1:23" x14ac:dyDescent="0.25">
      <c r="A643" s="6">
        <v>21</v>
      </c>
      <c r="B643" s="8" t="str">
        <f>CONCATENATE(Table1[[#This Row],[Age]]," ", "years")</f>
        <v>21 years</v>
      </c>
      <c r="C643">
        <v>183</v>
      </c>
      <c r="D643">
        <v>71</v>
      </c>
      <c r="E643" t="s">
        <v>19</v>
      </c>
      <c r="F643" s="3">
        <v>8.9311242691130506</v>
      </c>
      <c r="G643" s="3">
        <v>36</v>
      </c>
      <c r="H643">
        <v>0</v>
      </c>
      <c r="I643" s="3">
        <v>88.317681400475493</v>
      </c>
      <c r="J643" s="3">
        <v>76.852810598550803</v>
      </c>
      <c r="K643" s="3">
        <v>250.921595073611</v>
      </c>
      <c r="L643" s="3">
        <v>91.981248893367095</v>
      </c>
      <c r="M643" s="3">
        <v>6.0269810772969299</v>
      </c>
      <c r="N643" s="3">
        <v>84.922674524313706</v>
      </c>
      <c r="O643" s="3">
        <v>7.4285763710431203</v>
      </c>
      <c r="P643" s="3">
        <v>30.793456336166699</v>
      </c>
      <c r="Q643" s="3">
        <v>79.792038133883594</v>
      </c>
      <c r="R643" s="3" t="str">
        <f>IF(Table1[[#This Row],[Nutrition_Quality_Score]]&lt;60, "Poor Nutrition",IF(AND(Table1[[#This Row],[Nutrition_Quality_Score]]&gt;=60,Table1[[#This Row],[Nutrition_Quality_Score]]&lt;=80),"Average Nutrition", "Good Nutrition"))</f>
        <v>Average Nutrition</v>
      </c>
      <c r="S643">
        <v>1</v>
      </c>
      <c r="T643" t="str">
        <f>IF(Table1[[#This Row],[Warmup_Routine_Adherence]]=1, "Adherent","Non-Adherent")</f>
        <v>Adherent</v>
      </c>
      <c r="U643">
        <v>0</v>
      </c>
      <c r="V643" t="str">
        <f>IF(Table1[[#This Row],[Injury_Next_Season]]=1, "Injury","No Injury")</f>
        <v>No Injury</v>
      </c>
      <c r="W643" s="3">
        <v>21.200991370300599</v>
      </c>
    </row>
    <row r="644" spans="1:23" x14ac:dyDescent="0.25">
      <c r="A644" s="6">
        <v>23</v>
      </c>
      <c r="B644" s="8" t="str">
        <f>CONCATENATE(Table1[[#This Row],[Age]]," ", "years")</f>
        <v>23 years</v>
      </c>
      <c r="C644">
        <v>182</v>
      </c>
      <c r="D644">
        <v>63</v>
      </c>
      <c r="E644" t="s">
        <v>21</v>
      </c>
      <c r="F644" s="3">
        <v>10.411016450889599</v>
      </c>
      <c r="G644" s="3">
        <v>16</v>
      </c>
      <c r="H644">
        <v>1</v>
      </c>
      <c r="I644" s="3">
        <v>85.308366448567597</v>
      </c>
      <c r="J644" s="3">
        <v>91.483524742277098</v>
      </c>
      <c r="K644" s="3">
        <v>262.67694797381398</v>
      </c>
      <c r="L644" s="3">
        <v>84.796886650337399</v>
      </c>
      <c r="M644" s="3">
        <v>5.9107843359764098</v>
      </c>
      <c r="N644" s="3">
        <v>77.102559502418401</v>
      </c>
      <c r="O644" s="3">
        <v>7.2710648904251798</v>
      </c>
      <c r="P644" s="3">
        <v>48.098171423742301</v>
      </c>
      <c r="Q644" s="3">
        <v>71.019022542822299</v>
      </c>
      <c r="R644" s="3" t="str">
        <f>IF(Table1[[#This Row],[Nutrition_Quality_Score]]&lt;60, "Poor Nutrition",IF(AND(Table1[[#This Row],[Nutrition_Quality_Score]]&gt;=60,Table1[[#This Row],[Nutrition_Quality_Score]]&lt;=80),"Average Nutrition", "Good Nutrition"))</f>
        <v>Average Nutrition</v>
      </c>
      <c r="S644">
        <v>0</v>
      </c>
      <c r="T644" t="str">
        <f>IF(Table1[[#This Row],[Warmup_Routine_Adherence]]=1, "Adherent","Non-Adherent")</f>
        <v>Non-Adherent</v>
      </c>
      <c r="U644">
        <v>0</v>
      </c>
      <c r="V644" t="str">
        <f>IF(Table1[[#This Row],[Injury_Next_Season]]=1, "Injury","No Injury")</f>
        <v>No Injury</v>
      </c>
      <c r="W644" s="3">
        <v>19.019442096365101</v>
      </c>
    </row>
    <row r="645" spans="1:23" x14ac:dyDescent="0.25">
      <c r="A645" s="6">
        <v>18</v>
      </c>
      <c r="B645" s="8" t="str">
        <f>CONCATENATE(Table1[[#This Row],[Age]]," ", "years")</f>
        <v>18 years</v>
      </c>
      <c r="C645">
        <v>184</v>
      </c>
      <c r="D645">
        <v>52</v>
      </c>
      <c r="E645" t="s">
        <v>19</v>
      </c>
      <c r="F645" s="3">
        <v>7.0336899439373397</v>
      </c>
      <c r="G645" s="3">
        <v>22</v>
      </c>
      <c r="H645">
        <v>0</v>
      </c>
      <c r="I645" s="3">
        <v>69.316085275657002</v>
      </c>
      <c r="J645" s="3">
        <v>86.041005652787803</v>
      </c>
      <c r="K645" s="3">
        <v>211.880935823047</v>
      </c>
      <c r="L645" s="3">
        <v>93.5760150937448</v>
      </c>
      <c r="M645" s="3">
        <v>5.8980178004562802</v>
      </c>
      <c r="N645" s="3">
        <v>77.155870911451998</v>
      </c>
      <c r="O645" s="3">
        <v>8.0054457724820001</v>
      </c>
      <c r="P645" s="3">
        <v>45.665724206066201</v>
      </c>
      <c r="Q645" s="3">
        <v>87.889510135075398</v>
      </c>
      <c r="R645" s="3" t="str">
        <f>IF(Table1[[#This Row],[Nutrition_Quality_Score]]&lt;60, "Poor Nutrition",IF(AND(Table1[[#This Row],[Nutrition_Quality_Score]]&gt;=60,Table1[[#This Row],[Nutrition_Quality_Score]]&lt;=80),"Average Nutrition", "Good Nutrition"))</f>
        <v>Good Nutrition</v>
      </c>
      <c r="S645">
        <v>0</v>
      </c>
      <c r="T645" t="str">
        <f>IF(Table1[[#This Row],[Warmup_Routine_Adherence]]=1, "Adherent","Non-Adherent")</f>
        <v>Non-Adherent</v>
      </c>
      <c r="U645">
        <v>0</v>
      </c>
      <c r="V645" t="str">
        <f>IF(Table1[[#This Row],[Injury_Next_Season]]=1, "Injury","No Injury")</f>
        <v>No Injury</v>
      </c>
      <c r="W645" s="3">
        <v>15.3591682419659</v>
      </c>
    </row>
    <row r="646" spans="1:23" x14ac:dyDescent="0.25">
      <c r="A646" s="6">
        <v>19</v>
      </c>
      <c r="B646" s="8" t="str">
        <f>CONCATENATE(Table1[[#This Row],[Age]]," ", "years")</f>
        <v>19 years</v>
      </c>
      <c r="C646">
        <v>177</v>
      </c>
      <c r="D646">
        <v>82</v>
      </c>
      <c r="E646" t="s">
        <v>19</v>
      </c>
      <c r="F646" s="3">
        <v>6.3295431708439196</v>
      </c>
      <c r="G646" s="3">
        <v>38</v>
      </c>
      <c r="H646">
        <v>0</v>
      </c>
      <c r="I646" s="3">
        <v>79.614745713237696</v>
      </c>
      <c r="J646" s="3">
        <v>68.608826295447003</v>
      </c>
      <c r="K646" s="3">
        <v>244.83382934524101</v>
      </c>
      <c r="L646" s="3">
        <v>91.139059737421505</v>
      </c>
      <c r="M646" s="3">
        <v>6.4248927087592298</v>
      </c>
      <c r="N646" s="3">
        <v>82.303181512378302</v>
      </c>
      <c r="O646" s="3">
        <v>7.1045749115322696</v>
      </c>
      <c r="P646" s="3">
        <v>38.847289938105803</v>
      </c>
      <c r="Q646" s="3">
        <v>82.324508612407598</v>
      </c>
      <c r="R646" s="3" t="str">
        <f>IF(Table1[[#This Row],[Nutrition_Quality_Score]]&lt;60, "Poor Nutrition",IF(AND(Table1[[#This Row],[Nutrition_Quality_Score]]&gt;=60,Table1[[#This Row],[Nutrition_Quality_Score]]&lt;=80),"Average Nutrition", "Good Nutrition"))</f>
        <v>Good Nutrition</v>
      </c>
      <c r="S646">
        <v>1</v>
      </c>
      <c r="T646" t="str">
        <f>IF(Table1[[#This Row],[Warmup_Routine_Adherence]]=1, "Adherent","Non-Adherent")</f>
        <v>Adherent</v>
      </c>
      <c r="U646">
        <v>0</v>
      </c>
      <c r="V646" t="str">
        <f>IF(Table1[[#This Row],[Injury_Next_Season]]=1, "Injury","No Injury")</f>
        <v>No Injury</v>
      </c>
      <c r="W646" s="3">
        <v>26.173832551310198</v>
      </c>
    </row>
    <row r="647" spans="1:23" x14ac:dyDescent="0.25">
      <c r="A647" s="6">
        <v>23</v>
      </c>
      <c r="B647" s="8" t="str">
        <f>CONCATENATE(Table1[[#This Row],[Age]]," ", "years")</f>
        <v>23 years</v>
      </c>
      <c r="C647">
        <v>177</v>
      </c>
      <c r="D647">
        <v>58</v>
      </c>
      <c r="E647" t="s">
        <v>19</v>
      </c>
      <c r="F647" s="3">
        <v>13.729059390636699</v>
      </c>
      <c r="G647" s="3">
        <v>11</v>
      </c>
      <c r="H647">
        <v>3</v>
      </c>
      <c r="I647" s="3">
        <v>64.476692839444397</v>
      </c>
      <c r="J647" s="3">
        <v>93.451457056040297</v>
      </c>
      <c r="K647" s="3">
        <v>230.063164903363</v>
      </c>
      <c r="L647" s="3">
        <v>93.714051050930394</v>
      </c>
      <c r="M647" s="3">
        <v>5.7566342749962196</v>
      </c>
      <c r="N647" s="3">
        <v>87.093815847357405</v>
      </c>
      <c r="O647" s="3">
        <v>8.2000499772506608</v>
      </c>
      <c r="P647" s="3">
        <v>40.255864844776198</v>
      </c>
      <c r="Q647" s="3">
        <v>86.467115516646899</v>
      </c>
      <c r="R647" s="3" t="str">
        <f>IF(Table1[[#This Row],[Nutrition_Quality_Score]]&lt;60, "Poor Nutrition",IF(AND(Table1[[#This Row],[Nutrition_Quality_Score]]&gt;=60,Table1[[#This Row],[Nutrition_Quality_Score]]&lt;=80),"Average Nutrition", "Good Nutrition"))</f>
        <v>Good Nutrition</v>
      </c>
      <c r="S647">
        <v>1</v>
      </c>
      <c r="T647" t="str">
        <f>IF(Table1[[#This Row],[Warmup_Routine_Adherence]]=1, "Adherent","Non-Adherent")</f>
        <v>Adherent</v>
      </c>
      <c r="U647">
        <v>0</v>
      </c>
      <c r="V647" t="str">
        <f>IF(Table1[[#This Row],[Injury_Next_Season]]=1, "Injury","No Injury")</f>
        <v>No Injury</v>
      </c>
      <c r="W647" s="3">
        <v>18.513198633853602</v>
      </c>
    </row>
    <row r="648" spans="1:23" x14ac:dyDescent="0.25">
      <c r="A648" s="6">
        <v>19</v>
      </c>
      <c r="B648" s="8" t="str">
        <f>CONCATENATE(Table1[[#This Row],[Age]]," ", "years")</f>
        <v>19 years</v>
      </c>
      <c r="C648">
        <v>176</v>
      </c>
      <c r="D648">
        <v>60</v>
      </c>
      <c r="E648" t="s">
        <v>21</v>
      </c>
      <c r="F648" s="3">
        <v>7.2911699933880998</v>
      </c>
      <c r="G648" s="3">
        <v>17</v>
      </c>
      <c r="H648">
        <v>1</v>
      </c>
      <c r="I648" s="3">
        <v>78.9231939247898</v>
      </c>
      <c r="J648" s="3">
        <v>72.119729625140295</v>
      </c>
      <c r="K648" s="3">
        <v>206.40899034295501</v>
      </c>
      <c r="L648" s="3">
        <v>82.046039417276702</v>
      </c>
      <c r="M648" s="3">
        <v>6.1774347593006498</v>
      </c>
      <c r="N648" s="3">
        <v>82.313935592189793</v>
      </c>
      <c r="O648" s="3">
        <v>7.4006106293640901</v>
      </c>
      <c r="P648" s="3">
        <v>30.317169261033001</v>
      </c>
      <c r="Q648" s="3">
        <v>64.631913340541601</v>
      </c>
      <c r="R648" s="3" t="str">
        <f>IF(Table1[[#This Row],[Nutrition_Quality_Score]]&lt;60, "Poor Nutrition",IF(AND(Table1[[#This Row],[Nutrition_Quality_Score]]&gt;=60,Table1[[#This Row],[Nutrition_Quality_Score]]&lt;=80),"Average Nutrition", "Good Nutrition"))</f>
        <v>Average Nutrition</v>
      </c>
      <c r="S648">
        <v>1</v>
      </c>
      <c r="T648" t="str">
        <f>IF(Table1[[#This Row],[Warmup_Routine_Adherence]]=1, "Adherent","Non-Adherent")</f>
        <v>Adherent</v>
      </c>
      <c r="U648">
        <v>0</v>
      </c>
      <c r="V648" t="str">
        <f>IF(Table1[[#This Row],[Injury_Next_Season]]=1, "Injury","No Injury")</f>
        <v>No Injury</v>
      </c>
      <c r="W648" s="3">
        <v>19.369834710743799</v>
      </c>
    </row>
    <row r="649" spans="1:23" x14ac:dyDescent="0.25">
      <c r="A649" s="6">
        <v>20</v>
      </c>
      <c r="B649" s="8" t="str">
        <f>CONCATENATE(Table1[[#This Row],[Age]]," ", "years")</f>
        <v>20 years</v>
      </c>
      <c r="C649">
        <v>185</v>
      </c>
      <c r="D649">
        <v>77</v>
      </c>
      <c r="E649" t="s">
        <v>20</v>
      </c>
      <c r="F649" s="3">
        <v>8.7822529099545807</v>
      </c>
      <c r="G649" s="3">
        <v>32</v>
      </c>
      <c r="H649">
        <v>0</v>
      </c>
      <c r="I649" s="3">
        <v>73.718169266455405</v>
      </c>
      <c r="J649" s="3">
        <v>96.487291623177398</v>
      </c>
      <c r="K649" s="3">
        <v>256.52961369665297</v>
      </c>
      <c r="L649" s="3">
        <v>95.389848333336801</v>
      </c>
      <c r="M649" s="3">
        <v>5.9760109036145703</v>
      </c>
      <c r="N649" s="3">
        <v>79.500519404195401</v>
      </c>
      <c r="O649" s="3">
        <v>8.1271280012788907</v>
      </c>
      <c r="P649" s="3">
        <v>62.561419042844598</v>
      </c>
      <c r="Q649" s="3">
        <v>84.088898959532102</v>
      </c>
      <c r="R649" s="3" t="str">
        <f>IF(Table1[[#This Row],[Nutrition_Quality_Score]]&lt;60, "Poor Nutrition",IF(AND(Table1[[#This Row],[Nutrition_Quality_Score]]&gt;=60,Table1[[#This Row],[Nutrition_Quality_Score]]&lt;=80),"Average Nutrition", "Good Nutrition"))</f>
        <v>Good Nutrition</v>
      </c>
      <c r="S649">
        <v>0</v>
      </c>
      <c r="T649" t="str">
        <f>IF(Table1[[#This Row],[Warmup_Routine_Adherence]]=1, "Adherent","Non-Adherent")</f>
        <v>Non-Adherent</v>
      </c>
      <c r="U649">
        <v>0</v>
      </c>
      <c r="V649" t="str">
        <f>IF(Table1[[#This Row],[Injury_Next_Season]]=1, "Injury","No Injury")</f>
        <v>No Injury</v>
      </c>
      <c r="W649" s="3">
        <v>22.498173849525099</v>
      </c>
    </row>
    <row r="650" spans="1:23" x14ac:dyDescent="0.25">
      <c r="A650" s="6">
        <v>18</v>
      </c>
      <c r="B650" s="8" t="str">
        <f>CONCATENATE(Table1[[#This Row],[Age]]," ", "years")</f>
        <v>18 years</v>
      </c>
      <c r="C650">
        <v>187</v>
      </c>
      <c r="D650">
        <v>91</v>
      </c>
      <c r="E650" t="s">
        <v>19</v>
      </c>
      <c r="F650" s="3">
        <v>10.258491451314899</v>
      </c>
      <c r="G650" s="3">
        <v>10</v>
      </c>
      <c r="H650">
        <v>2</v>
      </c>
      <c r="I650" s="3">
        <v>72.500880497961603</v>
      </c>
      <c r="J650" s="3">
        <v>79.815953960306402</v>
      </c>
      <c r="K650" s="3">
        <v>215.20438917413901</v>
      </c>
      <c r="L650" s="3">
        <v>82.017025614965206</v>
      </c>
      <c r="M650" s="3">
        <v>6.2207259683758798</v>
      </c>
      <c r="N650" s="3">
        <v>67.753534238824599</v>
      </c>
      <c r="O650" s="3">
        <v>7.9037647494028702</v>
      </c>
      <c r="P650" s="3">
        <v>52.1939114064878</v>
      </c>
      <c r="Q650" s="3">
        <v>72.565038056597203</v>
      </c>
      <c r="R650" s="3" t="str">
        <f>IF(Table1[[#This Row],[Nutrition_Quality_Score]]&lt;60, "Poor Nutrition",IF(AND(Table1[[#This Row],[Nutrition_Quality_Score]]&gt;=60,Table1[[#This Row],[Nutrition_Quality_Score]]&lt;=80),"Average Nutrition", "Good Nutrition"))</f>
        <v>Average Nutrition</v>
      </c>
      <c r="S650">
        <v>1</v>
      </c>
      <c r="T650" t="str">
        <f>IF(Table1[[#This Row],[Warmup_Routine_Adherence]]=1, "Adherent","Non-Adherent")</f>
        <v>Adherent</v>
      </c>
      <c r="U650">
        <v>0</v>
      </c>
      <c r="V650" t="str">
        <f>IF(Table1[[#This Row],[Injury_Next_Season]]=1, "Injury","No Injury")</f>
        <v>No Injury</v>
      </c>
      <c r="W650" s="3">
        <v>26.023048986244898</v>
      </c>
    </row>
    <row r="651" spans="1:23" x14ac:dyDescent="0.25">
      <c r="A651" s="6">
        <v>22</v>
      </c>
      <c r="B651" s="8" t="str">
        <f>CONCATENATE(Table1[[#This Row],[Age]]," ", "years")</f>
        <v>22 years</v>
      </c>
      <c r="C651">
        <v>175</v>
      </c>
      <c r="D651">
        <v>62</v>
      </c>
      <c r="E651" t="s">
        <v>21</v>
      </c>
      <c r="F651" s="3">
        <v>11.554064596187899</v>
      </c>
      <c r="G651" s="3">
        <v>17</v>
      </c>
      <c r="H651">
        <v>2</v>
      </c>
      <c r="I651" s="3">
        <v>80.781717970748005</v>
      </c>
      <c r="J651" s="3">
        <v>74.512127983859202</v>
      </c>
      <c r="K651" s="3">
        <v>222.40648771123901</v>
      </c>
      <c r="L651" s="3">
        <v>83.325287464012206</v>
      </c>
      <c r="M651" s="3">
        <v>5.5726115537439904</v>
      </c>
      <c r="N651" s="3">
        <v>63.894423847468801</v>
      </c>
      <c r="O651" s="3">
        <v>8.2585208293364705</v>
      </c>
      <c r="P651" s="3">
        <v>44.635576043834497</v>
      </c>
      <c r="Q651" s="3">
        <v>71.088881104064995</v>
      </c>
      <c r="R651" s="3" t="str">
        <f>IF(Table1[[#This Row],[Nutrition_Quality_Score]]&lt;60, "Poor Nutrition",IF(AND(Table1[[#This Row],[Nutrition_Quality_Score]]&gt;=60,Table1[[#This Row],[Nutrition_Quality_Score]]&lt;=80),"Average Nutrition", "Good Nutrition"))</f>
        <v>Average Nutrition</v>
      </c>
      <c r="S651">
        <v>1</v>
      </c>
      <c r="T651" t="str">
        <f>IF(Table1[[#This Row],[Warmup_Routine_Adherence]]=1, "Adherent","Non-Adherent")</f>
        <v>Adherent</v>
      </c>
      <c r="U651">
        <v>1</v>
      </c>
      <c r="V651" t="str">
        <f>IF(Table1[[#This Row],[Injury_Next_Season]]=1, "Injury","No Injury")</f>
        <v>Injury</v>
      </c>
      <c r="W651" s="3">
        <v>20.2448979591836</v>
      </c>
    </row>
    <row r="652" spans="1:23" x14ac:dyDescent="0.25">
      <c r="A652" s="6">
        <v>18</v>
      </c>
      <c r="B652" s="8" t="str">
        <f>CONCATENATE(Table1[[#This Row],[Age]]," ", "years")</f>
        <v>18 years</v>
      </c>
      <c r="C652">
        <v>175</v>
      </c>
      <c r="D652">
        <v>76</v>
      </c>
      <c r="E652" t="s">
        <v>20</v>
      </c>
      <c r="F652" s="3">
        <v>13.513198110427799</v>
      </c>
      <c r="G652" s="3">
        <v>5</v>
      </c>
      <c r="H652">
        <v>1</v>
      </c>
      <c r="I652" s="3">
        <v>77.843372707305207</v>
      </c>
      <c r="J652" s="3">
        <v>79.000422071200703</v>
      </c>
      <c r="K652" s="3">
        <v>239.85026530403701</v>
      </c>
      <c r="L652" s="3">
        <v>82.258468460089901</v>
      </c>
      <c r="M652" s="3">
        <v>5.7021753786310896</v>
      </c>
      <c r="N652" s="3">
        <v>77.784476442611606</v>
      </c>
      <c r="O652" s="3">
        <v>6.0125232017741101</v>
      </c>
      <c r="P652" s="3">
        <v>50.1002229382579</v>
      </c>
      <c r="Q652" s="3">
        <v>67.835936405897996</v>
      </c>
      <c r="R652" s="3" t="str">
        <f>IF(Table1[[#This Row],[Nutrition_Quality_Score]]&lt;60, "Poor Nutrition",IF(AND(Table1[[#This Row],[Nutrition_Quality_Score]]&gt;=60,Table1[[#This Row],[Nutrition_Quality_Score]]&lt;=80),"Average Nutrition", "Good Nutrition"))</f>
        <v>Average Nutrition</v>
      </c>
      <c r="S652">
        <v>0</v>
      </c>
      <c r="T652" t="str">
        <f>IF(Table1[[#This Row],[Warmup_Routine_Adherence]]=1, "Adherent","Non-Adherent")</f>
        <v>Non-Adherent</v>
      </c>
      <c r="U652">
        <v>1</v>
      </c>
      <c r="V652" t="str">
        <f>IF(Table1[[#This Row],[Injury_Next_Season]]=1, "Injury","No Injury")</f>
        <v>Injury</v>
      </c>
      <c r="W652" s="3">
        <v>24.816326530612201</v>
      </c>
    </row>
    <row r="653" spans="1:23" x14ac:dyDescent="0.25">
      <c r="A653" s="6">
        <v>21</v>
      </c>
      <c r="B653" s="8" t="str">
        <f>CONCATENATE(Table1[[#This Row],[Age]]," ", "years")</f>
        <v>21 years</v>
      </c>
      <c r="C653">
        <v>167</v>
      </c>
      <c r="D653">
        <v>91</v>
      </c>
      <c r="E653" t="s">
        <v>20</v>
      </c>
      <c r="F653" s="3">
        <v>10.956531017477101</v>
      </c>
      <c r="G653" s="3">
        <v>6</v>
      </c>
      <c r="H653">
        <v>1</v>
      </c>
      <c r="I653" s="3">
        <v>79.923521297960804</v>
      </c>
      <c r="J653" s="3">
        <v>78.116659272390194</v>
      </c>
      <c r="K653" s="3">
        <v>306.47186909326598</v>
      </c>
      <c r="L653" s="3">
        <v>73.136803180644506</v>
      </c>
      <c r="M653" s="3">
        <v>6.4313364330875604</v>
      </c>
      <c r="N653" s="3">
        <v>78.583947145439495</v>
      </c>
      <c r="O653" s="3">
        <v>7.9900541976765904</v>
      </c>
      <c r="P653" s="3">
        <v>60.642561179548899</v>
      </c>
      <c r="Q653" s="3">
        <v>80.338381848729099</v>
      </c>
      <c r="R653" s="3" t="str">
        <f>IF(Table1[[#This Row],[Nutrition_Quality_Score]]&lt;60, "Poor Nutrition",IF(AND(Table1[[#This Row],[Nutrition_Quality_Score]]&gt;=60,Table1[[#This Row],[Nutrition_Quality_Score]]&lt;=80),"Average Nutrition", "Good Nutrition"))</f>
        <v>Good Nutrition</v>
      </c>
      <c r="S653">
        <v>1</v>
      </c>
      <c r="T653" t="str">
        <f>IF(Table1[[#This Row],[Warmup_Routine_Adherence]]=1, "Adherent","Non-Adherent")</f>
        <v>Adherent</v>
      </c>
      <c r="U653">
        <v>1</v>
      </c>
      <c r="V653" t="str">
        <f>IF(Table1[[#This Row],[Injury_Next_Season]]=1, "Injury","No Injury")</f>
        <v>Injury</v>
      </c>
      <c r="W653" s="3">
        <v>32.629352074294502</v>
      </c>
    </row>
    <row r="654" spans="1:23" x14ac:dyDescent="0.25">
      <c r="A654" s="6">
        <v>23</v>
      </c>
      <c r="B654" s="8" t="str">
        <f>CONCATENATE(Table1[[#This Row],[Age]]," ", "years")</f>
        <v>23 years</v>
      </c>
      <c r="C654">
        <v>165</v>
      </c>
      <c r="D654">
        <v>83</v>
      </c>
      <c r="E654" t="s">
        <v>21</v>
      </c>
      <c r="F654" s="3">
        <v>6.4099012028133</v>
      </c>
      <c r="G654" s="3">
        <v>31</v>
      </c>
      <c r="H654">
        <v>1</v>
      </c>
      <c r="I654" s="3">
        <v>83.0653036762955</v>
      </c>
      <c r="J654" s="3">
        <v>92.348662406783006</v>
      </c>
      <c r="K654" s="3">
        <v>256.77780951854902</v>
      </c>
      <c r="L654" s="3">
        <v>76.225077605511501</v>
      </c>
      <c r="M654" s="3">
        <v>6.1338605157264103</v>
      </c>
      <c r="N654" s="3">
        <v>77.555170225394804</v>
      </c>
      <c r="O654" s="3">
        <v>7.5436942734297396</v>
      </c>
      <c r="P654" s="3">
        <v>55.764572270377698</v>
      </c>
      <c r="Q654" s="3">
        <v>64.988382479742398</v>
      </c>
      <c r="R654" s="3" t="str">
        <f>IF(Table1[[#This Row],[Nutrition_Quality_Score]]&lt;60, "Poor Nutrition",IF(AND(Table1[[#This Row],[Nutrition_Quality_Score]]&gt;=60,Table1[[#This Row],[Nutrition_Quality_Score]]&lt;=80),"Average Nutrition", "Good Nutrition"))</f>
        <v>Average Nutrition</v>
      </c>
      <c r="S654">
        <v>1</v>
      </c>
      <c r="T654" t="str">
        <f>IF(Table1[[#This Row],[Warmup_Routine_Adherence]]=1, "Adherent","Non-Adherent")</f>
        <v>Adherent</v>
      </c>
      <c r="U654">
        <v>0</v>
      </c>
      <c r="V654" t="str">
        <f>IF(Table1[[#This Row],[Injury_Next_Season]]=1, "Injury","No Injury")</f>
        <v>No Injury</v>
      </c>
      <c r="W654" s="3">
        <v>30.486685032139501</v>
      </c>
    </row>
    <row r="655" spans="1:23" x14ac:dyDescent="0.25">
      <c r="A655" s="6">
        <v>22</v>
      </c>
      <c r="B655" s="8" t="str">
        <f>CONCATENATE(Table1[[#This Row],[Age]]," ", "years")</f>
        <v>22 years</v>
      </c>
      <c r="C655">
        <v>176</v>
      </c>
      <c r="D655">
        <v>80</v>
      </c>
      <c r="E655" t="s">
        <v>22</v>
      </c>
      <c r="F655" s="3">
        <v>7.4337546447770704</v>
      </c>
      <c r="G655" s="3">
        <v>8</v>
      </c>
      <c r="H655">
        <v>1</v>
      </c>
      <c r="I655" s="3">
        <v>73.529817486096803</v>
      </c>
      <c r="J655" s="3">
        <v>80.746977945257896</v>
      </c>
      <c r="K655" s="3">
        <v>254.78297615215001</v>
      </c>
      <c r="L655" s="3">
        <v>81.234596960061197</v>
      </c>
      <c r="M655" s="3">
        <v>5.5327554904667604</v>
      </c>
      <c r="N655" s="3">
        <v>79.576442129803596</v>
      </c>
      <c r="O655" s="3">
        <v>7.3586082837578104</v>
      </c>
      <c r="P655" s="3">
        <v>54.485891281010502</v>
      </c>
      <c r="Q655" s="3">
        <v>78.286266975089603</v>
      </c>
      <c r="R655" s="3" t="str">
        <f>IF(Table1[[#This Row],[Nutrition_Quality_Score]]&lt;60, "Poor Nutrition",IF(AND(Table1[[#This Row],[Nutrition_Quality_Score]]&gt;=60,Table1[[#This Row],[Nutrition_Quality_Score]]&lt;=80),"Average Nutrition", "Good Nutrition"))</f>
        <v>Average Nutrition</v>
      </c>
      <c r="S655">
        <v>1</v>
      </c>
      <c r="T655" t="str">
        <f>IF(Table1[[#This Row],[Warmup_Routine_Adherence]]=1, "Adherent","Non-Adherent")</f>
        <v>Adherent</v>
      </c>
      <c r="U655">
        <v>1</v>
      </c>
      <c r="V655" t="str">
        <f>IF(Table1[[#This Row],[Injury_Next_Season]]=1, "Injury","No Injury")</f>
        <v>Injury</v>
      </c>
      <c r="W655" s="3">
        <v>25.8264462809917</v>
      </c>
    </row>
    <row r="656" spans="1:23" x14ac:dyDescent="0.25">
      <c r="A656" s="6">
        <v>21</v>
      </c>
      <c r="B656" s="8" t="str">
        <f>CONCATENATE(Table1[[#This Row],[Age]]," ", "years")</f>
        <v>21 years</v>
      </c>
      <c r="C656">
        <v>185</v>
      </c>
      <c r="D656">
        <v>64</v>
      </c>
      <c r="E656" t="s">
        <v>22</v>
      </c>
      <c r="F656" s="3">
        <v>8.0207603434841808</v>
      </c>
      <c r="G656" s="3">
        <v>18</v>
      </c>
      <c r="H656">
        <v>0</v>
      </c>
      <c r="I656" s="3">
        <v>77.388756161346606</v>
      </c>
      <c r="J656" s="3">
        <v>87.765414577405494</v>
      </c>
      <c r="K656" s="3">
        <v>230.38292489408099</v>
      </c>
      <c r="L656" s="3">
        <v>83.293713137972006</v>
      </c>
      <c r="M656" s="3">
        <v>5.86471432233468</v>
      </c>
      <c r="N656" s="3">
        <v>78.2045515647266</v>
      </c>
      <c r="O656" s="3">
        <v>7.9786198589633903</v>
      </c>
      <c r="P656" s="3">
        <v>41.958354327655101</v>
      </c>
      <c r="Q656" s="3">
        <v>86.437714299118696</v>
      </c>
      <c r="R656" s="3" t="str">
        <f>IF(Table1[[#This Row],[Nutrition_Quality_Score]]&lt;60, "Poor Nutrition",IF(AND(Table1[[#This Row],[Nutrition_Quality_Score]]&gt;=60,Table1[[#This Row],[Nutrition_Quality_Score]]&lt;=80),"Average Nutrition", "Good Nutrition"))</f>
        <v>Good Nutrition</v>
      </c>
      <c r="S656">
        <v>0</v>
      </c>
      <c r="T656" t="str">
        <f>IF(Table1[[#This Row],[Warmup_Routine_Adherence]]=1, "Adherent","Non-Adherent")</f>
        <v>Non-Adherent</v>
      </c>
      <c r="U656">
        <v>0</v>
      </c>
      <c r="V656" t="str">
        <f>IF(Table1[[#This Row],[Injury_Next_Season]]=1, "Injury","No Injury")</f>
        <v>No Injury</v>
      </c>
      <c r="W656" s="3">
        <v>18.699780861943001</v>
      </c>
    </row>
    <row r="657" spans="1:23" x14ac:dyDescent="0.25">
      <c r="A657" s="6">
        <v>24</v>
      </c>
      <c r="B657" s="8" t="str">
        <f>CONCATENATE(Table1[[#This Row],[Age]]," ", "years")</f>
        <v>24 years</v>
      </c>
      <c r="C657">
        <v>174</v>
      </c>
      <c r="D657">
        <v>68</v>
      </c>
      <c r="E657" t="s">
        <v>21</v>
      </c>
      <c r="F657" s="3">
        <v>10.6698819492489</v>
      </c>
      <c r="G657" s="3">
        <v>37</v>
      </c>
      <c r="H657">
        <v>3</v>
      </c>
      <c r="I657" s="3">
        <v>70.877676103625205</v>
      </c>
      <c r="J657" s="3">
        <v>72.466036076069201</v>
      </c>
      <c r="K657" s="3">
        <v>265.06731197091102</v>
      </c>
      <c r="L657" s="3">
        <v>75.688049125816903</v>
      </c>
      <c r="M657" s="3">
        <v>6.0775816492017798</v>
      </c>
      <c r="N657" s="3">
        <v>60.052811470887299</v>
      </c>
      <c r="O657" s="3">
        <v>7.1802936449206296</v>
      </c>
      <c r="P657" s="3">
        <v>61.128005514174603</v>
      </c>
      <c r="Q657" s="3">
        <v>71.872645235775494</v>
      </c>
      <c r="R657" s="3" t="str">
        <f>IF(Table1[[#This Row],[Nutrition_Quality_Score]]&lt;60, "Poor Nutrition",IF(AND(Table1[[#This Row],[Nutrition_Quality_Score]]&gt;=60,Table1[[#This Row],[Nutrition_Quality_Score]]&lt;=80),"Average Nutrition", "Good Nutrition"))</f>
        <v>Average Nutrition</v>
      </c>
      <c r="S657">
        <v>0</v>
      </c>
      <c r="T657" t="str">
        <f>IF(Table1[[#This Row],[Warmup_Routine_Adherence]]=1, "Adherent","Non-Adherent")</f>
        <v>Non-Adherent</v>
      </c>
      <c r="U657">
        <v>1</v>
      </c>
      <c r="V657" t="str">
        <f>IF(Table1[[#This Row],[Injury_Next_Season]]=1, "Injury","No Injury")</f>
        <v>Injury</v>
      </c>
      <c r="W657" s="3">
        <v>22.460034350640701</v>
      </c>
    </row>
    <row r="658" spans="1:23" x14ac:dyDescent="0.25">
      <c r="A658" s="6">
        <v>24</v>
      </c>
      <c r="B658" s="8" t="str">
        <f>CONCATENATE(Table1[[#This Row],[Age]]," ", "years")</f>
        <v>24 years</v>
      </c>
      <c r="C658">
        <v>174</v>
      </c>
      <c r="D658">
        <v>63</v>
      </c>
      <c r="E658" t="s">
        <v>20</v>
      </c>
      <c r="F658" s="3">
        <v>6.38427579869761</v>
      </c>
      <c r="G658" s="3">
        <v>36</v>
      </c>
      <c r="H658">
        <v>1</v>
      </c>
      <c r="I658" s="3">
        <v>77.829214075345604</v>
      </c>
      <c r="J658" s="3">
        <v>86.281373283544994</v>
      </c>
      <c r="K658" s="3">
        <v>225.23295990684201</v>
      </c>
      <c r="L658" s="3">
        <v>97.290953996944097</v>
      </c>
      <c r="M658" s="3">
        <v>6.0896449768872998</v>
      </c>
      <c r="N658" s="3">
        <v>94.051287033200197</v>
      </c>
      <c r="O658" s="3">
        <v>8.2487066339197899</v>
      </c>
      <c r="P658" s="3">
        <v>61.239129336376699</v>
      </c>
      <c r="Q658" s="3">
        <v>74.258400476773502</v>
      </c>
      <c r="R658" s="3" t="str">
        <f>IF(Table1[[#This Row],[Nutrition_Quality_Score]]&lt;60, "Poor Nutrition",IF(AND(Table1[[#This Row],[Nutrition_Quality_Score]]&gt;=60,Table1[[#This Row],[Nutrition_Quality_Score]]&lt;=80),"Average Nutrition", "Good Nutrition"))</f>
        <v>Average Nutrition</v>
      </c>
      <c r="S658">
        <v>1</v>
      </c>
      <c r="T658" t="str">
        <f>IF(Table1[[#This Row],[Warmup_Routine_Adherence]]=1, "Adherent","Non-Adherent")</f>
        <v>Adherent</v>
      </c>
      <c r="U658">
        <v>0</v>
      </c>
      <c r="V658" t="str">
        <f>IF(Table1[[#This Row],[Injury_Next_Season]]=1, "Injury","No Injury")</f>
        <v>No Injury</v>
      </c>
      <c r="W658" s="3">
        <v>20.808561236623</v>
      </c>
    </row>
    <row r="659" spans="1:23" x14ac:dyDescent="0.25">
      <c r="A659" s="6">
        <v>19</v>
      </c>
      <c r="B659" s="8" t="str">
        <f>CONCATENATE(Table1[[#This Row],[Age]]," ", "years")</f>
        <v>19 years</v>
      </c>
      <c r="C659">
        <v>175</v>
      </c>
      <c r="D659">
        <v>66</v>
      </c>
      <c r="E659" t="s">
        <v>22</v>
      </c>
      <c r="F659" s="3">
        <v>8.1060532428551593</v>
      </c>
      <c r="G659" s="3">
        <v>36</v>
      </c>
      <c r="H659">
        <v>1</v>
      </c>
      <c r="I659" s="3">
        <v>75.631877104188305</v>
      </c>
      <c r="J659" s="3">
        <v>79.088769520297504</v>
      </c>
      <c r="K659" s="3">
        <v>208.21733064954199</v>
      </c>
      <c r="L659" s="3">
        <v>93.5419332502846</v>
      </c>
      <c r="M659" s="3">
        <v>6.05698179435434</v>
      </c>
      <c r="N659" s="3">
        <v>69.063316522975001</v>
      </c>
      <c r="O659" s="3">
        <v>8.1959361149866403</v>
      </c>
      <c r="P659" s="3">
        <v>44.783560340518903</v>
      </c>
      <c r="Q659" s="3">
        <v>75.100747225320106</v>
      </c>
      <c r="R659" s="3" t="str">
        <f>IF(Table1[[#This Row],[Nutrition_Quality_Score]]&lt;60, "Poor Nutrition",IF(AND(Table1[[#This Row],[Nutrition_Quality_Score]]&gt;=60,Table1[[#This Row],[Nutrition_Quality_Score]]&lt;=80),"Average Nutrition", "Good Nutrition"))</f>
        <v>Average Nutrition</v>
      </c>
      <c r="S659">
        <v>0</v>
      </c>
      <c r="T659" t="str">
        <f>IF(Table1[[#This Row],[Warmup_Routine_Adherence]]=1, "Adherent","Non-Adherent")</f>
        <v>Non-Adherent</v>
      </c>
      <c r="U659">
        <v>0</v>
      </c>
      <c r="V659" t="str">
        <f>IF(Table1[[#This Row],[Injury_Next_Season]]=1, "Injury","No Injury")</f>
        <v>No Injury</v>
      </c>
      <c r="W659" s="3">
        <v>21.5510204081632</v>
      </c>
    </row>
    <row r="660" spans="1:23" x14ac:dyDescent="0.25">
      <c r="A660" s="6">
        <v>22</v>
      </c>
      <c r="B660" s="8" t="str">
        <f>CONCATENATE(Table1[[#This Row],[Age]]," ", "years")</f>
        <v>22 years</v>
      </c>
      <c r="C660">
        <v>175</v>
      </c>
      <c r="D660">
        <v>62</v>
      </c>
      <c r="E660" t="s">
        <v>19</v>
      </c>
      <c r="F660" s="3">
        <v>7.0241676872391201</v>
      </c>
      <c r="G660" s="3">
        <v>5</v>
      </c>
      <c r="H660">
        <v>1</v>
      </c>
      <c r="I660" s="3">
        <v>75.124543039059503</v>
      </c>
      <c r="J660" s="3">
        <v>81.824253623788493</v>
      </c>
      <c r="K660" s="3">
        <v>229.41920372650301</v>
      </c>
      <c r="L660" s="3">
        <v>97.412686158712802</v>
      </c>
      <c r="M660" s="3">
        <v>5.9204871297820896</v>
      </c>
      <c r="N660" s="3">
        <v>92.720782529956395</v>
      </c>
      <c r="O660" s="3">
        <v>8.9941816558319694</v>
      </c>
      <c r="P660" s="3">
        <v>56.953369224215201</v>
      </c>
      <c r="Q660" s="3">
        <v>88.622867944798898</v>
      </c>
      <c r="R660" s="3" t="str">
        <f>IF(Table1[[#This Row],[Nutrition_Quality_Score]]&lt;60, "Poor Nutrition",IF(AND(Table1[[#This Row],[Nutrition_Quality_Score]]&gt;=60,Table1[[#This Row],[Nutrition_Quality_Score]]&lt;=80),"Average Nutrition", "Good Nutrition"))</f>
        <v>Good Nutrition</v>
      </c>
      <c r="S660">
        <v>1</v>
      </c>
      <c r="T660" t="str">
        <f>IF(Table1[[#This Row],[Warmup_Routine_Adherence]]=1, "Adherent","Non-Adherent")</f>
        <v>Adherent</v>
      </c>
      <c r="U660">
        <v>0</v>
      </c>
      <c r="V660" t="str">
        <f>IF(Table1[[#This Row],[Injury_Next_Season]]=1, "Injury","No Injury")</f>
        <v>No Injury</v>
      </c>
      <c r="W660" s="3">
        <v>20.2448979591836</v>
      </c>
    </row>
    <row r="661" spans="1:23" x14ac:dyDescent="0.25">
      <c r="A661" s="6">
        <v>20</v>
      </c>
      <c r="B661" s="8" t="str">
        <f>CONCATENATE(Table1[[#This Row],[Age]]," ", "years")</f>
        <v>20 years</v>
      </c>
      <c r="C661">
        <v>185</v>
      </c>
      <c r="D661">
        <v>76</v>
      </c>
      <c r="E661" t="s">
        <v>21</v>
      </c>
      <c r="F661" s="3">
        <v>17.238249219719901</v>
      </c>
      <c r="G661" s="3">
        <v>12</v>
      </c>
      <c r="H661">
        <v>0</v>
      </c>
      <c r="I661" s="3">
        <v>80.080913631475497</v>
      </c>
      <c r="J661" s="3">
        <v>79.4023820887451</v>
      </c>
      <c r="K661" s="3">
        <v>214.94829102915401</v>
      </c>
      <c r="L661" s="3">
        <v>92.543401001021493</v>
      </c>
      <c r="M661" s="3">
        <v>5.8455865915866703</v>
      </c>
      <c r="N661" s="3">
        <v>83.917305790364594</v>
      </c>
      <c r="O661" s="3">
        <v>8.7793130630890808</v>
      </c>
      <c r="P661" s="3">
        <v>44.428265118919001</v>
      </c>
      <c r="Q661" s="3">
        <v>76.963644880164495</v>
      </c>
      <c r="R661" s="3" t="str">
        <f>IF(Table1[[#This Row],[Nutrition_Quality_Score]]&lt;60, "Poor Nutrition",IF(AND(Table1[[#This Row],[Nutrition_Quality_Score]]&gt;=60,Table1[[#This Row],[Nutrition_Quality_Score]]&lt;=80),"Average Nutrition", "Good Nutrition"))</f>
        <v>Average Nutrition</v>
      </c>
      <c r="S661">
        <v>0</v>
      </c>
      <c r="T661" t="str">
        <f>IF(Table1[[#This Row],[Warmup_Routine_Adherence]]=1, "Adherent","Non-Adherent")</f>
        <v>Non-Adherent</v>
      </c>
      <c r="U661">
        <v>0</v>
      </c>
      <c r="V661" t="str">
        <f>IF(Table1[[#This Row],[Injury_Next_Season]]=1, "Injury","No Injury")</f>
        <v>No Injury</v>
      </c>
      <c r="W661" s="3">
        <v>22.205989773557299</v>
      </c>
    </row>
    <row r="662" spans="1:23" x14ac:dyDescent="0.25">
      <c r="A662" s="6">
        <v>19</v>
      </c>
      <c r="B662" s="8" t="str">
        <f>CONCATENATE(Table1[[#This Row],[Age]]," ", "years")</f>
        <v>19 years</v>
      </c>
      <c r="C662">
        <v>175</v>
      </c>
      <c r="D662">
        <v>82</v>
      </c>
      <c r="E662" t="s">
        <v>21</v>
      </c>
      <c r="F662" s="3">
        <v>15.290192202012999</v>
      </c>
      <c r="G662" s="3">
        <v>32</v>
      </c>
      <c r="H662">
        <v>1</v>
      </c>
      <c r="I662" s="3">
        <v>74.867113378991505</v>
      </c>
      <c r="J662" s="3">
        <v>76.3046200278161</v>
      </c>
      <c r="K662" s="3">
        <v>288.53522547276299</v>
      </c>
      <c r="L662" s="3">
        <v>86.983351089356304</v>
      </c>
      <c r="M662" s="3">
        <v>4.9989327846635696</v>
      </c>
      <c r="N662" s="3">
        <v>69.769949523310999</v>
      </c>
      <c r="O662" s="3">
        <v>6.7297411376070597</v>
      </c>
      <c r="P662" s="3">
        <v>64.929277952285901</v>
      </c>
      <c r="Q662" s="3">
        <v>72.016916448276504</v>
      </c>
      <c r="R662" s="3" t="str">
        <f>IF(Table1[[#This Row],[Nutrition_Quality_Score]]&lt;60, "Poor Nutrition",IF(AND(Table1[[#This Row],[Nutrition_Quality_Score]]&gt;=60,Table1[[#This Row],[Nutrition_Quality_Score]]&lt;=80),"Average Nutrition", "Good Nutrition"))</f>
        <v>Average Nutrition</v>
      </c>
      <c r="S662">
        <v>0</v>
      </c>
      <c r="T662" t="str">
        <f>IF(Table1[[#This Row],[Warmup_Routine_Adherence]]=1, "Adherent","Non-Adherent")</f>
        <v>Non-Adherent</v>
      </c>
      <c r="U662">
        <v>1</v>
      </c>
      <c r="V662" t="str">
        <f>IF(Table1[[#This Row],[Injury_Next_Season]]=1, "Injury","No Injury")</f>
        <v>Injury</v>
      </c>
      <c r="W662" s="3">
        <v>26.775510204081598</v>
      </c>
    </row>
    <row r="663" spans="1:23" x14ac:dyDescent="0.25">
      <c r="A663" s="6">
        <v>21</v>
      </c>
      <c r="B663" s="8" t="str">
        <f>CONCATENATE(Table1[[#This Row],[Age]]," ", "years")</f>
        <v>21 years</v>
      </c>
      <c r="C663">
        <v>175</v>
      </c>
      <c r="D663">
        <v>58</v>
      </c>
      <c r="E663" t="s">
        <v>20</v>
      </c>
      <c r="F663" s="3">
        <v>14.2187551666287</v>
      </c>
      <c r="G663" s="3">
        <v>15</v>
      </c>
      <c r="H663">
        <v>2</v>
      </c>
      <c r="I663" s="3">
        <v>82.410286408929394</v>
      </c>
      <c r="J663" s="3">
        <v>81.855345862014104</v>
      </c>
      <c r="K663" s="3">
        <v>265.66669992217601</v>
      </c>
      <c r="L663" s="3">
        <v>89.574377341965601</v>
      </c>
      <c r="M663" s="3">
        <v>6.3139761141167901</v>
      </c>
      <c r="N663" s="3">
        <v>84.205647125176498</v>
      </c>
      <c r="O663" s="3">
        <v>8.5447222592537493</v>
      </c>
      <c r="P663" s="3">
        <v>41.550444527501398</v>
      </c>
      <c r="Q663" s="3">
        <v>83.912113127643195</v>
      </c>
      <c r="R663" s="3" t="str">
        <f>IF(Table1[[#This Row],[Nutrition_Quality_Score]]&lt;60, "Poor Nutrition",IF(AND(Table1[[#This Row],[Nutrition_Quality_Score]]&gt;=60,Table1[[#This Row],[Nutrition_Quality_Score]]&lt;=80),"Average Nutrition", "Good Nutrition"))</f>
        <v>Good Nutrition</v>
      </c>
      <c r="S663">
        <v>1</v>
      </c>
      <c r="T663" t="str">
        <f>IF(Table1[[#This Row],[Warmup_Routine_Adherence]]=1, "Adherent","Non-Adherent")</f>
        <v>Adherent</v>
      </c>
      <c r="U663">
        <v>0</v>
      </c>
      <c r="V663" t="str">
        <f>IF(Table1[[#This Row],[Injury_Next_Season]]=1, "Injury","No Injury")</f>
        <v>No Injury</v>
      </c>
      <c r="W663" s="3">
        <v>18.938775510204</v>
      </c>
    </row>
    <row r="664" spans="1:23" x14ac:dyDescent="0.25">
      <c r="A664" s="6">
        <v>21</v>
      </c>
      <c r="B664" s="8" t="str">
        <f>CONCATENATE(Table1[[#This Row],[Age]]," ", "years")</f>
        <v>21 years</v>
      </c>
      <c r="C664">
        <v>169</v>
      </c>
      <c r="D664">
        <v>87</v>
      </c>
      <c r="E664" t="s">
        <v>21</v>
      </c>
      <c r="F664" s="3">
        <v>9.0548808530091396</v>
      </c>
      <c r="G664" s="3">
        <v>26</v>
      </c>
      <c r="H664">
        <v>0</v>
      </c>
      <c r="I664" s="3">
        <v>70.413007971292402</v>
      </c>
      <c r="J664" s="3">
        <v>86.696829263479401</v>
      </c>
      <c r="K664" s="3">
        <v>247.951634208596</v>
      </c>
      <c r="L664" s="3">
        <v>82.040730744617207</v>
      </c>
      <c r="M664" s="3">
        <v>6.0179758455653101</v>
      </c>
      <c r="N664" s="3">
        <v>64.456107301090697</v>
      </c>
      <c r="O664" s="3">
        <v>7.1723954640720899</v>
      </c>
      <c r="P664" s="3">
        <v>67.000039303832907</v>
      </c>
      <c r="Q664" s="3">
        <v>63.148614460120598</v>
      </c>
      <c r="R664" s="3" t="str">
        <f>IF(Table1[[#This Row],[Nutrition_Quality_Score]]&lt;60, "Poor Nutrition",IF(AND(Table1[[#This Row],[Nutrition_Quality_Score]]&gt;=60,Table1[[#This Row],[Nutrition_Quality_Score]]&lt;=80),"Average Nutrition", "Good Nutrition"))</f>
        <v>Average Nutrition</v>
      </c>
      <c r="S664">
        <v>1</v>
      </c>
      <c r="T664" t="str">
        <f>IF(Table1[[#This Row],[Warmup_Routine_Adherence]]=1, "Adherent","Non-Adherent")</f>
        <v>Adherent</v>
      </c>
      <c r="U664">
        <v>1</v>
      </c>
      <c r="V664" t="str">
        <f>IF(Table1[[#This Row],[Injury_Next_Season]]=1, "Injury","No Injury")</f>
        <v>Injury</v>
      </c>
      <c r="W664" s="3">
        <v>30.4611183081824</v>
      </c>
    </row>
    <row r="665" spans="1:23" x14ac:dyDescent="0.25">
      <c r="A665" s="6">
        <v>24</v>
      </c>
      <c r="B665" s="8" t="str">
        <f>CONCATENATE(Table1[[#This Row],[Age]]," ", "years")</f>
        <v>24 years</v>
      </c>
      <c r="C665">
        <v>171</v>
      </c>
      <c r="D665">
        <v>80</v>
      </c>
      <c r="E665" t="s">
        <v>19</v>
      </c>
      <c r="F665" s="3">
        <v>8.6774044453534405</v>
      </c>
      <c r="G665" s="3">
        <v>38</v>
      </c>
      <c r="H665">
        <v>0</v>
      </c>
      <c r="I665" s="3">
        <v>83.696720920138603</v>
      </c>
      <c r="J665" s="3">
        <v>77.048541534278598</v>
      </c>
      <c r="K665" s="3">
        <v>225.345600613545</v>
      </c>
      <c r="L665" s="3">
        <v>89.6834861020196</v>
      </c>
      <c r="M665" s="3">
        <v>6.2507090507449403</v>
      </c>
      <c r="N665" s="3">
        <v>68.307081126852793</v>
      </c>
      <c r="O665" s="3">
        <v>7.8867395541598704</v>
      </c>
      <c r="P665" s="3">
        <v>44.424313281665697</v>
      </c>
      <c r="Q665" s="3">
        <v>80.279244519286806</v>
      </c>
      <c r="R665" s="3" t="str">
        <f>IF(Table1[[#This Row],[Nutrition_Quality_Score]]&lt;60, "Poor Nutrition",IF(AND(Table1[[#This Row],[Nutrition_Quality_Score]]&gt;=60,Table1[[#This Row],[Nutrition_Quality_Score]]&lt;=80),"Average Nutrition", "Good Nutrition"))</f>
        <v>Good Nutrition</v>
      </c>
      <c r="S665">
        <v>0</v>
      </c>
      <c r="T665" t="str">
        <f>IF(Table1[[#This Row],[Warmup_Routine_Adherence]]=1, "Adherent","Non-Adherent")</f>
        <v>Non-Adherent</v>
      </c>
      <c r="U665">
        <v>0</v>
      </c>
      <c r="V665" t="str">
        <f>IF(Table1[[#This Row],[Injury_Next_Season]]=1, "Injury","No Injury")</f>
        <v>No Injury</v>
      </c>
      <c r="W665" s="3">
        <v>27.358845456721699</v>
      </c>
    </row>
    <row r="666" spans="1:23" x14ac:dyDescent="0.25">
      <c r="A666" s="6">
        <v>21</v>
      </c>
      <c r="B666" s="8" t="str">
        <f>CONCATENATE(Table1[[#This Row],[Age]]," ", "years")</f>
        <v>21 years</v>
      </c>
      <c r="C666">
        <v>184</v>
      </c>
      <c r="D666">
        <v>77</v>
      </c>
      <c r="E666" t="s">
        <v>22</v>
      </c>
      <c r="F666" s="3">
        <v>10.093960702894799</v>
      </c>
      <c r="G666" s="3">
        <v>35</v>
      </c>
      <c r="H666">
        <v>0</v>
      </c>
      <c r="I666" s="3">
        <v>83.812710205255797</v>
      </c>
      <c r="J666" s="3">
        <v>84.1887716110501</v>
      </c>
      <c r="K666" s="3">
        <v>238.544549662798</v>
      </c>
      <c r="L666" s="3">
        <v>89.540590187553093</v>
      </c>
      <c r="M666" s="3">
        <v>6.5002618321877801</v>
      </c>
      <c r="N666" s="3">
        <v>79.708504060597306</v>
      </c>
      <c r="O666" s="3">
        <v>8.5375134086625497</v>
      </c>
      <c r="P666" s="3">
        <v>53.097333240450197</v>
      </c>
      <c r="Q666" s="3">
        <v>69.816951869841105</v>
      </c>
      <c r="R666" s="3" t="str">
        <f>IF(Table1[[#This Row],[Nutrition_Quality_Score]]&lt;60, "Poor Nutrition",IF(AND(Table1[[#This Row],[Nutrition_Quality_Score]]&gt;=60,Table1[[#This Row],[Nutrition_Quality_Score]]&lt;=80),"Average Nutrition", "Good Nutrition"))</f>
        <v>Average Nutrition</v>
      </c>
      <c r="S666">
        <v>0</v>
      </c>
      <c r="T666" t="str">
        <f>IF(Table1[[#This Row],[Warmup_Routine_Adherence]]=1, "Adherent","Non-Adherent")</f>
        <v>Non-Adherent</v>
      </c>
      <c r="U666">
        <v>0</v>
      </c>
      <c r="V666" t="str">
        <f>IF(Table1[[#This Row],[Injury_Next_Season]]=1, "Injury","No Injury")</f>
        <v>No Injury</v>
      </c>
      <c r="W666" s="3">
        <v>22.743383742911099</v>
      </c>
    </row>
    <row r="667" spans="1:23" x14ac:dyDescent="0.25">
      <c r="A667" s="6">
        <v>20</v>
      </c>
      <c r="B667" s="8" t="str">
        <f>CONCATENATE(Table1[[#This Row],[Age]]," ", "years")</f>
        <v>20 years</v>
      </c>
      <c r="C667">
        <v>183</v>
      </c>
      <c r="D667">
        <v>61</v>
      </c>
      <c r="E667" t="s">
        <v>20</v>
      </c>
      <c r="F667" s="3">
        <v>7.24209150642137</v>
      </c>
      <c r="G667" s="3">
        <v>26</v>
      </c>
      <c r="H667">
        <v>0</v>
      </c>
      <c r="I667" s="3">
        <v>72.304310025323502</v>
      </c>
      <c r="J667" s="3">
        <v>83.300307246628407</v>
      </c>
      <c r="K667" s="3">
        <v>222.778189921701</v>
      </c>
      <c r="L667" s="3">
        <v>90.608864680023203</v>
      </c>
      <c r="M667" s="3">
        <v>6.2126428139632397</v>
      </c>
      <c r="N667" s="3">
        <v>82.013827382788193</v>
      </c>
      <c r="O667" s="3">
        <v>9.3309553581647702</v>
      </c>
      <c r="P667" s="3">
        <v>58.420740860519899</v>
      </c>
      <c r="Q667" s="3">
        <v>80.406250712757995</v>
      </c>
      <c r="R667" s="3" t="str">
        <f>IF(Table1[[#This Row],[Nutrition_Quality_Score]]&lt;60, "Poor Nutrition",IF(AND(Table1[[#This Row],[Nutrition_Quality_Score]]&gt;=60,Table1[[#This Row],[Nutrition_Quality_Score]]&lt;=80),"Average Nutrition", "Good Nutrition"))</f>
        <v>Good Nutrition</v>
      </c>
      <c r="S667">
        <v>0</v>
      </c>
      <c r="T667" t="str">
        <f>IF(Table1[[#This Row],[Warmup_Routine_Adherence]]=1, "Adherent","Non-Adherent")</f>
        <v>Non-Adherent</v>
      </c>
      <c r="U667">
        <v>0</v>
      </c>
      <c r="V667" t="str">
        <f>IF(Table1[[#This Row],[Injury_Next_Season]]=1, "Injury","No Injury")</f>
        <v>No Injury</v>
      </c>
      <c r="W667" s="3">
        <v>18.214936247723099</v>
      </c>
    </row>
    <row r="668" spans="1:23" x14ac:dyDescent="0.25">
      <c r="A668" s="6">
        <v>19</v>
      </c>
      <c r="B668" s="8" t="str">
        <f>CONCATENATE(Table1[[#This Row],[Age]]," ", "years")</f>
        <v>19 years</v>
      </c>
      <c r="C668">
        <v>178</v>
      </c>
      <c r="D668">
        <v>80</v>
      </c>
      <c r="E668" t="s">
        <v>22</v>
      </c>
      <c r="F668" s="3">
        <v>13.850168099357001</v>
      </c>
      <c r="G668" s="3">
        <v>25</v>
      </c>
      <c r="H668">
        <v>4</v>
      </c>
      <c r="I668" s="3">
        <v>84.8345252047732</v>
      </c>
      <c r="J668" s="3">
        <v>76.367701520259303</v>
      </c>
      <c r="K668" s="3">
        <v>247.230806798618</v>
      </c>
      <c r="L668" s="3">
        <v>76.3085887129767</v>
      </c>
      <c r="M668" s="3">
        <v>5.8565678526357097</v>
      </c>
      <c r="N668" s="3">
        <v>77.794488810460294</v>
      </c>
      <c r="O668" s="3">
        <v>7.3664596041143797</v>
      </c>
      <c r="P668" s="3">
        <v>38.3234816708868</v>
      </c>
      <c r="Q668" s="3">
        <v>69.972436859406997</v>
      </c>
      <c r="R668" s="3" t="str">
        <f>IF(Table1[[#This Row],[Nutrition_Quality_Score]]&lt;60, "Poor Nutrition",IF(AND(Table1[[#This Row],[Nutrition_Quality_Score]]&gt;=60,Table1[[#This Row],[Nutrition_Quality_Score]]&lt;=80),"Average Nutrition", "Good Nutrition"))</f>
        <v>Average Nutrition</v>
      </c>
      <c r="S668">
        <v>1</v>
      </c>
      <c r="T668" t="str">
        <f>IF(Table1[[#This Row],[Warmup_Routine_Adherence]]=1, "Adherent","Non-Adherent")</f>
        <v>Adherent</v>
      </c>
      <c r="U668">
        <v>0</v>
      </c>
      <c r="V668" t="str">
        <f>IF(Table1[[#This Row],[Injury_Next_Season]]=1, "Injury","No Injury")</f>
        <v>No Injury</v>
      </c>
      <c r="W668" s="3">
        <v>25.2493372048983</v>
      </c>
    </row>
    <row r="669" spans="1:23" x14ac:dyDescent="0.25">
      <c r="A669" s="6">
        <v>23</v>
      </c>
      <c r="B669" s="8" t="str">
        <f>CONCATENATE(Table1[[#This Row],[Age]]," ", "years")</f>
        <v>23 years</v>
      </c>
      <c r="C669">
        <v>183</v>
      </c>
      <c r="D669">
        <v>74</v>
      </c>
      <c r="E669" t="s">
        <v>20</v>
      </c>
      <c r="F669" s="3">
        <v>10.6793236030064</v>
      </c>
      <c r="G669" s="3">
        <v>17</v>
      </c>
      <c r="H669">
        <v>0</v>
      </c>
      <c r="I669" s="3">
        <v>72.749380165909599</v>
      </c>
      <c r="J669" s="3">
        <v>83.240448114659699</v>
      </c>
      <c r="K669" s="3">
        <v>239.586454320862</v>
      </c>
      <c r="L669" s="3">
        <v>83.229296181016494</v>
      </c>
      <c r="M669" s="3">
        <v>5.4851036069770398</v>
      </c>
      <c r="N669" s="3">
        <v>65.473997032665096</v>
      </c>
      <c r="O669" s="3">
        <v>7.1333192221313002</v>
      </c>
      <c r="P669" s="3">
        <v>64.484729110382901</v>
      </c>
      <c r="Q669" s="3">
        <v>75.227116209816202</v>
      </c>
      <c r="R669" s="3" t="str">
        <f>IF(Table1[[#This Row],[Nutrition_Quality_Score]]&lt;60, "Poor Nutrition",IF(AND(Table1[[#This Row],[Nutrition_Quality_Score]]&gt;=60,Table1[[#This Row],[Nutrition_Quality_Score]]&lt;=80),"Average Nutrition", "Good Nutrition"))</f>
        <v>Average Nutrition</v>
      </c>
      <c r="S669">
        <v>0</v>
      </c>
      <c r="T669" t="str">
        <f>IF(Table1[[#This Row],[Warmup_Routine_Adherence]]=1, "Adherent","Non-Adherent")</f>
        <v>Non-Adherent</v>
      </c>
      <c r="U669">
        <v>1</v>
      </c>
      <c r="V669" t="str">
        <f>IF(Table1[[#This Row],[Injury_Next_Season]]=1, "Injury","No Injury")</f>
        <v>Injury</v>
      </c>
      <c r="W669" s="3">
        <v>22.096807907073899</v>
      </c>
    </row>
    <row r="670" spans="1:23" x14ac:dyDescent="0.25">
      <c r="A670" s="6">
        <v>22</v>
      </c>
      <c r="B670" s="8" t="str">
        <f>CONCATENATE(Table1[[#This Row],[Age]]," ", "years")</f>
        <v>22 years</v>
      </c>
      <c r="C670">
        <v>180</v>
      </c>
      <c r="D670">
        <v>55</v>
      </c>
      <c r="E670" t="s">
        <v>22</v>
      </c>
      <c r="F670" s="3">
        <v>7.8984910468477496</v>
      </c>
      <c r="G670" s="3">
        <v>32</v>
      </c>
      <c r="H670">
        <v>4</v>
      </c>
      <c r="I670" s="3">
        <v>72.583175261935807</v>
      </c>
      <c r="J670" s="3">
        <v>78.298329546160403</v>
      </c>
      <c r="K670" s="3">
        <v>264.69135216541002</v>
      </c>
      <c r="L670" s="3">
        <v>71.763518083278299</v>
      </c>
      <c r="M670" s="3">
        <v>5.8362000163406602</v>
      </c>
      <c r="N670" s="3">
        <v>71.447131091047297</v>
      </c>
      <c r="O670" s="3">
        <v>7.4063711530969503</v>
      </c>
      <c r="P670" s="3">
        <v>51.208265968526497</v>
      </c>
      <c r="Q670" s="3">
        <v>84.373825749147699</v>
      </c>
      <c r="R670" s="3" t="str">
        <f>IF(Table1[[#This Row],[Nutrition_Quality_Score]]&lt;60, "Poor Nutrition",IF(AND(Table1[[#This Row],[Nutrition_Quality_Score]]&gt;=60,Table1[[#This Row],[Nutrition_Quality_Score]]&lt;=80),"Average Nutrition", "Good Nutrition"))</f>
        <v>Good Nutrition</v>
      </c>
      <c r="S670">
        <v>0</v>
      </c>
      <c r="T670" t="str">
        <f>IF(Table1[[#This Row],[Warmup_Routine_Adherence]]=1, "Adherent","Non-Adherent")</f>
        <v>Non-Adherent</v>
      </c>
      <c r="U670">
        <v>1</v>
      </c>
      <c r="V670" t="str">
        <f>IF(Table1[[#This Row],[Injury_Next_Season]]=1, "Injury","No Injury")</f>
        <v>Injury</v>
      </c>
      <c r="W670" s="3">
        <v>16.9753086419753</v>
      </c>
    </row>
    <row r="671" spans="1:23" x14ac:dyDescent="0.25">
      <c r="A671" s="6">
        <v>21</v>
      </c>
      <c r="B671" s="8" t="str">
        <f>CONCATENATE(Table1[[#This Row],[Age]]," ", "years")</f>
        <v>21 years</v>
      </c>
      <c r="C671">
        <v>185</v>
      </c>
      <c r="D671">
        <v>77</v>
      </c>
      <c r="E671" t="s">
        <v>19</v>
      </c>
      <c r="F671" s="3">
        <v>5.9735233485948598</v>
      </c>
      <c r="G671" s="3">
        <v>24</v>
      </c>
      <c r="H671">
        <v>2</v>
      </c>
      <c r="I671" s="3">
        <v>63.512269927386697</v>
      </c>
      <c r="J671" s="3">
        <v>83.534841764633299</v>
      </c>
      <c r="K671" s="3">
        <v>279.65256386723303</v>
      </c>
      <c r="L671" s="3">
        <v>73.123431385207098</v>
      </c>
      <c r="M671" s="3">
        <v>5.8988566410494601</v>
      </c>
      <c r="N671" s="3">
        <v>71.761978753447295</v>
      </c>
      <c r="O671" s="3">
        <v>6.7757693263306997</v>
      </c>
      <c r="P671" s="3">
        <v>67.109048056014203</v>
      </c>
      <c r="Q671" s="3">
        <v>71.329915390802398</v>
      </c>
      <c r="R671" s="3" t="str">
        <f>IF(Table1[[#This Row],[Nutrition_Quality_Score]]&lt;60, "Poor Nutrition",IF(AND(Table1[[#This Row],[Nutrition_Quality_Score]]&gt;=60,Table1[[#This Row],[Nutrition_Quality_Score]]&lt;=80),"Average Nutrition", "Good Nutrition"))</f>
        <v>Average Nutrition</v>
      </c>
      <c r="S671">
        <v>1</v>
      </c>
      <c r="T671" t="str">
        <f>IF(Table1[[#This Row],[Warmup_Routine_Adherence]]=1, "Adherent","Non-Adherent")</f>
        <v>Adherent</v>
      </c>
      <c r="U671">
        <v>1</v>
      </c>
      <c r="V671" t="str">
        <f>IF(Table1[[#This Row],[Injury_Next_Season]]=1, "Injury","No Injury")</f>
        <v>Injury</v>
      </c>
      <c r="W671" s="3">
        <v>22.498173849525099</v>
      </c>
    </row>
    <row r="672" spans="1:23" x14ac:dyDescent="0.25">
      <c r="A672" s="6">
        <v>24</v>
      </c>
      <c r="B672" s="8" t="str">
        <f>CONCATENATE(Table1[[#This Row],[Age]]," ", "years")</f>
        <v>24 years</v>
      </c>
      <c r="C672">
        <v>184</v>
      </c>
      <c r="D672">
        <v>84</v>
      </c>
      <c r="E672" t="s">
        <v>21</v>
      </c>
      <c r="F672" s="3">
        <v>8.81702202928963</v>
      </c>
      <c r="G672" s="3">
        <v>31</v>
      </c>
      <c r="H672">
        <v>2</v>
      </c>
      <c r="I672" s="3">
        <v>76.397087191923504</v>
      </c>
      <c r="J672" s="3">
        <v>80.385333829760299</v>
      </c>
      <c r="K672" s="3">
        <v>214.95280983357799</v>
      </c>
      <c r="L672" s="3">
        <v>93.868258743891701</v>
      </c>
      <c r="M672" s="3">
        <v>6.6175489966759002</v>
      </c>
      <c r="N672" s="3">
        <v>95.138327466013806</v>
      </c>
      <c r="O672" s="3">
        <v>8.1746781627929401</v>
      </c>
      <c r="P672" s="3">
        <v>36.915353503684102</v>
      </c>
      <c r="Q672" s="3">
        <v>73.061108838646106</v>
      </c>
      <c r="R672" s="3" t="str">
        <f>IF(Table1[[#This Row],[Nutrition_Quality_Score]]&lt;60, "Poor Nutrition",IF(AND(Table1[[#This Row],[Nutrition_Quality_Score]]&gt;=60,Table1[[#This Row],[Nutrition_Quality_Score]]&lt;=80),"Average Nutrition", "Good Nutrition"))</f>
        <v>Average Nutrition</v>
      </c>
      <c r="S672">
        <v>1</v>
      </c>
      <c r="T672" t="str">
        <f>IF(Table1[[#This Row],[Warmup_Routine_Adherence]]=1, "Adherent","Non-Adherent")</f>
        <v>Adherent</v>
      </c>
      <c r="U672">
        <v>0</v>
      </c>
      <c r="V672" t="str">
        <f>IF(Table1[[#This Row],[Injury_Next_Season]]=1, "Injury","No Injury")</f>
        <v>No Injury</v>
      </c>
      <c r="W672" s="3">
        <v>24.810964083175801</v>
      </c>
    </row>
    <row r="673" spans="1:23" x14ac:dyDescent="0.25">
      <c r="A673" s="6">
        <v>23</v>
      </c>
      <c r="B673" s="8" t="str">
        <f>CONCATENATE(Table1[[#This Row],[Age]]," ", "years")</f>
        <v>23 years</v>
      </c>
      <c r="C673">
        <v>174</v>
      </c>
      <c r="D673">
        <v>88</v>
      </c>
      <c r="E673" t="s">
        <v>20</v>
      </c>
      <c r="F673" s="3">
        <v>14.553172037104799</v>
      </c>
      <c r="G673" s="3">
        <v>21</v>
      </c>
      <c r="H673">
        <v>0</v>
      </c>
      <c r="I673" s="3">
        <v>71.547050315522497</v>
      </c>
      <c r="J673" s="3">
        <v>81.804988382904497</v>
      </c>
      <c r="K673" s="3">
        <v>271.13125334200998</v>
      </c>
      <c r="L673" s="3">
        <v>80.829900223129101</v>
      </c>
      <c r="M673" s="3">
        <v>5.4495868429452701</v>
      </c>
      <c r="N673" s="3">
        <v>75.855223493484203</v>
      </c>
      <c r="O673" s="3">
        <v>7.6719132970302102</v>
      </c>
      <c r="P673" s="3">
        <v>87.065007174630793</v>
      </c>
      <c r="Q673" s="3">
        <v>77.472988232025699</v>
      </c>
      <c r="R673" s="3" t="str">
        <f>IF(Table1[[#This Row],[Nutrition_Quality_Score]]&lt;60, "Poor Nutrition",IF(AND(Table1[[#This Row],[Nutrition_Quality_Score]]&gt;=60,Table1[[#This Row],[Nutrition_Quality_Score]]&lt;=80),"Average Nutrition", "Good Nutrition"))</f>
        <v>Average Nutrition</v>
      </c>
      <c r="S673">
        <v>1</v>
      </c>
      <c r="T673" t="str">
        <f>IF(Table1[[#This Row],[Warmup_Routine_Adherence]]=1, "Adherent","Non-Adherent")</f>
        <v>Adherent</v>
      </c>
      <c r="U673">
        <v>1</v>
      </c>
      <c r="V673" t="str">
        <f>IF(Table1[[#This Row],[Injury_Next_Season]]=1, "Injury","No Injury")</f>
        <v>Injury</v>
      </c>
      <c r="W673" s="3">
        <v>29.065926806711499</v>
      </c>
    </row>
    <row r="674" spans="1:23" x14ac:dyDescent="0.25">
      <c r="A674" s="6">
        <v>19</v>
      </c>
      <c r="B674" s="8" t="str">
        <f>CONCATENATE(Table1[[#This Row],[Age]]," ", "years")</f>
        <v>19 years</v>
      </c>
      <c r="C674">
        <v>170</v>
      </c>
      <c r="D674">
        <v>64</v>
      </c>
      <c r="E674" t="s">
        <v>19</v>
      </c>
      <c r="F674" s="3">
        <v>5</v>
      </c>
      <c r="G674" s="3">
        <v>39</v>
      </c>
      <c r="H674">
        <v>1</v>
      </c>
      <c r="I674" s="3">
        <v>73.858091900780096</v>
      </c>
      <c r="J674" s="3">
        <v>86.281939212530006</v>
      </c>
      <c r="K674" s="3">
        <v>233.77371366002299</v>
      </c>
      <c r="L674" s="3">
        <v>68.485061078647703</v>
      </c>
      <c r="M674" s="3">
        <v>6.3309180205455897</v>
      </c>
      <c r="N674" s="3">
        <v>81.422704337801505</v>
      </c>
      <c r="O674" s="3">
        <v>7.5727979675335302</v>
      </c>
      <c r="P674" s="3">
        <v>80.420831412707102</v>
      </c>
      <c r="Q674" s="3">
        <v>70.156498523617898</v>
      </c>
      <c r="R674" s="3" t="str">
        <f>IF(Table1[[#This Row],[Nutrition_Quality_Score]]&lt;60, "Poor Nutrition",IF(AND(Table1[[#This Row],[Nutrition_Quality_Score]]&gt;=60,Table1[[#This Row],[Nutrition_Quality_Score]]&lt;=80),"Average Nutrition", "Good Nutrition"))</f>
        <v>Average Nutrition</v>
      </c>
      <c r="S674">
        <v>1</v>
      </c>
      <c r="T674" t="str">
        <f>IF(Table1[[#This Row],[Warmup_Routine_Adherence]]=1, "Adherent","Non-Adherent")</f>
        <v>Adherent</v>
      </c>
      <c r="U674">
        <v>1</v>
      </c>
      <c r="V674" t="str">
        <f>IF(Table1[[#This Row],[Injury_Next_Season]]=1, "Injury","No Injury")</f>
        <v>Injury</v>
      </c>
      <c r="W674" s="3">
        <v>22.1453287197231</v>
      </c>
    </row>
    <row r="675" spans="1:23" x14ac:dyDescent="0.25">
      <c r="A675" s="6">
        <v>24</v>
      </c>
      <c r="B675" s="8" t="str">
        <f>CONCATENATE(Table1[[#This Row],[Age]]," ", "years")</f>
        <v>24 years</v>
      </c>
      <c r="C675">
        <v>171</v>
      </c>
      <c r="D675">
        <v>80</v>
      </c>
      <c r="E675" t="s">
        <v>19</v>
      </c>
      <c r="F675" s="3">
        <v>8.5573392497129692</v>
      </c>
      <c r="G675" s="3">
        <v>13</v>
      </c>
      <c r="H675">
        <v>0</v>
      </c>
      <c r="I675" s="3">
        <v>83.726229281075206</v>
      </c>
      <c r="J675" s="3">
        <v>77.776812312157503</v>
      </c>
      <c r="K675" s="3">
        <v>232.357183844498</v>
      </c>
      <c r="L675" s="3">
        <v>81.249439973177502</v>
      </c>
      <c r="M675" s="3">
        <v>6.1675674969717402</v>
      </c>
      <c r="N675" s="3">
        <v>90.010474169852998</v>
      </c>
      <c r="O675" s="3">
        <v>8.1835651337676101</v>
      </c>
      <c r="P675" s="3">
        <v>38.526365160265399</v>
      </c>
      <c r="Q675" s="3">
        <v>96.117921559471597</v>
      </c>
      <c r="R675" s="3" t="str">
        <f>IF(Table1[[#This Row],[Nutrition_Quality_Score]]&lt;60, "Poor Nutrition",IF(AND(Table1[[#This Row],[Nutrition_Quality_Score]]&gt;=60,Table1[[#This Row],[Nutrition_Quality_Score]]&lt;=80),"Average Nutrition", "Good Nutrition"))</f>
        <v>Good Nutrition</v>
      </c>
      <c r="S675">
        <v>0</v>
      </c>
      <c r="T675" t="str">
        <f>IF(Table1[[#This Row],[Warmup_Routine_Adherence]]=1, "Adherent","Non-Adherent")</f>
        <v>Non-Adherent</v>
      </c>
      <c r="U675">
        <v>0</v>
      </c>
      <c r="V675" t="str">
        <f>IF(Table1[[#This Row],[Injury_Next_Season]]=1, "Injury","No Injury")</f>
        <v>No Injury</v>
      </c>
      <c r="W675" s="3">
        <v>27.358845456721699</v>
      </c>
    </row>
    <row r="676" spans="1:23" x14ac:dyDescent="0.25">
      <c r="A676" s="6">
        <v>21</v>
      </c>
      <c r="B676" s="8" t="str">
        <f>CONCATENATE(Table1[[#This Row],[Age]]," ", "years")</f>
        <v>21 years</v>
      </c>
      <c r="C676">
        <v>187</v>
      </c>
      <c r="D676">
        <v>64</v>
      </c>
      <c r="E676" t="s">
        <v>21</v>
      </c>
      <c r="F676" s="3">
        <v>11.5331580746141</v>
      </c>
      <c r="G676" s="3">
        <v>24</v>
      </c>
      <c r="H676">
        <v>0</v>
      </c>
      <c r="I676" s="3">
        <v>75.821646179973797</v>
      </c>
      <c r="J676" s="3">
        <v>73.533378190506994</v>
      </c>
      <c r="K676" s="3">
        <v>239.21822824148299</v>
      </c>
      <c r="L676" s="3">
        <v>90.420393937431996</v>
      </c>
      <c r="M676" s="3">
        <v>6.1710338790178998</v>
      </c>
      <c r="N676" s="3">
        <v>89.854605497449597</v>
      </c>
      <c r="O676" s="3">
        <v>7.1708715850583999</v>
      </c>
      <c r="P676" s="3">
        <v>47.428254439123599</v>
      </c>
      <c r="Q676" s="3">
        <v>74.802685275424807</v>
      </c>
      <c r="R676" s="3" t="str">
        <f>IF(Table1[[#This Row],[Nutrition_Quality_Score]]&lt;60, "Poor Nutrition",IF(AND(Table1[[#This Row],[Nutrition_Quality_Score]]&gt;=60,Table1[[#This Row],[Nutrition_Quality_Score]]&lt;=80),"Average Nutrition", "Good Nutrition"))</f>
        <v>Average Nutrition</v>
      </c>
      <c r="S676">
        <v>0</v>
      </c>
      <c r="T676" t="str">
        <f>IF(Table1[[#This Row],[Warmup_Routine_Adherence]]=1, "Adherent","Non-Adherent")</f>
        <v>Non-Adherent</v>
      </c>
      <c r="U676">
        <v>0</v>
      </c>
      <c r="V676" t="str">
        <f>IF(Table1[[#This Row],[Injury_Next_Season]]=1, "Injury","No Injury")</f>
        <v>No Injury</v>
      </c>
      <c r="W676" s="3">
        <v>18.3019245617546</v>
      </c>
    </row>
    <row r="677" spans="1:23" x14ac:dyDescent="0.25">
      <c r="A677" s="6">
        <v>21</v>
      </c>
      <c r="B677" s="8" t="str">
        <f>CONCATENATE(Table1[[#This Row],[Age]]," ", "years")</f>
        <v>21 years</v>
      </c>
      <c r="C677">
        <v>186</v>
      </c>
      <c r="D677">
        <v>92</v>
      </c>
      <c r="E677" t="s">
        <v>19</v>
      </c>
      <c r="F677" s="3">
        <v>12.819396330760799</v>
      </c>
      <c r="G677" s="3">
        <v>39</v>
      </c>
      <c r="H677">
        <v>0</v>
      </c>
      <c r="I677" s="3">
        <v>69.931824127772302</v>
      </c>
      <c r="J677" s="3">
        <v>88.2394669842855</v>
      </c>
      <c r="K677" s="3">
        <v>250.895017886391</v>
      </c>
      <c r="L677" s="3">
        <v>100</v>
      </c>
      <c r="M677" s="3">
        <v>5.8040154196855704</v>
      </c>
      <c r="N677" s="3">
        <v>72.455147340253802</v>
      </c>
      <c r="O677" s="3">
        <v>8.3758740100603006</v>
      </c>
      <c r="P677" s="3">
        <v>44.856687823382899</v>
      </c>
      <c r="Q677" s="3">
        <v>82.205264932988896</v>
      </c>
      <c r="R677" s="3" t="str">
        <f>IF(Table1[[#This Row],[Nutrition_Quality_Score]]&lt;60, "Poor Nutrition",IF(AND(Table1[[#This Row],[Nutrition_Quality_Score]]&gt;=60,Table1[[#This Row],[Nutrition_Quality_Score]]&lt;=80),"Average Nutrition", "Good Nutrition"))</f>
        <v>Good Nutrition</v>
      </c>
      <c r="S677">
        <v>1</v>
      </c>
      <c r="T677" t="str">
        <f>IF(Table1[[#This Row],[Warmup_Routine_Adherence]]=1, "Adherent","Non-Adherent")</f>
        <v>Adherent</v>
      </c>
      <c r="U677">
        <v>0</v>
      </c>
      <c r="V677" t="str">
        <f>IF(Table1[[#This Row],[Injury_Next_Season]]=1, "Injury","No Injury")</f>
        <v>No Injury</v>
      </c>
      <c r="W677" s="3">
        <v>26.5926696727945</v>
      </c>
    </row>
    <row r="678" spans="1:23" x14ac:dyDescent="0.25">
      <c r="A678" s="6">
        <v>24</v>
      </c>
      <c r="B678" s="8" t="str">
        <f>CONCATENATE(Table1[[#This Row],[Age]]," ", "years")</f>
        <v>24 years</v>
      </c>
      <c r="C678">
        <v>181</v>
      </c>
      <c r="D678">
        <v>91</v>
      </c>
      <c r="E678" t="s">
        <v>21</v>
      </c>
      <c r="F678" s="3">
        <v>12.414726402230301</v>
      </c>
      <c r="G678" s="3">
        <v>9</v>
      </c>
      <c r="H678">
        <v>1</v>
      </c>
      <c r="I678" s="3">
        <v>83.730652084794201</v>
      </c>
      <c r="J678" s="3">
        <v>86.957644839206594</v>
      </c>
      <c r="K678" s="3">
        <v>276.14757805292101</v>
      </c>
      <c r="L678" s="3">
        <v>84.618629663923599</v>
      </c>
      <c r="M678" s="3">
        <v>5.8368839723719601</v>
      </c>
      <c r="N678" s="3">
        <v>71.929217693198893</v>
      </c>
      <c r="O678" s="3">
        <v>8.1277962982171896</v>
      </c>
      <c r="P678" s="3">
        <v>56.040600709891798</v>
      </c>
      <c r="Q678" s="3">
        <v>79.623847686728794</v>
      </c>
      <c r="R678" s="3" t="str">
        <f>IF(Table1[[#This Row],[Nutrition_Quality_Score]]&lt;60, "Poor Nutrition",IF(AND(Table1[[#This Row],[Nutrition_Quality_Score]]&gt;=60,Table1[[#This Row],[Nutrition_Quality_Score]]&lt;=80),"Average Nutrition", "Good Nutrition"))</f>
        <v>Average Nutrition</v>
      </c>
      <c r="S678">
        <v>1</v>
      </c>
      <c r="T678" t="str">
        <f>IF(Table1[[#This Row],[Warmup_Routine_Adherence]]=1, "Adherent","Non-Adherent")</f>
        <v>Adherent</v>
      </c>
      <c r="U678">
        <v>0</v>
      </c>
      <c r="V678" t="str">
        <f>IF(Table1[[#This Row],[Injury_Next_Season]]=1, "Injury","No Injury")</f>
        <v>No Injury</v>
      </c>
      <c r="W678" s="3">
        <v>27.776929886145101</v>
      </c>
    </row>
    <row r="679" spans="1:23" x14ac:dyDescent="0.25">
      <c r="A679" s="6">
        <v>24</v>
      </c>
      <c r="B679" s="8" t="str">
        <f>CONCATENATE(Table1[[#This Row],[Age]]," ", "years")</f>
        <v>24 years</v>
      </c>
      <c r="C679">
        <v>179</v>
      </c>
      <c r="D679">
        <v>73</v>
      </c>
      <c r="E679" t="s">
        <v>22</v>
      </c>
      <c r="F679" s="3">
        <v>14.5157865597373</v>
      </c>
      <c r="G679" s="3">
        <v>38</v>
      </c>
      <c r="H679">
        <v>1</v>
      </c>
      <c r="I679" s="3">
        <v>75.038979222375303</v>
      </c>
      <c r="J679" s="3">
        <v>71.814438946570604</v>
      </c>
      <c r="K679" s="3">
        <v>275.47845295809299</v>
      </c>
      <c r="L679" s="3">
        <v>82.516025475278695</v>
      </c>
      <c r="M679" s="3">
        <v>5.7099422548120398</v>
      </c>
      <c r="N679" s="3">
        <v>56.980716126809803</v>
      </c>
      <c r="O679" s="3">
        <v>6.74322553245071</v>
      </c>
      <c r="P679" s="3">
        <v>64.137188755670294</v>
      </c>
      <c r="Q679" s="3">
        <v>62.5491226579257</v>
      </c>
      <c r="R679" s="3" t="str">
        <f>IF(Table1[[#This Row],[Nutrition_Quality_Score]]&lt;60, "Poor Nutrition",IF(AND(Table1[[#This Row],[Nutrition_Quality_Score]]&gt;=60,Table1[[#This Row],[Nutrition_Quality_Score]]&lt;=80),"Average Nutrition", "Good Nutrition"))</f>
        <v>Average Nutrition</v>
      </c>
      <c r="S679">
        <v>0</v>
      </c>
      <c r="T679" t="str">
        <f>IF(Table1[[#This Row],[Warmup_Routine_Adherence]]=1, "Adherent","Non-Adherent")</f>
        <v>Non-Adherent</v>
      </c>
      <c r="U679">
        <v>1</v>
      </c>
      <c r="V679" t="str">
        <f>IF(Table1[[#This Row],[Injury_Next_Season]]=1, "Injury","No Injury")</f>
        <v>Injury</v>
      </c>
      <c r="W679" s="3">
        <v>22.783308885490399</v>
      </c>
    </row>
    <row r="680" spans="1:23" x14ac:dyDescent="0.25">
      <c r="A680" s="6">
        <v>23</v>
      </c>
      <c r="B680" s="8" t="str">
        <f>CONCATENATE(Table1[[#This Row],[Age]]," ", "years")</f>
        <v>23 years</v>
      </c>
      <c r="C680">
        <v>178</v>
      </c>
      <c r="D680">
        <v>92</v>
      </c>
      <c r="E680" t="s">
        <v>21</v>
      </c>
      <c r="F680" s="3">
        <v>5</v>
      </c>
      <c r="G680" s="3">
        <v>14</v>
      </c>
      <c r="H680">
        <v>2</v>
      </c>
      <c r="I680" s="3">
        <v>78.919034075637995</v>
      </c>
      <c r="J680" s="3">
        <v>85.047156150800703</v>
      </c>
      <c r="K680" s="3">
        <v>247.043934733756</v>
      </c>
      <c r="L680" s="3">
        <v>90.499463618104102</v>
      </c>
      <c r="M680" s="3">
        <v>6.8806184750567603</v>
      </c>
      <c r="N680" s="3">
        <v>82.493574303988396</v>
      </c>
      <c r="O680" s="3">
        <v>8.1889164669315999</v>
      </c>
      <c r="P680" s="3">
        <v>56.429965420314602</v>
      </c>
      <c r="Q680" s="3">
        <v>74.389362352081093</v>
      </c>
      <c r="R680" s="3" t="str">
        <f>IF(Table1[[#This Row],[Nutrition_Quality_Score]]&lt;60, "Poor Nutrition",IF(AND(Table1[[#This Row],[Nutrition_Quality_Score]]&gt;=60,Table1[[#This Row],[Nutrition_Quality_Score]]&lt;=80),"Average Nutrition", "Good Nutrition"))</f>
        <v>Average Nutrition</v>
      </c>
      <c r="S680">
        <v>1</v>
      </c>
      <c r="T680" t="str">
        <f>IF(Table1[[#This Row],[Warmup_Routine_Adherence]]=1, "Adherent","Non-Adherent")</f>
        <v>Adherent</v>
      </c>
      <c r="U680">
        <v>0</v>
      </c>
      <c r="V680" t="str">
        <f>IF(Table1[[#This Row],[Injury_Next_Season]]=1, "Injury","No Injury")</f>
        <v>No Injury</v>
      </c>
      <c r="W680" s="3">
        <v>29.0367377856331</v>
      </c>
    </row>
    <row r="681" spans="1:23" x14ac:dyDescent="0.25">
      <c r="A681" s="6">
        <v>18</v>
      </c>
      <c r="B681" s="8" t="str">
        <f>CONCATENATE(Table1[[#This Row],[Age]]," ", "years")</f>
        <v>18 years</v>
      </c>
      <c r="C681">
        <v>188</v>
      </c>
      <c r="D681">
        <v>72</v>
      </c>
      <c r="E681" t="s">
        <v>21</v>
      </c>
      <c r="F681" s="3">
        <v>10.980773542218699</v>
      </c>
      <c r="G681" s="3">
        <v>32</v>
      </c>
      <c r="H681">
        <v>3</v>
      </c>
      <c r="I681" s="3">
        <v>83.451059000570694</v>
      </c>
      <c r="J681" s="3">
        <v>81.318292266641393</v>
      </c>
      <c r="K681" s="3">
        <v>247.46689145680401</v>
      </c>
      <c r="L681" s="3">
        <v>85.462354408912503</v>
      </c>
      <c r="M681" s="3">
        <v>5.4896567646252601</v>
      </c>
      <c r="N681" s="3">
        <v>89.404715176189399</v>
      </c>
      <c r="O681" s="3">
        <v>7.7030829299207397</v>
      </c>
      <c r="P681" s="3">
        <v>32.0541543939826</v>
      </c>
      <c r="Q681" s="3">
        <v>72.518770858402604</v>
      </c>
      <c r="R681" s="3" t="str">
        <f>IF(Table1[[#This Row],[Nutrition_Quality_Score]]&lt;60, "Poor Nutrition",IF(AND(Table1[[#This Row],[Nutrition_Quality_Score]]&gt;=60,Table1[[#This Row],[Nutrition_Quality_Score]]&lt;=80),"Average Nutrition", "Good Nutrition"))</f>
        <v>Average Nutrition</v>
      </c>
      <c r="S681">
        <v>1</v>
      </c>
      <c r="T681" t="str">
        <f>IF(Table1[[#This Row],[Warmup_Routine_Adherence]]=1, "Adherent","Non-Adherent")</f>
        <v>Adherent</v>
      </c>
      <c r="U681">
        <v>0</v>
      </c>
      <c r="V681" t="str">
        <f>IF(Table1[[#This Row],[Injury_Next_Season]]=1, "Injury","No Injury")</f>
        <v>No Injury</v>
      </c>
      <c r="W681" s="3">
        <v>20.371208691715701</v>
      </c>
    </row>
    <row r="682" spans="1:23" x14ac:dyDescent="0.25">
      <c r="A682" s="6">
        <v>19</v>
      </c>
      <c r="B682" s="8" t="str">
        <f>CONCATENATE(Table1[[#This Row],[Age]]," ", "years")</f>
        <v>19 years</v>
      </c>
      <c r="C682">
        <v>182</v>
      </c>
      <c r="D682">
        <v>80</v>
      </c>
      <c r="E682" t="s">
        <v>22</v>
      </c>
      <c r="F682" s="3">
        <v>5.2060606043231701</v>
      </c>
      <c r="G682" s="3">
        <v>29</v>
      </c>
      <c r="H682">
        <v>1</v>
      </c>
      <c r="I682" s="3">
        <v>75.717473608093798</v>
      </c>
      <c r="J682" s="3">
        <v>77.016743775359203</v>
      </c>
      <c r="K682" s="3">
        <v>230.46378626509301</v>
      </c>
      <c r="L682" s="3">
        <v>89.250599591297302</v>
      </c>
      <c r="M682" s="3">
        <v>5.8798664705220398</v>
      </c>
      <c r="N682" s="3">
        <v>83.035120781473694</v>
      </c>
      <c r="O682" s="3">
        <v>8.5007774787050607</v>
      </c>
      <c r="P682" s="3">
        <v>41.5195047811591</v>
      </c>
      <c r="Q682" s="3">
        <v>71.517251125014795</v>
      </c>
      <c r="R682" s="3" t="str">
        <f>IF(Table1[[#This Row],[Nutrition_Quality_Score]]&lt;60, "Poor Nutrition",IF(AND(Table1[[#This Row],[Nutrition_Quality_Score]]&gt;=60,Table1[[#This Row],[Nutrition_Quality_Score]]&lt;=80),"Average Nutrition", "Good Nutrition"))</f>
        <v>Average Nutrition</v>
      </c>
      <c r="S682">
        <v>0</v>
      </c>
      <c r="T682" t="str">
        <f>IF(Table1[[#This Row],[Warmup_Routine_Adherence]]=1, "Adherent","Non-Adherent")</f>
        <v>Non-Adherent</v>
      </c>
      <c r="U682">
        <v>0</v>
      </c>
      <c r="V682" t="str">
        <f>IF(Table1[[#This Row],[Injury_Next_Season]]=1, "Injury","No Injury")</f>
        <v>No Injury</v>
      </c>
      <c r="W682" s="3">
        <v>24.1516725033208</v>
      </c>
    </row>
    <row r="683" spans="1:23" x14ac:dyDescent="0.25">
      <c r="A683" s="6">
        <v>19</v>
      </c>
      <c r="B683" s="8" t="str">
        <f>CONCATENATE(Table1[[#This Row],[Age]]," ", "years")</f>
        <v>19 years</v>
      </c>
      <c r="C683">
        <v>167</v>
      </c>
      <c r="D683">
        <v>51</v>
      </c>
      <c r="E683" t="s">
        <v>19</v>
      </c>
      <c r="F683" s="3">
        <v>5</v>
      </c>
      <c r="G683" s="3">
        <v>30</v>
      </c>
      <c r="H683">
        <v>5</v>
      </c>
      <c r="I683" s="3">
        <v>69.1447806485195</v>
      </c>
      <c r="J683" s="3">
        <v>75.352866962760501</v>
      </c>
      <c r="K683" s="3">
        <v>254.274852205228</v>
      </c>
      <c r="L683" s="3">
        <v>72.161809133513103</v>
      </c>
      <c r="M683" s="3">
        <v>6.3100662471698703</v>
      </c>
      <c r="N683" s="3">
        <v>71.283491928350301</v>
      </c>
      <c r="O683" s="3">
        <v>8.1823635532877397</v>
      </c>
      <c r="P683" s="3">
        <v>65.907032384711897</v>
      </c>
      <c r="Q683" s="3">
        <v>76.728611084026497</v>
      </c>
      <c r="R683" s="3" t="str">
        <f>IF(Table1[[#This Row],[Nutrition_Quality_Score]]&lt;60, "Poor Nutrition",IF(AND(Table1[[#This Row],[Nutrition_Quality_Score]]&gt;=60,Table1[[#This Row],[Nutrition_Quality_Score]]&lt;=80),"Average Nutrition", "Good Nutrition"))</f>
        <v>Average Nutrition</v>
      </c>
      <c r="S683">
        <v>1</v>
      </c>
      <c r="T683" t="str">
        <f>IF(Table1[[#This Row],[Warmup_Routine_Adherence]]=1, "Adherent","Non-Adherent")</f>
        <v>Adherent</v>
      </c>
      <c r="U683">
        <v>1</v>
      </c>
      <c r="V683" t="str">
        <f>IF(Table1[[#This Row],[Injury_Next_Season]]=1, "Injury","No Injury")</f>
        <v>Injury</v>
      </c>
      <c r="W683" s="3">
        <v>18.286779733945199</v>
      </c>
    </row>
    <row r="684" spans="1:23" x14ac:dyDescent="0.25">
      <c r="A684" s="6">
        <v>19</v>
      </c>
      <c r="B684" s="8" t="str">
        <f>CONCATENATE(Table1[[#This Row],[Age]]," ", "years")</f>
        <v>19 years</v>
      </c>
      <c r="C684">
        <v>193</v>
      </c>
      <c r="D684">
        <v>80</v>
      </c>
      <c r="E684" t="s">
        <v>22</v>
      </c>
      <c r="F684" s="3">
        <v>12.469718889973599</v>
      </c>
      <c r="G684" s="3">
        <v>25</v>
      </c>
      <c r="H684">
        <v>2</v>
      </c>
      <c r="I684" s="3">
        <v>66.2793840514762</v>
      </c>
      <c r="J684" s="3">
        <v>67.877846704708205</v>
      </c>
      <c r="K684" s="3">
        <v>251.581139295914</v>
      </c>
      <c r="L684" s="3">
        <v>78.6442296407388</v>
      </c>
      <c r="M684" s="3">
        <v>5.5950413202795604</v>
      </c>
      <c r="N684" s="3">
        <v>79.566659254760097</v>
      </c>
      <c r="O684" s="3">
        <v>7.2450991257615698</v>
      </c>
      <c r="P684" s="3">
        <v>67.001980373807598</v>
      </c>
      <c r="Q684" s="3">
        <v>67.847054692265004</v>
      </c>
      <c r="R684" s="3" t="str">
        <f>IF(Table1[[#This Row],[Nutrition_Quality_Score]]&lt;60, "Poor Nutrition",IF(AND(Table1[[#This Row],[Nutrition_Quality_Score]]&gt;=60,Table1[[#This Row],[Nutrition_Quality_Score]]&lt;=80),"Average Nutrition", "Good Nutrition"))</f>
        <v>Average Nutrition</v>
      </c>
      <c r="S684">
        <v>0</v>
      </c>
      <c r="T684" t="str">
        <f>IF(Table1[[#This Row],[Warmup_Routine_Adherence]]=1, "Adherent","Non-Adherent")</f>
        <v>Non-Adherent</v>
      </c>
      <c r="U684">
        <v>1</v>
      </c>
      <c r="V684" t="str">
        <f>IF(Table1[[#This Row],[Injury_Next_Season]]=1, "Injury","No Injury")</f>
        <v>Injury</v>
      </c>
      <c r="W684" s="3">
        <v>21.477086633198201</v>
      </c>
    </row>
    <row r="685" spans="1:23" x14ac:dyDescent="0.25">
      <c r="A685" s="6">
        <v>18</v>
      </c>
      <c r="B685" s="8" t="str">
        <f>CONCATENATE(Table1[[#This Row],[Age]]," ", "years")</f>
        <v>18 years</v>
      </c>
      <c r="C685">
        <v>187</v>
      </c>
      <c r="D685">
        <v>77</v>
      </c>
      <c r="E685" t="s">
        <v>20</v>
      </c>
      <c r="F685" s="3">
        <v>10.3609191124565</v>
      </c>
      <c r="G685" s="3">
        <v>38</v>
      </c>
      <c r="H685">
        <v>1</v>
      </c>
      <c r="I685" s="3">
        <v>72.566698787426702</v>
      </c>
      <c r="J685" s="3">
        <v>78.540880713453006</v>
      </c>
      <c r="K685" s="3">
        <v>235.255483208415</v>
      </c>
      <c r="L685" s="3">
        <v>78.341470065860307</v>
      </c>
      <c r="M685" s="3">
        <v>5.8049095119556</v>
      </c>
      <c r="N685" s="3">
        <v>69.188830738665899</v>
      </c>
      <c r="O685" s="3">
        <v>6.9470827936876702</v>
      </c>
      <c r="P685" s="3">
        <v>64.111146882666105</v>
      </c>
      <c r="Q685" s="3">
        <v>84.725057138293593</v>
      </c>
      <c r="R685" s="3" t="str">
        <f>IF(Table1[[#This Row],[Nutrition_Quality_Score]]&lt;60, "Poor Nutrition",IF(AND(Table1[[#This Row],[Nutrition_Quality_Score]]&gt;=60,Table1[[#This Row],[Nutrition_Quality_Score]]&lt;=80),"Average Nutrition", "Good Nutrition"))</f>
        <v>Good Nutrition</v>
      </c>
      <c r="S685">
        <v>1</v>
      </c>
      <c r="T685" t="str">
        <f>IF(Table1[[#This Row],[Warmup_Routine_Adherence]]=1, "Adherent","Non-Adherent")</f>
        <v>Adherent</v>
      </c>
      <c r="U685">
        <v>1</v>
      </c>
      <c r="V685" t="str">
        <f>IF(Table1[[#This Row],[Injury_Next_Season]]=1, "Injury","No Injury")</f>
        <v>Injury</v>
      </c>
      <c r="W685" s="3">
        <v>22.019502988361101</v>
      </c>
    </row>
    <row r="686" spans="1:23" x14ac:dyDescent="0.25">
      <c r="A686" s="6">
        <v>23</v>
      </c>
      <c r="B686" s="8" t="str">
        <f>CONCATENATE(Table1[[#This Row],[Age]]," ", "years")</f>
        <v>23 years</v>
      </c>
      <c r="C686">
        <v>184</v>
      </c>
      <c r="D686">
        <v>66</v>
      </c>
      <c r="E686" t="s">
        <v>20</v>
      </c>
      <c r="F686" s="3">
        <v>10.166338426528901</v>
      </c>
      <c r="G686" s="3">
        <v>16</v>
      </c>
      <c r="H686">
        <v>2</v>
      </c>
      <c r="I686" s="3">
        <v>80.545947921445006</v>
      </c>
      <c r="J686" s="3">
        <v>85.121354174985697</v>
      </c>
      <c r="K686" s="3">
        <v>235.754883940224</v>
      </c>
      <c r="L686" s="3">
        <v>75.748042204489806</v>
      </c>
      <c r="M686" s="3">
        <v>5.5900710598995103</v>
      </c>
      <c r="N686" s="3">
        <v>71.762964263035798</v>
      </c>
      <c r="O686" s="3">
        <v>8.6739414724474404</v>
      </c>
      <c r="P686" s="3">
        <v>54.123081945618999</v>
      </c>
      <c r="Q686" s="3">
        <v>89.352188984809402</v>
      </c>
      <c r="R686" s="3" t="str">
        <f>IF(Table1[[#This Row],[Nutrition_Quality_Score]]&lt;60, "Poor Nutrition",IF(AND(Table1[[#This Row],[Nutrition_Quality_Score]]&gt;=60,Table1[[#This Row],[Nutrition_Quality_Score]]&lt;=80),"Average Nutrition", "Good Nutrition"))</f>
        <v>Good Nutrition</v>
      </c>
      <c r="S686">
        <v>0</v>
      </c>
      <c r="T686" t="str">
        <f>IF(Table1[[#This Row],[Warmup_Routine_Adherence]]=1, "Adherent","Non-Adherent")</f>
        <v>Non-Adherent</v>
      </c>
      <c r="U686">
        <v>1</v>
      </c>
      <c r="V686" t="str">
        <f>IF(Table1[[#This Row],[Injury_Next_Season]]=1, "Injury","No Injury")</f>
        <v>Injury</v>
      </c>
      <c r="W686" s="3">
        <v>19.4943289224952</v>
      </c>
    </row>
    <row r="687" spans="1:23" x14ac:dyDescent="0.25">
      <c r="A687" s="6">
        <v>23</v>
      </c>
      <c r="B687" s="8" t="str">
        <f>CONCATENATE(Table1[[#This Row],[Age]]," ", "years")</f>
        <v>23 years</v>
      </c>
      <c r="C687">
        <v>177</v>
      </c>
      <c r="D687">
        <v>77</v>
      </c>
      <c r="E687" t="s">
        <v>21</v>
      </c>
      <c r="F687" s="3">
        <v>10.397677302461</v>
      </c>
      <c r="G687" s="3">
        <v>16</v>
      </c>
      <c r="H687">
        <v>1</v>
      </c>
      <c r="I687" s="3">
        <v>71.851267420682504</v>
      </c>
      <c r="J687" s="3">
        <v>74.383248400448096</v>
      </c>
      <c r="K687" s="3">
        <v>261.64429569426801</v>
      </c>
      <c r="L687" s="3">
        <v>73.363459561255198</v>
      </c>
      <c r="M687" s="3">
        <v>5.8487866898890202</v>
      </c>
      <c r="N687" s="3">
        <v>79.218579470349297</v>
      </c>
      <c r="O687" s="3">
        <v>7.4162975902760397</v>
      </c>
      <c r="P687" s="3">
        <v>49.787402161520198</v>
      </c>
      <c r="Q687" s="3">
        <v>72.232398422943007</v>
      </c>
      <c r="R687" s="3" t="str">
        <f>IF(Table1[[#This Row],[Nutrition_Quality_Score]]&lt;60, "Poor Nutrition",IF(AND(Table1[[#This Row],[Nutrition_Quality_Score]]&gt;=60,Table1[[#This Row],[Nutrition_Quality_Score]]&lt;=80),"Average Nutrition", "Good Nutrition"))</f>
        <v>Average Nutrition</v>
      </c>
      <c r="S687">
        <v>0</v>
      </c>
      <c r="T687" t="str">
        <f>IF(Table1[[#This Row],[Warmup_Routine_Adherence]]=1, "Adherent","Non-Adherent")</f>
        <v>Non-Adherent</v>
      </c>
      <c r="U687">
        <v>1</v>
      </c>
      <c r="V687" t="str">
        <f>IF(Table1[[#This Row],[Injury_Next_Season]]=1, "Injury","No Injury")</f>
        <v>Injury</v>
      </c>
      <c r="W687" s="3">
        <v>24.577867151840099</v>
      </c>
    </row>
    <row r="688" spans="1:23" x14ac:dyDescent="0.25">
      <c r="A688" s="6">
        <v>22</v>
      </c>
      <c r="B688" s="8" t="str">
        <f>CONCATENATE(Table1[[#This Row],[Age]]," ", "years")</f>
        <v>22 years</v>
      </c>
      <c r="C688">
        <v>193</v>
      </c>
      <c r="D688">
        <v>71</v>
      </c>
      <c r="E688" t="s">
        <v>19</v>
      </c>
      <c r="F688" s="3">
        <v>11.2500102133071</v>
      </c>
      <c r="G688" s="3">
        <v>21</v>
      </c>
      <c r="H688">
        <v>2</v>
      </c>
      <c r="I688" s="3">
        <v>83.479498115888603</v>
      </c>
      <c r="J688" s="3">
        <v>64.466820345754897</v>
      </c>
      <c r="K688" s="3">
        <v>216.656311679922</v>
      </c>
      <c r="L688" s="3">
        <v>80.684661180667504</v>
      </c>
      <c r="M688" s="3">
        <v>5.6903929657267902</v>
      </c>
      <c r="N688" s="3">
        <v>78.678536691655495</v>
      </c>
      <c r="O688" s="3">
        <v>8.1978680143485398</v>
      </c>
      <c r="P688" s="3">
        <v>61.607610091919199</v>
      </c>
      <c r="Q688" s="3">
        <v>71.615856430129298</v>
      </c>
      <c r="R688" s="3" t="str">
        <f>IF(Table1[[#This Row],[Nutrition_Quality_Score]]&lt;60, "Poor Nutrition",IF(AND(Table1[[#This Row],[Nutrition_Quality_Score]]&gt;=60,Table1[[#This Row],[Nutrition_Quality_Score]]&lt;=80),"Average Nutrition", "Good Nutrition"))</f>
        <v>Average Nutrition</v>
      </c>
      <c r="S688">
        <v>1</v>
      </c>
      <c r="T688" t="str">
        <f>IF(Table1[[#This Row],[Warmup_Routine_Adherence]]=1, "Adherent","Non-Adherent")</f>
        <v>Adherent</v>
      </c>
      <c r="U688">
        <v>0</v>
      </c>
      <c r="V688" t="str">
        <f>IF(Table1[[#This Row],[Injury_Next_Season]]=1, "Injury","No Injury")</f>
        <v>No Injury</v>
      </c>
      <c r="W688" s="3">
        <v>19.0609143869634</v>
      </c>
    </row>
    <row r="689" spans="1:23" x14ac:dyDescent="0.25">
      <c r="A689" s="6">
        <v>24</v>
      </c>
      <c r="B689" s="8" t="str">
        <f>CONCATENATE(Table1[[#This Row],[Age]]," ", "years")</f>
        <v>24 years</v>
      </c>
      <c r="C689">
        <v>172</v>
      </c>
      <c r="D689">
        <v>76</v>
      </c>
      <c r="E689" t="s">
        <v>22</v>
      </c>
      <c r="F689" s="3">
        <v>13.2988486436307</v>
      </c>
      <c r="G689" s="3">
        <v>31</v>
      </c>
      <c r="H689">
        <v>5</v>
      </c>
      <c r="I689" s="3">
        <v>76.372432316378195</v>
      </c>
      <c r="J689" s="3">
        <v>83.150547180684796</v>
      </c>
      <c r="K689" s="3">
        <v>227.00161289114001</v>
      </c>
      <c r="L689" s="3">
        <v>78.187970567702493</v>
      </c>
      <c r="M689" s="3">
        <v>5.8987355302192404</v>
      </c>
      <c r="N689" s="3">
        <v>59.1442135837585</v>
      </c>
      <c r="O689" s="3">
        <v>6.04550473676795</v>
      </c>
      <c r="P689" s="3">
        <v>73.886063084465206</v>
      </c>
      <c r="Q689" s="3">
        <v>86.029003977513398</v>
      </c>
      <c r="R689" s="3" t="str">
        <f>IF(Table1[[#This Row],[Nutrition_Quality_Score]]&lt;60, "Poor Nutrition",IF(AND(Table1[[#This Row],[Nutrition_Quality_Score]]&gt;=60,Table1[[#This Row],[Nutrition_Quality_Score]]&lt;=80),"Average Nutrition", "Good Nutrition"))</f>
        <v>Good Nutrition</v>
      </c>
      <c r="S689">
        <v>1</v>
      </c>
      <c r="T689" t="str">
        <f>IF(Table1[[#This Row],[Warmup_Routine_Adherence]]=1, "Adherent","Non-Adherent")</f>
        <v>Adherent</v>
      </c>
      <c r="U689">
        <v>1</v>
      </c>
      <c r="V689" t="str">
        <f>IF(Table1[[#This Row],[Injury_Next_Season]]=1, "Injury","No Injury")</f>
        <v>Injury</v>
      </c>
      <c r="W689" s="3">
        <v>25.689561925364998</v>
      </c>
    </row>
    <row r="690" spans="1:23" x14ac:dyDescent="0.25">
      <c r="A690" s="6">
        <v>24</v>
      </c>
      <c r="B690" s="8" t="str">
        <f>CONCATENATE(Table1[[#This Row],[Age]]," ", "years")</f>
        <v>24 years</v>
      </c>
      <c r="C690">
        <v>178</v>
      </c>
      <c r="D690">
        <v>53</v>
      </c>
      <c r="E690" t="s">
        <v>22</v>
      </c>
      <c r="F690" s="3">
        <v>5</v>
      </c>
      <c r="G690" s="3">
        <v>37</v>
      </c>
      <c r="H690">
        <v>4</v>
      </c>
      <c r="I690" s="3">
        <v>77.079350353899301</v>
      </c>
      <c r="J690" s="3">
        <v>88.757362061944804</v>
      </c>
      <c r="K690" s="3">
        <v>259.600051786123</v>
      </c>
      <c r="L690" s="3">
        <v>81.9361682220283</v>
      </c>
      <c r="M690" s="3">
        <v>6.1668553970679998</v>
      </c>
      <c r="N690" s="3">
        <v>96.766231306092493</v>
      </c>
      <c r="O690" s="3">
        <v>9.1605933772809092</v>
      </c>
      <c r="P690" s="3">
        <v>66.636448497069793</v>
      </c>
      <c r="Q690" s="3">
        <v>100</v>
      </c>
      <c r="R690" s="3" t="str">
        <f>IF(Table1[[#This Row],[Nutrition_Quality_Score]]&lt;60, "Poor Nutrition",IF(AND(Table1[[#This Row],[Nutrition_Quality_Score]]&gt;=60,Table1[[#This Row],[Nutrition_Quality_Score]]&lt;=80),"Average Nutrition", "Good Nutrition"))</f>
        <v>Good Nutrition</v>
      </c>
      <c r="S690">
        <v>1</v>
      </c>
      <c r="T690" t="str">
        <f>IF(Table1[[#This Row],[Warmup_Routine_Adherence]]=1, "Adherent","Non-Adherent")</f>
        <v>Adherent</v>
      </c>
      <c r="U690">
        <v>0</v>
      </c>
      <c r="V690" t="str">
        <f>IF(Table1[[#This Row],[Injury_Next_Season]]=1, "Injury","No Injury")</f>
        <v>No Injury</v>
      </c>
      <c r="W690" s="3">
        <v>16.727685898245099</v>
      </c>
    </row>
    <row r="691" spans="1:23" x14ac:dyDescent="0.25">
      <c r="A691" s="6">
        <v>24</v>
      </c>
      <c r="B691" s="8" t="str">
        <f>CONCATENATE(Table1[[#This Row],[Age]]," ", "years")</f>
        <v>24 years</v>
      </c>
      <c r="C691">
        <v>164</v>
      </c>
      <c r="D691">
        <v>60</v>
      </c>
      <c r="E691" t="s">
        <v>20</v>
      </c>
      <c r="F691" s="3">
        <v>8.4761843894156392</v>
      </c>
      <c r="G691" s="3">
        <v>24</v>
      </c>
      <c r="H691">
        <v>1</v>
      </c>
      <c r="I691" s="3">
        <v>63.882869674177599</v>
      </c>
      <c r="J691" s="3">
        <v>74.444665783366105</v>
      </c>
      <c r="K691" s="3">
        <v>276.38155189584501</v>
      </c>
      <c r="L691" s="3">
        <v>87.522326717066306</v>
      </c>
      <c r="M691" s="3">
        <v>5.8214027932036796</v>
      </c>
      <c r="N691" s="3">
        <v>68.480213982072101</v>
      </c>
      <c r="O691" s="3">
        <v>7.6690821563321396</v>
      </c>
      <c r="P691" s="3">
        <v>54.5577282376263</v>
      </c>
      <c r="Q691" s="3">
        <v>68.909305688551797</v>
      </c>
      <c r="R691" s="3" t="str">
        <f>IF(Table1[[#This Row],[Nutrition_Quality_Score]]&lt;60, "Poor Nutrition",IF(AND(Table1[[#This Row],[Nutrition_Quality_Score]]&gt;=60,Table1[[#This Row],[Nutrition_Quality_Score]]&lt;=80),"Average Nutrition", "Good Nutrition"))</f>
        <v>Average Nutrition</v>
      </c>
      <c r="S691">
        <v>1</v>
      </c>
      <c r="T691" t="str">
        <f>IF(Table1[[#This Row],[Warmup_Routine_Adherence]]=1, "Adherent","Non-Adherent")</f>
        <v>Adherent</v>
      </c>
      <c r="U691">
        <v>1</v>
      </c>
      <c r="V691" t="str">
        <f>IF(Table1[[#This Row],[Injury_Next_Season]]=1, "Injury","No Injury")</f>
        <v>Injury</v>
      </c>
      <c r="W691" s="3">
        <v>22.308149910767401</v>
      </c>
    </row>
    <row r="692" spans="1:23" x14ac:dyDescent="0.25">
      <c r="A692" s="6">
        <v>21</v>
      </c>
      <c r="B692" s="8" t="str">
        <f>CONCATENATE(Table1[[#This Row],[Age]]," ", "years")</f>
        <v>21 years</v>
      </c>
      <c r="C692">
        <v>173</v>
      </c>
      <c r="D692">
        <v>83</v>
      </c>
      <c r="E692" t="s">
        <v>19</v>
      </c>
      <c r="F692" s="3">
        <v>8.4973655772162093</v>
      </c>
      <c r="G692" s="3">
        <v>24</v>
      </c>
      <c r="H692">
        <v>3</v>
      </c>
      <c r="I692" s="3">
        <v>82.028194400693806</v>
      </c>
      <c r="J692" s="3">
        <v>75.469331382705306</v>
      </c>
      <c r="K692" s="3">
        <v>253.06225053568201</v>
      </c>
      <c r="L692" s="3">
        <v>80.6844585887102</v>
      </c>
      <c r="M692" s="3">
        <v>6.1427537541964101</v>
      </c>
      <c r="N692" s="3">
        <v>83.8348223699778</v>
      </c>
      <c r="O692" s="3">
        <v>6.4740906724532596</v>
      </c>
      <c r="P692" s="3">
        <v>72.193597902627403</v>
      </c>
      <c r="Q692" s="3">
        <v>61.536683311695597</v>
      </c>
      <c r="R692" s="3" t="str">
        <f>IF(Table1[[#This Row],[Nutrition_Quality_Score]]&lt;60, "Poor Nutrition",IF(AND(Table1[[#This Row],[Nutrition_Quality_Score]]&gt;=60,Table1[[#This Row],[Nutrition_Quality_Score]]&lt;=80),"Average Nutrition", "Good Nutrition"))</f>
        <v>Average Nutrition</v>
      </c>
      <c r="S692">
        <v>1</v>
      </c>
      <c r="T692" t="str">
        <f>IF(Table1[[#This Row],[Warmup_Routine_Adherence]]=1, "Adherent","Non-Adherent")</f>
        <v>Adherent</v>
      </c>
      <c r="U692">
        <v>1</v>
      </c>
      <c r="V692" t="str">
        <f>IF(Table1[[#This Row],[Injury_Next_Season]]=1, "Injury","No Injury")</f>
        <v>Injury</v>
      </c>
      <c r="W692" s="3">
        <v>27.732299776136799</v>
      </c>
    </row>
    <row r="693" spans="1:23" x14ac:dyDescent="0.25">
      <c r="A693" s="6">
        <v>18</v>
      </c>
      <c r="B693" s="8" t="str">
        <f>CONCATENATE(Table1[[#This Row],[Age]]," ", "years")</f>
        <v>18 years</v>
      </c>
      <c r="C693">
        <v>166</v>
      </c>
      <c r="D693">
        <v>53</v>
      </c>
      <c r="E693" t="s">
        <v>21</v>
      </c>
      <c r="F693" s="3">
        <v>11.469162897120199</v>
      </c>
      <c r="G693" s="3">
        <v>10</v>
      </c>
      <c r="H693">
        <v>0</v>
      </c>
      <c r="I693" s="3">
        <v>89.302614260992598</v>
      </c>
      <c r="J693" s="3">
        <v>78.253001165700098</v>
      </c>
      <c r="K693" s="3">
        <v>259.58234354892397</v>
      </c>
      <c r="L693" s="3">
        <v>85.500348703601603</v>
      </c>
      <c r="M693" s="3">
        <v>6.4841829928247696</v>
      </c>
      <c r="N693" s="3">
        <v>82.601040002002904</v>
      </c>
      <c r="O693" s="3">
        <v>7.8887908456300302</v>
      </c>
      <c r="P693" s="3">
        <v>37.988542701026198</v>
      </c>
      <c r="Q693" s="3">
        <v>77.6200721440877</v>
      </c>
      <c r="R693" s="3" t="str">
        <f>IF(Table1[[#This Row],[Nutrition_Quality_Score]]&lt;60, "Poor Nutrition",IF(AND(Table1[[#This Row],[Nutrition_Quality_Score]]&gt;=60,Table1[[#This Row],[Nutrition_Quality_Score]]&lt;=80),"Average Nutrition", "Good Nutrition"))</f>
        <v>Average Nutrition</v>
      </c>
      <c r="S693">
        <v>1</v>
      </c>
      <c r="T693" t="str">
        <f>IF(Table1[[#This Row],[Warmup_Routine_Adherence]]=1, "Adherent","Non-Adherent")</f>
        <v>Adherent</v>
      </c>
      <c r="U693">
        <v>0</v>
      </c>
      <c r="V693" t="str">
        <f>IF(Table1[[#This Row],[Injury_Next_Season]]=1, "Injury","No Injury")</f>
        <v>No Injury</v>
      </c>
      <c r="W693" s="3">
        <v>19.2335607490201</v>
      </c>
    </row>
    <row r="694" spans="1:23" x14ac:dyDescent="0.25">
      <c r="A694" s="6">
        <v>24</v>
      </c>
      <c r="B694" s="8" t="str">
        <f>CONCATENATE(Table1[[#This Row],[Age]]," ", "years")</f>
        <v>24 years</v>
      </c>
      <c r="C694">
        <v>169</v>
      </c>
      <c r="D694">
        <v>62</v>
      </c>
      <c r="E694" t="s">
        <v>21</v>
      </c>
      <c r="F694" s="3">
        <v>9.0578869426585396</v>
      </c>
      <c r="G694" s="3">
        <v>37</v>
      </c>
      <c r="H694">
        <v>0</v>
      </c>
      <c r="I694" s="3">
        <v>75.234717645734705</v>
      </c>
      <c r="J694" s="3">
        <v>84.154789588617305</v>
      </c>
      <c r="K694" s="3">
        <v>266.31225465859097</v>
      </c>
      <c r="L694" s="3">
        <v>98.830325196233801</v>
      </c>
      <c r="M694" s="3">
        <v>6.0757895560391804</v>
      </c>
      <c r="N694" s="3">
        <v>74.687032391937095</v>
      </c>
      <c r="O694" s="3">
        <v>7.0737539151129702</v>
      </c>
      <c r="P694" s="3">
        <v>43.487814019064501</v>
      </c>
      <c r="Q694" s="3">
        <v>53.437392586058202</v>
      </c>
      <c r="R694" s="3" t="str">
        <f>IF(Table1[[#This Row],[Nutrition_Quality_Score]]&lt;60, "Poor Nutrition",IF(AND(Table1[[#This Row],[Nutrition_Quality_Score]]&gt;=60,Table1[[#This Row],[Nutrition_Quality_Score]]&lt;=80),"Average Nutrition", "Good Nutrition"))</f>
        <v>Poor Nutrition</v>
      </c>
      <c r="S694">
        <v>1</v>
      </c>
      <c r="T694" t="str">
        <f>IF(Table1[[#This Row],[Warmup_Routine_Adherence]]=1, "Adherent","Non-Adherent")</f>
        <v>Adherent</v>
      </c>
      <c r="U694">
        <v>0</v>
      </c>
      <c r="V694" t="str">
        <f>IF(Table1[[#This Row],[Injury_Next_Season]]=1, "Injury","No Injury")</f>
        <v>No Injury</v>
      </c>
      <c r="W694" s="3">
        <v>21.707923392038001</v>
      </c>
    </row>
    <row r="695" spans="1:23" x14ac:dyDescent="0.25">
      <c r="A695" s="6">
        <v>19</v>
      </c>
      <c r="B695" s="8" t="str">
        <f>CONCATENATE(Table1[[#This Row],[Age]]," ", "years")</f>
        <v>19 years</v>
      </c>
      <c r="C695">
        <v>174</v>
      </c>
      <c r="D695">
        <v>68</v>
      </c>
      <c r="E695" t="s">
        <v>21</v>
      </c>
      <c r="F695" s="3">
        <v>9.8679309303765201</v>
      </c>
      <c r="G695" s="3">
        <v>36</v>
      </c>
      <c r="H695">
        <v>0</v>
      </c>
      <c r="I695" s="3">
        <v>63.938936306189802</v>
      </c>
      <c r="J695" s="3">
        <v>70.357730830859694</v>
      </c>
      <c r="K695" s="3">
        <v>255.19577798079999</v>
      </c>
      <c r="L695" s="3">
        <v>84.5258372517997</v>
      </c>
      <c r="M695" s="3">
        <v>5.4713816425409201</v>
      </c>
      <c r="N695" s="3">
        <v>71.317338289041402</v>
      </c>
      <c r="O695" s="3">
        <v>6.9729814103021797</v>
      </c>
      <c r="P695" s="3">
        <v>57.198633761408303</v>
      </c>
      <c r="Q695" s="3">
        <v>75.935785214142598</v>
      </c>
      <c r="R695" s="3" t="str">
        <f>IF(Table1[[#This Row],[Nutrition_Quality_Score]]&lt;60, "Poor Nutrition",IF(AND(Table1[[#This Row],[Nutrition_Quality_Score]]&gt;=60,Table1[[#This Row],[Nutrition_Quality_Score]]&lt;=80),"Average Nutrition", "Good Nutrition"))</f>
        <v>Average Nutrition</v>
      </c>
      <c r="S695">
        <v>0</v>
      </c>
      <c r="T695" t="str">
        <f>IF(Table1[[#This Row],[Warmup_Routine_Adherence]]=1, "Adherent","Non-Adherent")</f>
        <v>Non-Adherent</v>
      </c>
      <c r="U695">
        <v>1</v>
      </c>
      <c r="V695" t="str">
        <f>IF(Table1[[#This Row],[Injury_Next_Season]]=1, "Injury","No Injury")</f>
        <v>Injury</v>
      </c>
      <c r="W695" s="3">
        <v>22.460034350640701</v>
      </c>
    </row>
    <row r="696" spans="1:23" x14ac:dyDescent="0.25">
      <c r="A696" s="6">
        <v>24</v>
      </c>
      <c r="B696" s="8" t="str">
        <f>CONCATENATE(Table1[[#This Row],[Age]]," ", "years")</f>
        <v>24 years</v>
      </c>
      <c r="C696">
        <v>174</v>
      </c>
      <c r="D696">
        <v>74</v>
      </c>
      <c r="E696" t="s">
        <v>22</v>
      </c>
      <c r="F696" s="3">
        <v>8.6663604565273804</v>
      </c>
      <c r="G696" s="3">
        <v>18</v>
      </c>
      <c r="H696">
        <v>3</v>
      </c>
      <c r="I696" s="3">
        <v>74.748294046797994</v>
      </c>
      <c r="J696" s="3">
        <v>82.120150684690998</v>
      </c>
      <c r="K696" s="3">
        <v>234.19487479044301</v>
      </c>
      <c r="L696" s="3">
        <v>92.044283392354799</v>
      </c>
      <c r="M696" s="3">
        <v>5.9579631288739296</v>
      </c>
      <c r="N696" s="3">
        <v>74.020766133881693</v>
      </c>
      <c r="O696" s="3">
        <v>8.4097967295432401</v>
      </c>
      <c r="P696" s="3">
        <v>40.491778280470697</v>
      </c>
      <c r="Q696" s="3">
        <v>85.969429332248794</v>
      </c>
      <c r="R696" s="3" t="str">
        <f>IF(Table1[[#This Row],[Nutrition_Quality_Score]]&lt;60, "Poor Nutrition",IF(AND(Table1[[#This Row],[Nutrition_Quality_Score]]&gt;=60,Table1[[#This Row],[Nutrition_Quality_Score]]&lt;=80),"Average Nutrition", "Good Nutrition"))</f>
        <v>Good Nutrition</v>
      </c>
      <c r="S696">
        <v>1</v>
      </c>
      <c r="T696" t="str">
        <f>IF(Table1[[#This Row],[Warmup_Routine_Adherence]]=1, "Adherent","Non-Adherent")</f>
        <v>Adherent</v>
      </c>
      <c r="U696">
        <v>0</v>
      </c>
      <c r="V696" t="str">
        <f>IF(Table1[[#This Row],[Injury_Next_Season]]=1, "Injury","No Injury")</f>
        <v>No Injury</v>
      </c>
      <c r="W696" s="3">
        <v>24.441802087462001</v>
      </c>
    </row>
    <row r="697" spans="1:23" x14ac:dyDescent="0.25">
      <c r="A697" s="6">
        <v>18</v>
      </c>
      <c r="B697" s="8" t="str">
        <f>CONCATENATE(Table1[[#This Row],[Age]]," ", "years")</f>
        <v>18 years</v>
      </c>
      <c r="C697">
        <v>192</v>
      </c>
      <c r="D697">
        <v>72</v>
      </c>
      <c r="E697" t="s">
        <v>21</v>
      </c>
      <c r="F697" s="3">
        <v>6.1149662079866802</v>
      </c>
      <c r="G697" s="3">
        <v>28</v>
      </c>
      <c r="H697">
        <v>2</v>
      </c>
      <c r="I697" s="3">
        <v>76.186725222594504</v>
      </c>
      <c r="J697" s="3">
        <v>80.952718412766103</v>
      </c>
      <c r="K697" s="3">
        <v>249.10852594394899</v>
      </c>
      <c r="L697" s="3">
        <v>94.954461448915197</v>
      </c>
      <c r="M697" s="3">
        <v>6.0140202616925098</v>
      </c>
      <c r="N697" s="3">
        <v>82.5389508129429</v>
      </c>
      <c r="O697" s="3">
        <v>7.5482062427683303</v>
      </c>
      <c r="P697" s="3">
        <v>31.51936447189</v>
      </c>
      <c r="Q697" s="3">
        <v>72.466349117053298</v>
      </c>
      <c r="R697" s="3" t="str">
        <f>IF(Table1[[#This Row],[Nutrition_Quality_Score]]&lt;60, "Poor Nutrition",IF(AND(Table1[[#This Row],[Nutrition_Quality_Score]]&gt;=60,Table1[[#This Row],[Nutrition_Quality_Score]]&lt;=80),"Average Nutrition", "Good Nutrition"))</f>
        <v>Average Nutrition</v>
      </c>
      <c r="S697">
        <v>1</v>
      </c>
      <c r="T697" t="str">
        <f>IF(Table1[[#This Row],[Warmup_Routine_Adherence]]=1, "Adherent","Non-Adherent")</f>
        <v>Adherent</v>
      </c>
      <c r="U697">
        <v>0</v>
      </c>
      <c r="V697" t="str">
        <f>IF(Table1[[#This Row],[Injury_Next_Season]]=1, "Injury","No Injury")</f>
        <v>No Injury</v>
      </c>
      <c r="W697" s="3">
        <v>19.53125</v>
      </c>
    </row>
    <row r="698" spans="1:23" x14ac:dyDescent="0.25">
      <c r="A698" s="6">
        <v>20</v>
      </c>
      <c r="B698" s="8" t="str">
        <f>CONCATENATE(Table1[[#This Row],[Age]]," ", "years")</f>
        <v>20 years</v>
      </c>
      <c r="C698">
        <v>177</v>
      </c>
      <c r="D698">
        <v>83</v>
      </c>
      <c r="E698" t="s">
        <v>21</v>
      </c>
      <c r="F698" s="3">
        <v>11.6514166363824</v>
      </c>
      <c r="G698" s="3">
        <v>21</v>
      </c>
      <c r="H698">
        <v>2</v>
      </c>
      <c r="I698" s="3">
        <v>72.961965086729407</v>
      </c>
      <c r="J698" s="3">
        <v>76.010590667687396</v>
      </c>
      <c r="K698" s="3">
        <v>250.239483601876</v>
      </c>
      <c r="L698" s="3">
        <v>84.437346998904303</v>
      </c>
      <c r="M698" s="3">
        <v>5.8092109100934399</v>
      </c>
      <c r="N698" s="3">
        <v>74.922934123347602</v>
      </c>
      <c r="O698" s="3">
        <v>7.0269385161551501</v>
      </c>
      <c r="P698" s="3">
        <v>61.906446438170398</v>
      </c>
      <c r="Q698" s="3">
        <v>86.943814454476097</v>
      </c>
      <c r="R698" s="3" t="str">
        <f>IF(Table1[[#This Row],[Nutrition_Quality_Score]]&lt;60, "Poor Nutrition",IF(AND(Table1[[#This Row],[Nutrition_Quality_Score]]&gt;=60,Table1[[#This Row],[Nutrition_Quality_Score]]&lt;=80),"Average Nutrition", "Good Nutrition"))</f>
        <v>Good Nutrition</v>
      </c>
      <c r="S698">
        <v>1</v>
      </c>
      <c r="T698" t="str">
        <f>IF(Table1[[#This Row],[Warmup_Routine_Adherence]]=1, "Adherent","Non-Adherent")</f>
        <v>Adherent</v>
      </c>
      <c r="U698">
        <v>1</v>
      </c>
      <c r="V698" t="str">
        <f>IF(Table1[[#This Row],[Injury_Next_Season]]=1, "Injury","No Injury")</f>
        <v>Injury</v>
      </c>
      <c r="W698" s="3">
        <v>26.493025631204301</v>
      </c>
    </row>
    <row r="699" spans="1:23" x14ac:dyDescent="0.25">
      <c r="A699" s="6">
        <v>19</v>
      </c>
      <c r="B699" s="8" t="str">
        <f>CONCATENATE(Table1[[#This Row],[Age]]," ", "years")</f>
        <v>19 years</v>
      </c>
      <c r="C699">
        <v>175</v>
      </c>
      <c r="D699">
        <v>76</v>
      </c>
      <c r="E699" t="s">
        <v>21</v>
      </c>
      <c r="F699" s="3">
        <v>5.5255196644489999</v>
      </c>
      <c r="G699" s="3">
        <v>9</v>
      </c>
      <c r="H699">
        <v>3</v>
      </c>
      <c r="I699" s="3">
        <v>76.475602012119595</v>
      </c>
      <c r="J699" s="3">
        <v>80.511057634773806</v>
      </c>
      <c r="K699" s="3">
        <v>265.23052448581001</v>
      </c>
      <c r="L699" s="3">
        <v>75.524635862627605</v>
      </c>
      <c r="M699" s="3">
        <v>5.9383938623486499</v>
      </c>
      <c r="N699" s="3">
        <v>81.689902551791207</v>
      </c>
      <c r="O699" s="3">
        <v>6.8509452794836703</v>
      </c>
      <c r="P699" s="3">
        <v>68.632210102958496</v>
      </c>
      <c r="Q699" s="3">
        <v>76.598834277094994</v>
      </c>
      <c r="R699" s="3" t="str">
        <f>IF(Table1[[#This Row],[Nutrition_Quality_Score]]&lt;60, "Poor Nutrition",IF(AND(Table1[[#This Row],[Nutrition_Quality_Score]]&gt;=60,Table1[[#This Row],[Nutrition_Quality_Score]]&lt;=80),"Average Nutrition", "Good Nutrition"))</f>
        <v>Average Nutrition</v>
      </c>
      <c r="S699">
        <v>1</v>
      </c>
      <c r="T699" t="str">
        <f>IF(Table1[[#This Row],[Warmup_Routine_Adherence]]=1, "Adherent","Non-Adherent")</f>
        <v>Adherent</v>
      </c>
      <c r="U699">
        <v>1</v>
      </c>
      <c r="V699" t="str">
        <f>IF(Table1[[#This Row],[Injury_Next_Season]]=1, "Injury","No Injury")</f>
        <v>Injury</v>
      </c>
      <c r="W699" s="3">
        <v>24.816326530612201</v>
      </c>
    </row>
    <row r="700" spans="1:23" x14ac:dyDescent="0.25">
      <c r="A700" s="6">
        <v>19</v>
      </c>
      <c r="B700" s="8" t="str">
        <f>CONCATENATE(Table1[[#This Row],[Age]]," ", "years")</f>
        <v>19 years</v>
      </c>
      <c r="C700">
        <v>169</v>
      </c>
      <c r="D700">
        <v>89</v>
      </c>
      <c r="E700" t="s">
        <v>21</v>
      </c>
      <c r="F700" s="3">
        <v>9.9849934603378596</v>
      </c>
      <c r="G700" s="3">
        <v>30</v>
      </c>
      <c r="H700">
        <v>1</v>
      </c>
      <c r="I700" s="3">
        <v>75.177005380105001</v>
      </c>
      <c r="J700" s="3">
        <v>82.340793834561197</v>
      </c>
      <c r="K700" s="3">
        <v>200.35520120177301</v>
      </c>
      <c r="L700" s="3">
        <v>96.549162221326995</v>
      </c>
      <c r="M700" s="3">
        <v>5.7502575318604796</v>
      </c>
      <c r="N700" s="3">
        <v>74.432273195873506</v>
      </c>
      <c r="O700" s="3">
        <v>7.6912160422250304</v>
      </c>
      <c r="P700" s="3">
        <v>56.725618166844399</v>
      </c>
      <c r="Q700" s="3">
        <v>65.168881837367394</v>
      </c>
      <c r="R700" s="3" t="str">
        <f>IF(Table1[[#This Row],[Nutrition_Quality_Score]]&lt;60, "Poor Nutrition",IF(AND(Table1[[#This Row],[Nutrition_Quality_Score]]&gt;=60,Table1[[#This Row],[Nutrition_Quality_Score]]&lt;=80),"Average Nutrition", "Good Nutrition"))</f>
        <v>Average Nutrition</v>
      </c>
      <c r="S700">
        <v>1</v>
      </c>
      <c r="T700" t="str">
        <f>IF(Table1[[#This Row],[Warmup_Routine_Adherence]]=1, "Adherent","Non-Adherent")</f>
        <v>Adherent</v>
      </c>
      <c r="U700">
        <v>0</v>
      </c>
      <c r="V700" t="str">
        <f>IF(Table1[[#This Row],[Injury_Next_Season]]=1, "Injury","No Injury")</f>
        <v>No Injury</v>
      </c>
      <c r="W700" s="3">
        <v>31.161373901474001</v>
      </c>
    </row>
    <row r="701" spans="1:23" x14ac:dyDescent="0.25">
      <c r="A701" s="6">
        <v>18</v>
      </c>
      <c r="B701" s="8" t="str">
        <f>CONCATENATE(Table1[[#This Row],[Age]]," ", "years")</f>
        <v>18 years</v>
      </c>
      <c r="C701">
        <v>175</v>
      </c>
      <c r="D701">
        <v>91</v>
      </c>
      <c r="E701" t="s">
        <v>19</v>
      </c>
      <c r="F701" s="3">
        <v>11.8231731243563</v>
      </c>
      <c r="G701" s="3">
        <v>36</v>
      </c>
      <c r="H701">
        <v>0</v>
      </c>
      <c r="I701" s="3">
        <v>74.013250679314993</v>
      </c>
      <c r="J701" s="3">
        <v>82.004943660426605</v>
      </c>
      <c r="K701" s="3">
        <v>235.43803528287799</v>
      </c>
      <c r="L701" s="3">
        <v>81.146828357190202</v>
      </c>
      <c r="M701" s="3">
        <v>6.4381675271653096</v>
      </c>
      <c r="N701" s="3">
        <v>79.932571103271798</v>
      </c>
      <c r="O701" s="3">
        <v>6.5640583282024503</v>
      </c>
      <c r="P701" s="3">
        <v>37.707726518429901</v>
      </c>
      <c r="Q701" s="3">
        <v>74.602729802287698</v>
      </c>
      <c r="R701" s="3" t="str">
        <f>IF(Table1[[#This Row],[Nutrition_Quality_Score]]&lt;60, "Poor Nutrition",IF(AND(Table1[[#This Row],[Nutrition_Quality_Score]]&gt;=60,Table1[[#This Row],[Nutrition_Quality_Score]]&lt;=80),"Average Nutrition", "Good Nutrition"))</f>
        <v>Average Nutrition</v>
      </c>
      <c r="S701">
        <v>0</v>
      </c>
      <c r="T701" t="str">
        <f>IF(Table1[[#This Row],[Warmup_Routine_Adherence]]=1, "Adherent","Non-Adherent")</f>
        <v>Non-Adherent</v>
      </c>
      <c r="U701">
        <v>0</v>
      </c>
      <c r="V701" t="str">
        <f>IF(Table1[[#This Row],[Injury_Next_Season]]=1, "Injury","No Injury")</f>
        <v>No Injury</v>
      </c>
      <c r="W701" s="3">
        <v>29.714285714285701</v>
      </c>
    </row>
    <row r="702" spans="1:23" x14ac:dyDescent="0.25">
      <c r="A702" s="6">
        <v>20</v>
      </c>
      <c r="B702" s="8" t="str">
        <f>CONCATENATE(Table1[[#This Row],[Age]]," ", "years")</f>
        <v>20 years</v>
      </c>
      <c r="C702">
        <v>172</v>
      </c>
      <c r="D702">
        <v>57</v>
      </c>
      <c r="E702" t="s">
        <v>21</v>
      </c>
      <c r="F702" s="3">
        <v>5.59082220930443</v>
      </c>
      <c r="G702" s="3">
        <v>23</v>
      </c>
      <c r="H702">
        <v>5</v>
      </c>
      <c r="I702" s="3">
        <v>70.286926111511306</v>
      </c>
      <c r="J702" s="3">
        <v>66.978183421922196</v>
      </c>
      <c r="K702" s="3">
        <v>286.04869421225402</v>
      </c>
      <c r="L702" s="3">
        <v>79.599143772872495</v>
      </c>
      <c r="M702" s="3">
        <v>5.7473912374208203</v>
      </c>
      <c r="N702" s="3">
        <v>81.431138675763407</v>
      </c>
      <c r="O702" s="3">
        <v>7.8074059426733902</v>
      </c>
      <c r="P702" s="3">
        <v>51.7514095913821</v>
      </c>
      <c r="Q702" s="3">
        <v>73.100660603991201</v>
      </c>
      <c r="R702" s="3" t="str">
        <f>IF(Table1[[#This Row],[Nutrition_Quality_Score]]&lt;60, "Poor Nutrition",IF(AND(Table1[[#This Row],[Nutrition_Quality_Score]]&gt;=60,Table1[[#This Row],[Nutrition_Quality_Score]]&lt;=80),"Average Nutrition", "Good Nutrition"))</f>
        <v>Average Nutrition</v>
      </c>
      <c r="S702">
        <v>0</v>
      </c>
      <c r="T702" t="str">
        <f>IF(Table1[[#This Row],[Warmup_Routine_Adherence]]=1, "Adherent","Non-Adherent")</f>
        <v>Non-Adherent</v>
      </c>
      <c r="U702">
        <v>1</v>
      </c>
      <c r="V702" t="str">
        <f>IF(Table1[[#This Row],[Injury_Next_Season]]=1, "Injury","No Injury")</f>
        <v>Injury</v>
      </c>
      <c r="W702" s="3">
        <v>19.267171444023798</v>
      </c>
    </row>
    <row r="703" spans="1:23" x14ac:dyDescent="0.25">
      <c r="A703" s="6">
        <v>24</v>
      </c>
      <c r="B703" s="8" t="str">
        <f>CONCATENATE(Table1[[#This Row],[Age]]," ", "years")</f>
        <v>24 years</v>
      </c>
      <c r="C703">
        <v>173</v>
      </c>
      <c r="D703">
        <v>89</v>
      </c>
      <c r="E703" t="s">
        <v>22</v>
      </c>
      <c r="F703" s="3">
        <v>6.7514677295716297</v>
      </c>
      <c r="G703" s="3">
        <v>25</v>
      </c>
      <c r="H703">
        <v>0</v>
      </c>
      <c r="I703" s="3">
        <v>79.635058598302606</v>
      </c>
      <c r="J703" s="3">
        <v>84.382527061215697</v>
      </c>
      <c r="K703" s="3">
        <v>223.209296188438</v>
      </c>
      <c r="L703" s="3">
        <v>80.963090497563002</v>
      </c>
      <c r="M703" s="3">
        <v>6.1571765162878602</v>
      </c>
      <c r="N703" s="3">
        <v>90.737893471039499</v>
      </c>
      <c r="O703" s="3">
        <v>6.5307814984802199</v>
      </c>
      <c r="P703" s="3">
        <v>45.3224946472656</v>
      </c>
      <c r="Q703" s="3">
        <v>82.976277866405795</v>
      </c>
      <c r="R703" s="3" t="str">
        <f>IF(Table1[[#This Row],[Nutrition_Quality_Score]]&lt;60, "Poor Nutrition",IF(AND(Table1[[#This Row],[Nutrition_Quality_Score]]&gt;=60,Table1[[#This Row],[Nutrition_Quality_Score]]&lt;=80),"Average Nutrition", "Good Nutrition"))</f>
        <v>Good Nutrition</v>
      </c>
      <c r="S703">
        <v>1</v>
      </c>
      <c r="T703" t="str">
        <f>IF(Table1[[#This Row],[Warmup_Routine_Adherence]]=1, "Adherent","Non-Adherent")</f>
        <v>Adherent</v>
      </c>
      <c r="U703">
        <v>0</v>
      </c>
      <c r="V703" t="str">
        <f>IF(Table1[[#This Row],[Injury_Next_Season]]=1, "Injury","No Injury")</f>
        <v>No Injury</v>
      </c>
      <c r="W703" s="3">
        <v>29.7370443382672</v>
      </c>
    </row>
    <row r="704" spans="1:23" x14ac:dyDescent="0.25">
      <c r="A704" s="6">
        <v>21</v>
      </c>
      <c r="B704" s="8" t="str">
        <f>CONCATENATE(Table1[[#This Row],[Age]]," ", "years")</f>
        <v>21 years</v>
      </c>
      <c r="C704">
        <v>181</v>
      </c>
      <c r="D704">
        <v>86</v>
      </c>
      <c r="E704" t="s">
        <v>22</v>
      </c>
      <c r="F704" s="3">
        <v>10.372230772376099</v>
      </c>
      <c r="G704" s="3">
        <v>6</v>
      </c>
      <c r="H704">
        <v>1</v>
      </c>
      <c r="I704" s="3">
        <v>78.952417997639003</v>
      </c>
      <c r="J704" s="3">
        <v>79.975065392885796</v>
      </c>
      <c r="K704" s="3">
        <v>244.08867419885499</v>
      </c>
      <c r="L704" s="3">
        <v>94.206602948777999</v>
      </c>
      <c r="M704" s="3">
        <v>6.0706311195140099</v>
      </c>
      <c r="N704" s="3">
        <v>84.051613721401495</v>
      </c>
      <c r="O704" s="3">
        <v>8.3229556343584896</v>
      </c>
      <c r="P704" s="3">
        <v>53.485066376656697</v>
      </c>
      <c r="Q704" s="3">
        <v>73.878555769980807</v>
      </c>
      <c r="R704" s="3" t="str">
        <f>IF(Table1[[#This Row],[Nutrition_Quality_Score]]&lt;60, "Poor Nutrition",IF(AND(Table1[[#This Row],[Nutrition_Quality_Score]]&gt;=60,Table1[[#This Row],[Nutrition_Quality_Score]]&lt;=80),"Average Nutrition", "Good Nutrition"))</f>
        <v>Average Nutrition</v>
      </c>
      <c r="S704">
        <v>1</v>
      </c>
      <c r="T704" t="str">
        <f>IF(Table1[[#This Row],[Warmup_Routine_Adherence]]=1, "Adherent","Non-Adherent")</f>
        <v>Adherent</v>
      </c>
      <c r="U704">
        <v>0</v>
      </c>
      <c r="V704" t="str">
        <f>IF(Table1[[#This Row],[Injury_Next_Season]]=1, "Injury","No Injury")</f>
        <v>No Injury</v>
      </c>
      <c r="W704" s="3">
        <v>26.250724947345901</v>
      </c>
    </row>
    <row r="705" spans="1:23" x14ac:dyDescent="0.25">
      <c r="A705" s="6">
        <v>22</v>
      </c>
      <c r="B705" s="8" t="str">
        <f>CONCATENATE(Table1[[#This Row],[Age]]," ", "years")</f>
        <v>22 years</v>
      </c>
      <c r="C705">
        <v>180</v>
      </c>
      <c r="D705">
        <v>62</v>
      </c>
      <c r="E705" t="s">
        <v>20</v>
      </c>
      <c r="F705" s="3">
        <v>7.8342837927130198</v>
      </c>
      <c r="G705" s="3">
        <v>39</v>
      </c>
      <c r="H705">
        <v>2</v>
      </c>
      <c r="I705" s="3">
        <v>78.242286325117902</v>
      </c>
      <c r="J705" s="3">
        <v>76.144955893151405</v>
      </c>
      <c r="K705" s="3">
        <v>253.20713307285999</v>
      </c>
      <c r="L705" s="3">
        <v>86.011212512718998</v>
      </c>
      <c r="M705" s="3">
        <v>5.9521144272265003</v>
      </c>
      <c r="N705" s="3">
        <v>77.692930608634896</v>
      </c>
      <c r="O705" s="3">
        <v>6.6792023834040402</v>
      </c>
      <c r="P705" s="3">
        <v>66.189282829857802</v>
      </c>
      <c r="Q705" s="3">
        <v>71.515114046858699</v>
      </c>
      <c r="R705" s="3" t="str">
        <f>IF(Table1[[#This Row],[Nutrition_Quality_Score]]&lt;60, "Poor Nutrition",IF(AND(Table1[[#This Row],[Nutrition_Quality_Score]]&gt;=60,Table1[[#This Row],[Nutrition_Quality_Score]]&lt;=80),"Average Nutrition", "Good Nutrition"))</f>
        <v>Average Nutrition</v>
      </c>
      <c r="S705">
        <v>0</v>
      </c>
      <c r="T705" t="str">
        <f>IF(Table1[[#This Row],[Warmup_Routine_Adherence]]=1, "Adherent","Non-Adherent")</f>
        <v>Non-Adherent</v>
      </c>
      <c r="U705">
        <v>1</v>
      </c>
      <c r="V705" t="str">
        <f>IF(Table1[[#This Row],[Injury_Next_Season]]=1, "Injury","No Injury")</f>
        <v>Injury</v>
      </c>
      <c r="W705" s="3">
        <v>19.1358024691358</v>
      </c>
    </row>
    <row r="706" spans="1:23" x14ac:dyDescent="0.25">
      <c r="A706" s="6">
        <v>18</v>
      </c>
      <c r="B706" s="8" t="str">
        <f>CONCATENATE(Table1[[#This Row],[Age]]," ", "years")</f>
        <v>18 years</v>
      </c>
      <c r="C706">
        <v>174</v>
      </c>
      <c r="D706">
        <v>49</v>
      </c>
      <c r="E706" t="s">
        <v>21</v>
      </c>
      <c r="F706" s="3">
        <v>17.4959114531006</v>
      </c>
      <c r="G706" s="3">
        <v>36</v>
      </c>
      <c r="H706">
        <v>4</v>
      </c>
      <c r="I706" s="3">
        <v>69.633936426169498</v>
      </c>
      <c r="J706" s="3">
        <v>80.981477484088501</v>
      </c>
      <c r="K706" s="3">
        <v>233.510248963283</v>
      </c>
      <c r="L706" s="3">
        <v>76.674891305700896</v>
      </c>
      <c r="M706" s="3">
        <v>5.1009162550034501</v>
      </c>
      <c r="N706" s="3">
        <v>64.494420445326</v>
      </c>
      <c r="O706" s="3">
        <v>7.2510249040272203</v>
      </c>
      <c r="P706" s="3">
        <v>52.293722571630198</v>
      </c>
      <c r="Q706" s="3">
        <v>82.185793034702101</v>
      </c>
      <c r="R706" s="3" t="str">
        <f>IF(Table1[[#This Row],[Nutrition_Quality_Score]]&lt;60, "Poor Nutrition",IF(AND(Table1[[#This Row],[Nutrition_Quality_Score]]&gt;=60,Table1[[#This Row],[Nutrition_Quality_Score]]&lt;=80),"Average Nutrition", "Good Nutrition"))</f>
        <v>Good Nutrition</v>
      </c>
      <c r="S706">
        <v>1</v>
      </c>
      <c r="T706" t="str">
        <f>IF(Table1[[#This Row],[Warmup_Routine_Adherence]]=1, "Adherent","Non-Adherent")</f>
        <v>Adherent</v>
      </c>
      <c r="U706">
        <v>1</v>
      </c>
      <c r="V706" t="str">
        <f>IF(Table1[[#This Row],[Injury_Next_Season]]=1, "Injury","No Injury")</f>
        <v>Injury</v>
      </c>
      <c r="W706" s="3">
        <v>16.184436517373499</v>
      </c>
    </row>
    <row r="707" spans="1:23" x14ac:dyDescent="0.25">
      <c r="A707" s="6">
        <v>22</v>
      </c>
      <c r="B707" s="8" t="str">
        <f>CONCATENATE(Table1[[#This Row],[Age]]," ", "years")</f>
        <v>22 years</v>
      </c>
      <c r="C707">
        <v>179</v>
      </c>
      <c r="D707">
        <v>76</v>
      </c>
      <c r="E707" t="s">
        <v>19</v>
      </c>
      <c r="F707" s="3">
        <v>14.2592177880341</v>
      </c>
      <c r="G707" s="3">
        <v>36</v>
      </c>
      <c r="H707">
        <v>4</v>
      </c>
      <c r="I707" s="3">
        <v>66.466427459669902</v>
      </c>
      <c r="J707" s="3">
        <v>75.217600203705601</v>
      </c>
      <c r="K707" s="3">
        <v>268.50253921726602</v>
      </c>
      <c r="L707" s="3">
        <v>76.496405040915803</v>
      </c>
      <c r="M707" s="3">
        <v>5.9166025900530697</v>
      </c>
      <c r="N707" s="3">
        <v>77.697407753739199</v>
      </c>
      <c r="O707" s="3">
        <v>6.4805589593222797</v>
      </c>
      <c r="P707" s="3">
        <v>61.836266210788601</v>
      </c>
      <c r="Q707" s="3">
        <v>68.296384808502694</v>
      </c>
      <c r="R707" s="3" t="str">
        <f>IF(Table1[[#This Row],[Nutrition_Quality_Score]]&lt;60, "Poor Nutrition",IF(AND(Table1[[#This Row],[Nutrition_Quality_Score]]&gt;=60,Table1[[#This Row],[Nutrition_Quality_Score]]&lt;=80),"Average Nutrition", "Good Nutrition"))</f>
        <v>Average Nutrition</v>
      </c>
      <c r="S707">
        <v>0</v>
      </c>
      <c r="T707" t="str">
        <f>IF(Table1[[#This Row],[Warmup_Routine_Adherence]]=1, "Adherent","Non-Adherent")</f>
        <v>Non-Adherent</v>
      </c>
      <c r="U707">
        <v>1</v>
      </c>
      <c r="V707" t="str">
        <f>IF(Table1[[#This Row],[Injury_Next_Season]]=1, "Injury","No Injury")</f>
        <v>Injury</v>
      </c>
      <c r="W707" s="3">
        <v>23.719609250647601</v>
      </c>
    </row>
    <row r="708" spans="1:23" x14ac:dyDescent="0.25">
      <c r="A708" s="6">
        <v>20</v>
      </c>
      <c r="B708" s="8" t="str">
        <f>CONCATENATE(Table1[[#This Row],[Age]]," ", "years")</f>
        <v>20 years</v>
      </c>
      <c r="C708">
        <v>180</v>
      </c>
      <c r="D708">
        <v>69</v>
      </c>
      <c r="E708" t="s">
        <v>20</v>
      </c>
      <c r="F708" s="3">
        <v>11.4353222593799</v>
      </c>
      <c r="G708" s="3">
        <v>34</v>
      </c>
      <c r="H708">
        <v>2</v>
      </c>
      <c r="I708" s="3">
        <v>71.7368812316099</v>
      </c>
      <c r="J708" s="3">
        <v>76.643672315258002</v>
      </c>
      <c r="K708" s="3">
        <v>300.41604777905201</v>
      </c>
      <c r="L708" s="3">
        <v>76.623118083376397</v>
      </c>
      <c r="M708" s="3">
        <v>5.6495275239206997</v>
      </c>
      <c r="N708" s="3">
        <v>88.008696678175696</v>
      </c>
      <c r="O708" s="3">
        <v>8.8494881896486799</v>
      </c>
      <c r="P708" s="3">
        <v>52.556157453030103</v>
      </c>
      <c r="Q708" s="3">
        <v>60.885729493153903</v>
      </c>
      <c r="R708" s="3" t="str">
        <f>IF(Table1[[#This Row],[Nutrition_Quality_Score]]&lt;60, "Poor Nutrition",IF(AND(Table1[[#This Row],[Nutrition_Quality_Score]]&gt;=60,Table1[[#This Row],[Nutrition_Quality_Score]]&lt;=80),"Average Nutrition", "Good Nutrition"))</f>
        <v>Average Nutrition</v>
      </c>
      <c r="S708">
        <v>0</v>
      </c>
      <c r="T708" t="str">
        <f>IF(Table1[[#This Row],[Warmup_Routine_Adherence]]=1, "Adherent","Non-Adherent")</f>
        <v>Non-Adherent</v>
      </c>
      <c r="U708">
        <v>1</v>
      </c>
      <c r="V708" t="str">
        <f>IF(Table1[[#This Row],[Injury_Next_Season]]=1, "Injury","No Injury")</f>
        <v>Injury</v>
      </c>
      <c r="W708" s="3">
        <v>21.296296296296202</v>
      </c>
    </row>
    <row r="709" spans="1:23" x14ac:dyDescent="0.25">
      <c r="A709" s="6">
        <v>22</v>
      </c>
      <c r="B709" s="8" t="str">
        <f>CONCATENATE(Table1[[#This Row],[Age]]," ", "years")</f>
        <v>22 years</v>
      </c>
      <c r="C709">
        <v>169</v>
      </c>
      <c r="D709">
        <v>65</v>
      </c>
      <c r="E709" t="s">
        <v>22</v>
      </c>
      <c r="F709" s="3">
        <v>8.1285848256492592</v>
      </c>
      <c r="G709" s="3">
        <v>14</v>
      </c>
      <c r="H709">
        <v>2</v>
      </c>
      <c r="I709" s="3">
        <v>62.865460606899298</v>
      </c>
      <c r="J709" s="3">
        <v>81.952942944680103</v>
      </c>
      <c r="K709" s="3">
        <v>251.96991471457201</v>
      </c>
      <c r="L709" s="3">
        <v>89.013744836269396</v>
      </c>
      <c r="M709" s="3">
        <v>6.0965721355364497</v>
      </c>
      <c r="N709" s="3">
        <v>80.822346414905397</v>
      </c>
      <c r="O709" s="3">
        <v>6.9742467394806003</v>
      </c>
      <c r="P709" s="3">
        <v>27.395177967461098</v>
      </c>
      <c r="Q709" s="3">
        <v>77.713562580002801</v>
      </c>
      <c r="R709" s="3" t="str">
        <f>IF(Table1[[#This Row],[Nutrition_Quality_Score]]&lt;60, "Poor Nutrition",IF(AND(Table1[[#This Row],[Nutrition_Quality_Score]]&gt;=60,Table1[[#This Row],[Nutrition_Quality_Score]]&lt;=80),"Average Nutrition", "Good Nutrition"))</f>
        <v>Average Nutrition</v>
      </c>
      <c r="S709">
        <v>1</v>
      </c>
      <c r="T709" t="str">
        <f>IF(Table1[[#This Row],[Warmup_Routine_Adherence]]=1, "Adherent","Non-Adherent")</f>
        <v>Adherent</v>
      </c>
      <c r="U709">
        <v>0</v>
      </c>
      <c r="V709" t="str">
        <f>IF(Table1[[#This Row],[Injury_Next_Season]]=1, "Injury","No Injury")</f>
        <v>No Injury</v>
      </c>
      <c r="W709" s="3">
        <v>22.758306781975399</v>
      </c>
    </row>
    <row r="710" spans="1:23" x14ac:dyDescent="0.25">
      <c r="A710" s="6">
        <v>19</v>
      </c>
      <c r="B710" s="8" t="str">
        <f>CONCATENATE(Table1[[#This Row],[Age]]," ", "years")</f>
        <v>19 years</v>
      </c>
      <c r="C710">
        <v>183</v>
      </c>
      <c r="D710">
        <v>72</v>
      </c>
      <c r="E710" t="s">
        <v>19</v>
      </c>
      <c r="F710" s="3">
        <v>8.4880606103776</v>
      </c>
      <c r="G710" s="3">
        <v>13</v>
      </c>
      <c r="H710">
        <v>0</v>
      </c>
      <c r="I710" s="3">
        <v>75.075420844689802</v>
      </c>
      <c r="J710" s="3">
        <v>77.037862833482805</v>
      </c>
      <c r="K710" s="3">
        <v>286.45395735476501</v>
      </c>
      <c r="L710" s="3">
        <v>89.093199694397299</v>
      </c>
      <c r="M710" s="3">
        <v>5.2319499645697896</v>
      </c>
      <c r="N710" s="3">
        <v>79.125097520226504</v>
      </c>
      <c r="O710" s="3">
        <v>7.2222928944996703</v>
      </c>
      <c r="P710" s="3">
        <v>48.3595409480846</v>
      </c>
      <c r="Q710" s="3">
        <v>78.398258459216194</v>
      </c>
      <c r="R710" s="3" t="str">
        <f>IF(Table1[[#This Row],[Nutrition_Quality_Score]]&lt;60, "Poor Nutrition",IF(AND(Table1[[#This Row],[Nutrition_Quality_Score]]&gt;=60,Table1[[#This Row],[Nutrition_Quality_Score]]&lt;=80),"Average Nutrition", "Good Nutrition"))</f>
        <v>Average Nutrition</v>
      </c>
      <c r="S710">
        <v>1</v>
      </c>
      <c r="T710" t="str">
        <f>IF(Table1[[#This Row],[Warmup_Routine_Adherence]]=1, "Adherent","Non-Adherent")</f>
        <v>Adherent</v>
      </c>
      <c r="U710">
        <v>1</v>
      </c>
      <c r="V710" t="str">
        <f>IF(Table1[[#This Row],[Injury_Next_Season]]=1, "Injury","No Injury")</f>
        <v>Injury</v>
      </c>
      <c r="W710" s="3">
        <v>21.4995968825584</v>
      </c>
    </row>
    <row r="711" spans="1:23" x14ac:dyDescent="0.25">
      <c r="A711" s="6">
        <v>24</v>
      </c>
      <c r="B711" s="8" t="str">
        <f>CONCATENATE(Table1[[#This Row],[Age]]," ", "years")</f>
        <v>24 years</v>
      </c>
      <c r="C711">
        <v>177</v>
      </c>
      <c r="D711">
        <v>64</v>
      </c>
      <c r="E711" t="s">
        <v>21</v>
      </c>
      <c r="F711" s="3">
        <v>9.7054454326444599</v>
      </c>
      <c r="G711" s="3">
        <v>33</v>
      </c>
      <c r="H711">
        <v>0</v>
      </c>
      <c r="I711" s="3">
        <v>78.453939875106798</v>
      </c>
      <c r="J711" s="3">
        <v>79.850391182683296</v>
      </c>
      <c r="K711" s="3">
        <v>247.691248583706</v>
      </c>
      <c r="L711" s="3">
        <v>86.430434913069405</v>
      </c>
      <c r="M711" s="3">
        <v>5.9847022436015296</v>
      </c>
      <c r="N711" s="3">
        <v>72.819578107660504</v>
      </c>
      <c r="O711" s="3">
        <v>6.5672582912400896</v>
      </c>
      <c r="P711" s="3">
        <v>64.341007103749902</v>
      </c>
      <c r="Q711" s="3">
        <v>77.531957168863897</v>
      </c>
      <c r="R711" s="3" t="str">
        <f>IF(Table1[[#This Row],[Nutrition_Quality_Score]]&lt;60, "Poor Nutrition",IF(AND(Table1[[#This Row],[Nutrition_Quality_Score]]&gt;=60,Table1[[#This Row],[Nutrition_Quality_Score]]&lt;=80),"Average Nutrition", "Good Nutrition"))</f>
        <v>Average Nutrition</v>
      </c>
      <c r="S711">
        <v>0</v>
      </c>
      <c r="T711" t="str">
        <f>IF(Table1[[#This Row],[Warmup_Routine_Adherence]]=1, "Adherent","Non-Adherent")</f>
        <v>Non-Adherent</v>
      </c>
      <c r="U711">
        <v>1</v>
      </c>
      <c r="V711" t="str">
        <f>IF(Table1[[#This Row],[Injury_Next_Season]]=1, "Injury","No Injury")</f>
        <v>Injury</v>
      </c>
      <c r="W711" s="3">
        <v>20.4283571132177</v>
      </c>
    </row>
    <row r="712" spans="1:23" x14ac:dyDescent="0.25">
      <c r="A712" s="6">
        <v>24</v>
      </c>
      <c r="B712" s="8" t="str">
        <f>CONCATENATE(Table1[[#This Row],[Age]]," ", "years")</f>
        <v>24 years</v>
      </c>
      <c r="C712">
        <v>182</v>
      </c>
      <c r="D712">
        <v>75</v>
      </c>
      <c r="E712" t="s">
        <v>19</v>
      </c>
      <c r="F712" s="3">
        <v>9.0855013144546692</v>
      </c>
      <c r="G712" s="3">
        <v>35</v>
      </c>
      <c r="H712">
        <v>3</v>
      </c>
      <c r="I712" s="3">
        <v>71.924451249723006</v>
      </c>
      <c r="J712" s="3">
        <v>77.936643033086597</v>
      </c>
      <c r="K712" s="3">
        <v>253.322248266999</v>
      </c>
      <c r="L712" s="3">
        <v>78.893174093964205</v>
      </c>
      <c r="M712" s="3">
        <v>5.7780556656918201</v>
      </c>
      <c r="N712" s="3">
        <v>67.609562938867398</v>
      </c>
      <c r="O712" s="3">
        <v>6.92996798507225</v>
      </c>
      <c r="P712" s="3">
        <v>70.195345015279401</v>
      </c>
      <c r="Q712" s="3">
        <v>72.436846804239096</v>
      </c>
      <c r="R712" s="3" t="str">
        <f>IF(Table1[[#This Row],[Nutrition_Quality_Score]]&lt;60, "Poor Nutrition",IF(AND(Table1[[#This Row],[Nutrition_Quality_Score]]&gt;=60,Table1[[#This Row],[Nutrition_Quality_Score]]&lt;=80),"Average Nutrition", "Good Nutrition"))</f>
        <v>Average Nutrition</v>
      </c>
      <c r="S712">
        <v>0</v>
      </c>
      <c r="T712" t="str">
        <f>IF(Table1[[#This Row],[Warmup_Routine_Adherence]]=1, "Adherent","Non-Adherent")</f>
        <v>Non-Adherent</v>
      </c>
      <c r="U712">
        <v>1</v>
      </c>
      <c r="V712" t="str">
        <f>IF(Table1[[#This Row],[Injury_Next_Season]]=1, "Injury","No Injury")</f>
        <v>Injury</v>
      </c>
      <c r="W712" s="3">
        <v>22.642192971863299</v>
      </c>
    </row>
    <row r="713" spans="1:23" x14ac:dyDescent="0.25">
      <c r="A713" s="6">
        <v>21</v>
      </c>
      <c r="B713" s="8" t="str">
        <f>CONCATENATE(Table1[[#This Row],[Age]]," ", "years")</f>
        <v>21 years</v>
      </c>
      <c r="C713">
        <v>176</v>
      </c>
      <c r="D713">
        <v>71</v>
      </c>
      <c r="E713" t="s">
        <v>21</v>
      </c>
      <c r="F713" s="3">
        <v>5.6630337947219598</v>
      </c>
      <c r="G713" s="3">
        <v>30</v>
      </c>
      <c r="H713">
        <v>3</v>
      </c>
      <c r="I713" s="3">
        <v>58.453898301568103</v>
      </c>
      <c r="J713" s="3">
        <v>68.286870766569805</v>
      </c>
      <c r="K713" s="3">
        <v>274.36537670563598</v>
      </c>
      <c r="L713" s="3">
        <v>93.451760381420897</v>
      </c>
      <c r="M713" s="3">
        <v>5.7201421615899797</v>
      </c>
      <c r="N713" s="3">
        <v>75.6729273106736</v>
      </c>
      <c r="O713" s="3">
        <v>8.7121864799582909</v>
      </c>
      <c r="P713" s="3">
        <v>56.389395363307003</v>
      </c>
      <c r="Q713" s="3">
        <v>68.838557700261902</v>
      </c>
      <c r="R713" s="3" t="str">
        <f>IF(Table1[[#This Row],[Nutrition_Quality_Score]]&lt;60, "Poor Nutrition",IF(AND(Table1[[#This Row],[Nutrition_Quality_Score]]&gt;=60,Table1[[#This Row],[Nutrition_Quality_Score]]&lt;=80),"Average Nutrition", "Good Nutrition"))</f>
        <v>Average Nutrition</v>
      </c>
      <c r="S713">
        <v>1</v>
      </c>
      <c r="T713" t="str">
        <f>IF(Table1[[#This Row],[Warmup_Routine_Adherence]]=1, "Adherent","Non-Adherent")</f>
        <v>Adherent</v>
      </c>
      <c r="U713">
        <v>1</v>
      </c>
      <c r="V713" t="str">
        <f>IF(Table1[[#This Row],[Injury_Next_Season]]=1, "Injury","No Injury")</f>
        <v>Injury</v>
      </c>
      <c r="W713" s="3">
        <v>22.920971074380098</v>
      </c>
    </row>
    <row r="714" spans="1:23" x14ac:dyDescent="0.25">
      <c r="A714" s="6">
        <v>19</v>
      </c>
      <c r="B714" s="8" t="str">
        <f>CONCATENATE(Table1[[#This Row],[Age]]," ", "years")</f>
        <v>19 years</v>
      </c>
      <c r="C714">
        <v>176</v>
      </c>
      <c r="D714">
        <v>71</v>
      </c>
      <c r="E714" t="s">
        <v>22</v>
      </c>
      <c r="F714" s="3">
        <v>13.7604917073657</v>
      </c>
      <c r="G714" s="3">
        <v>32</v>
      </c>
      <c r="H714">
        <v>2</v>
      </c>
      <c r="I714" s="3">
        <v>74.186621626195802</v>
      </c>
      <c r="J714" s="3">
        <v>74.447452539949296</v>
      </c>
      <c r="K714" s="3">
        <v>240.94798952860799</v>
      </c>
      <c r="L714" s="3">
        <v>81.380476878958007</v>
      </c>
      <c r="M714" s="3">
        <v>5.7242868126199999</v>
      </c>
      <c r="N714" s="3">
        <v>74.070386654271104</v>
      </c>
      <c r="O714" s="3">
        <v>6.5180951946529797</v>
      </c>
      <c r="P714" s="3">
        <v>46.086436381399302</v>
      </c>
      <c r="Q714" s="3">
        <v>85.467125143790398</v>
      </c>
      <c r="R714" s="3" t="str">
        <f>IF(Table1[[#This Row],[Nutrition_Quality_Score]]&lt;60, "Poor Nutrition",IF(AND(Table1[[#This Row],[Nutrition_Quality_Score]]&gt;=60,Table1[[#This Row],[Nutrition_Quality_Score]]&lt;=80),"Average Nutrition", "Good Nutrition"))</f>
        <v>Good Nutrition</v>
      </c>
      <c r="S714">
        <v>0</v>
      </c>
      <c r="T714" t="str">
        <f>IF(Table1[[#This Row],[Warmup_Routine_Adherence]]=1, "Adherent","Non-Adherent")</f>
        <v>Non-Adherent</v>
      </c>
      <c r="U714">
        <v>1</v>
      </c>
      <c r="V714" t="str">
        <f>IF(Table1[[#This Row],[Injury_Next_Season]]=1, "Injury","No Injury")</f>
        <v>Injury</v>
      </c>
      <c r="W714" s="3">
        <v>22.920971074380098</v>
      </c>
    </row>
    <row r="715" spans="1:23" x14ac:dyDescent="0.25">
      <c r="A715" s="6">
        <v>22</v>
      </c>
      <c r="B715" s="8" t="str">
        <f>CONCATENATE(Table1[[#This Row],[Age]]," ", "years")</f>
        <v>22 years</v>
      </c>
      <c r="C715">
        <v>194</v>
      </c>
      <c r="D715">
        <v>81</v>
      </c>
      <c r="E715" t="s">
        <v>20</v>
      </c>
      <c r="F715" s="3">
        <v>5.8503418417966602</v>
      </c>
      <c r="G715" s="3">
        <v>5</v>
      </c>
      <c r="H715">
        <v>4</v>
      </c>
      <c r="I715" s="3">
        <v>68.529204012587101</v>
      </c>
      <c r="J715" s="3">
        <v>79.226427396112101</v>
      </c>
      <c r="K715" s="3">
        <v>263.57995458065699</v>
      </c>
      <c r="L715" s="3">
        <v>85.080213266043302</v>
      </c>
      <c r="M715" s="3">
        <v>6.6361416892621499</v>
      </c>
      <c r="N715" s="3">
        <v>60.788980964762203</v>
      </c>
      <c r="O715" s="3">
        <v>7.4741851106457302</v>
      </c>
      <c r="P715" s="3">
        <v>69.3770459882832</v>
      </c>
      <c r="Q715" s="3">
        <v>77.535548257004507</v>
      </c>
      <c r="R715" s="3" t="str">
        <f>IF(Table1[[#This Row],[Nutrition_Quality_Score]]&lt;60, "Poor Nutrition",IF(AND(Table1[[#This Row],[Nutrition_Quality_Score]]&gt;=60,Table1[[#This Row],[Nutrition_Quality_Score]]&lt;=80),"Average Nutrition", "Good Nutrition"))</f>
        <v>Average Nutrition</v>
      </c>
      <c r="S715">
        <v>0</v>
      </c>
      <c r="T715" t="str">
        <f>IF(Table1[[#This Row],[Warmup_Routine_Adherence]]=1, "Adherent","Non-Adherent")</f>
        <v>Non-Adherent</v>
      </c>
      <c r="U715">
        <v>1</v>
      </c>
      <c r="V715" t="str">
        <f>IF(Table1[[#This Row],[Injury_Next_Season]]=1, "Injury","No Injury")</f>
        <v>Injury</v>
      </c>
      <c r="W715" s="3">
        <v>21.521947071952301</v>
      </c>
    </row>
    <row r="716" spans="1:23" x14ac:dyDescent="0.25">
      <c r="A716" s="6">
        <v>24</v>
      </c>
      <c r="B716" s="8" t="str">
        <f>CONCATENATE(Table1[[#This Row],[Age]]," ", "years")</f>
        <v>24 years</v>
      </c>
      <c r="C716">
        <v>179</v>
      </c>
      <c r="D716">
        <v>72</v>
      </c>
      <c r="E716" t="s">
        <v>20</v>
      </c>
      <c r="F716" s="3">
        <v>11.447355053447</v>
      </c>
      <c r="G716" s="3">
        <v>25</v>
      </c>
      <c r="H716">
        <v>1</v>
      </c>
      <c r="I716" s="3">
        <v>76.940879870365805</v>
      </c>
      <c r="J716" s="3">
        <v>83.476253939902804</v>
      </c>
      <c r="K716" s="3">
        <v>210.21332764099401</v>
      </c>
      <c r="L716" s="3">
        <v>80.866556717449001</v>
      </c>
      <c r="M716" s="3">
        <v>5.4532075665125603</v>
      </c>
      <c r="N716" s="3">
        <v>76.278060097969302</v>
      </c>
      <c r="O716" s="3">
        <v>8.3701303849411701</v>
      </c>
      <c r="P716" s="3">
        <v>63.355775067363702</v>
      </c>
      <c r="Q716" s="3">
        <v>74.060729031173693</v>
      </c>
      <c r="R716" s="3" t="str">
        <f>IF(Table1[[#This Row],[Nutrition_Quality_Score]]&lt;60, "Poor Nutrition",IF(AND(Table1[[#This Row],[Nutrition_Quality_Score]]&gt;=60,Table1[[#This Row],[Nutrition_Quality_Score]]&lt;=80),"Average Nutrition", "Good Nutrition"))</f>
        <v>Average Nutrition</v>
      </c>
      <c r="S716">
        <v>1</v>
      </c>
      <c r="T716" t="str">
        <f>IF(Table1[[#This Row],[Warmup_Routine_Adherence]]=1, "Adherent","Non-Adherent")</f>
        <v>Adherent</v>
      </c>
      <c r="U716">
        <v>0</v>
      </c>
      <c r="V716" t="str">
        <f>IF(Table1[[#This Row],[Injury_Next_Season]]=1, "Injury","No Injury")</f>
        <v>No Injury</v>
      </c>
      <c r="W716" s="3">
        <v>22.471208763771401</v>
      </c>
    </row>
    <row r="717" spans="1:23" x14ac:dyDescent="0.25">
      <c r="A717" s="6">
        <v>24</v>
      </c>
      <c r="B717" s="8" t="str">
        <f>CONCATENATE(Table1[[#This Row],[Age]]," ", "years")</f>
        <v>24 years</v>
      </c>
      <c r="C717">
        <v>180</v>
      </c>
      <c r="D717">
        <v>84</v>
      </c>
      <c r="E717" t="s">
        <v>19</v>
      </c>
      <c r="F717" s="3">
        <v>10.5154278025429</v>
      </c>
      <c r="G717" s="3">
        <v>18</v>
      </c>
      <c r="H717">
        <v>3</v>
      </c>
      <c r="I717" s="3">
        <v>78.433292357644007</v>
      </c>
      <c r="J717" s="3">
        <v>69.879022931634594</v>
      </c>
      <c r="K717" s="3">
        <v>229.64425632326299</v>
      </c>
      <c r="L717" s="3">
        <v>80.076072945749203</v>
      </c>
      <c r="M717" s="3">
        <v>5.76248296034625</v>
      </c>
      <c r="N717" s="3">
        <v>78.700724181415595</v>
      </c>
      <c r="O717" s="3">
        <v>8.1995495987158495</v>
      </c>
      <c r="P717" s="3">
        <v>60.465538747237602</v>
      </c>
      <c r="Q717" s="3">
        <v>70.406877588642402</v>
      </c>
      <c r="R717" s="3" t="str">
        <f>IF(Table1[[#This Row],[Nutrition_Quality_Score]]&lt;60, "Poor Nutrition",IF(AND(Table1[[#This Row],[Nutrition_Quality_Score]]&gt;=60,Table1[[#This Row],[Nutrition_Quality_Score]]&lt;=80),"Average Nutrition", "Good Nutrition"))</f>
        <v>Average Nutrition</v>
      </c>
      <c r="S717">
        <v>1</v>
      </c>
      <c r="T717" t="str">
        <f>IF(Table1[[#This Row],[Warmup_Routine_Adherence]]=1, "Adherent","Non-Adherent")</f>
        <v>Adherent</v>
      </c>
      <c r="U717">
        <v>1</v>
      </c>
      <c r="V717" t="str">
        <f>IF(Table1[[#This Row],[Injury_Next_Season]]=1, "Injury","No Injury")</f>
        <v>Injury</v>
      </c>
      <c r="W717" s="3">
        <v>25.925925925925899</v>
      </c>
    </row>
    <row r="718" spans="1:23" x14ac:dyDescent="0.25">
      <c r="A718" s="6">
        <v>22</v>
      </c>
      <c r="B718" s="8" t="str">
        <f>CONCATENATE(Table1[[#This Row],[Age]]," ", "years")</f>
        <v>22 years</v>
      </c>
      <c r="C718">
        <v>174</v>
      </c>
      <c r="D718">
        <v>80</v>
      </c>
      <c r="E718" t="s">
        <v>20</v>
      </c>
      <c r="F718" s="3">
        <v>9.7795749611110008</v>
      </c>
      <c r="G718" s="3">
        <v>39</v>
      </c>
      <c r="H718">
        <v>0</v>
      </c>
      <c r="I718" s="3">
        <v>83.330291545240897</v>
      </c>
      <c r="J718" s="3">
        <v>83.056191352300701</v>
      </c>
      <c r="K718" s="3">
        <v>262.20003629194201</v>
      </c>
      <c r="L718" s="3">
        <v>89.600684657837306</v>
      </c>
      <c r="M718" s="3">
        <v>5.5109386293172902</v>
      </c>
      <c r="N718" s="3">
        <v>88.367220369210401</v>
      </c>
      <c r="O718" s="3">
        <v>7.4195794942881097</v>
      </c>
      <c r="P718" s="3">
        <v>59.579021180919199</v>
      </c>
      <c r="Q718" s="3">
        <v>78.846354320335493</v>
      </c>
      <c r="R718" s="3" t="str">
        <f>IF(Table1[[#This Row],[Nutrition_Quality_Score]]&lt;60, "Poor Nutrition",IF(AND(Table1[[#This Row],[Nutrition_Quality_Score]]&gt;=60,Table1[[#This Row],[Nutrition_Quality_Score]]&lt;=80),"Average Nutrition", "Good Nutrition"))</f>
        <v>Average Nutrition</v>
      </c>
      <c r="S718">
        <v>1</v>
      </c>
      <c r="T718" t="str">
        <f>IF(Table1[[#This Row],[Warmup_Routine_Adherence]]=1, "Adherent","Non-Adherent")</f>
        <v>Adherent</v>
      </c>
      <c r="U718">
        <v>0</v>
      </c>
      <c r="V718" t="str">
        <f>IF(Table1[[#This Row],[Injury_Next_Season]]=1, "Injury","No Injury")</f>
        <v>No Injury</v>
      </c>
      <c r="W718" s="3">
        <v>26.423569824283199</v>
      </c>
    </row>
    <row r="719" spans="1:23" x14ac:dyDescent="0.25">
      <c r="A719" s="6">
        <v>19</v>
      </c>
      <c r="B719" s="8" t="str">
        <f>CONCATENATE(Table1[[#This Row],[Age]]," ", "years")</f>
        <v>19 years</v>
      </c>
      <c r="C719">
        <v>176</v>
      </c>
      <c r="D719">
        <v>81</v>
      </c>
      <c r="E719" t="s">
        <v>22</v>
      </c>
      <c r="F719" s="3">
        <v>10.0861156453427</v>
      </c>
      <c r="G719" s="3">
        <v>12</v>
      </c>
      <c r="H719">
        <v>0</v>
      </c>
      <c r="I719" s="3">
        <v>79.948593192287404</v>
      </c>
      <c r="J719" s="3">
        <v>66.968878728433495</v>
      </c>
      <c r="K719" s="3">
        <v>255.11950721661199</v>
      </c>
      <c r="L719" s="3">
        <v>89.192200617353706</v>
      </c>
      <c r="M719" s="3">
        <v>5.94600272587628</v>
      </c>
      <c r="N719" s="3">
        <v>100</v>
      </c>
      <c r="O719" s="3">
        <v>8.3586051134698902</v>
      </c>
      <c r="P719" s="3">
        <v>64.167357756595806</v>
      </c>
      <c r="Q719" s="3">
        <v>70.595287678228303</v>
      </c>
      <c r="R719" s="3" t="str">
        <f>IF(Table1[[#This Row],[Nutrition_Quality_Score]]&lt;60, "Poor Nutrition",IF(AND(Table1[[#This Row],[Nutrition_Quality_Score]]&gt;=60,Table1[[#This Row],[Nutrition_Quality_Score]]&lt;=80),"Average Nutrition", "Good Nutrition"))</f>
        <v>Average Nutrition</v>
      </c>
      <c r="S719">
        <v>1</v>
      </c>
      <c r="T719" t="str">
        <f>IF(Table1[[#This Row],[Warmup_Routine_Adherence]]=1, "Adherent","Non-Adherent")</f>
        <v>Adherent</v>
      </c>
      <c r="U719">
        <v>0</v>
      </c>
      <c r="V719" t="str">
        <f>IF(Table1[[#This Row],[Injury_Next_Season]]=1, "Injury","No Injury")</f>
        <v>No Injury</v>
      </c>
      <c r="W719" s="3">
        <v>26.149276859504099</v>
      </c>
    </row>
    <row r="720" spans="1:23" x14ac:dyDescent="0.25">
      <c r="A720" s="6">
        <v>24</v>
      </c>
      <c r="B720" s="8" t="str">
        <f>CONCATENATE(Table1[[#This Row],[Age]]," ", "years")</f>
        <v>24 years</v>
      </c>
      <c r="C720">
        <v>176</v>
      </c>
      <c r="D720">
        <v>74</v>
      </c>
      <c r="E720" t="s">
        <v>20</v>
      </c>
      <c r="F720" s="3">
        <v>9.5832896852647593</v>
      </c>
      <c r="G720" s="3">
        <v>13</v>
      </c>
      <c r="H720">
        <v>1</v>
      </c>
      <c r="I720" s="3">
        <v>73.826453994508597</v>
      </c>
      <c r="J720" s="3">
        <v>89.053866583856305</v>
      </c>
      <c r="K720" s="3">
        <v>222.07766991035601</v>
      </c>
      <c r="L720" s="3">
        <v>86.799795962050396</v>
      </c>
      <c r="M720" s="3">
        <v>5.7915355478833304</v>
      </c>
      <c r="N720" s="3">
        <v>81.983988284460096</v>
      </c>
      <c r="O720" s="3">
        <v>8.0912585233839494</v>
      </c>
      <c r="P720" s="3">
        <v>74.648954861737593</v>
      </c>
      <c r="Q720" s="3">
        <v>95.487028870845904</v>
      </c>
      <c r="R720" s="3" t="str">
        <f>IF(Table1[[#This Row],[Nutrition_Quality_Score]]&lt;60, "Poor Nutrition",IF(AND(Table1[[#This Row],[Nutrition_Quality_Score]]&gt;=60,Table1[[#This Row],[Nutrition_Quality_Score]]&lt;=80),"Average Nutrition", "Good Nutrition"))</f>
        <v>Good Nutrition</v>
      </c>
      <c r="S720">
        <v>1</v>
      </c>
      <c r="T720" t="str">
        <f>IF(Table1[[#This Row],[Warmup_Routine_Adherence]]=1, "Adherent","Non-Adherent")</f>
        <v>Adherent</v>
      </c>
      <c r="U720">
        <v>0</v>
      </c>
      <c r="V720" t="str">
        <f>IF(Table1[[#This Row],[Injury_Next_Season]]=1, "Injury","No Injury")</f>
        <v>No Injury</v>
      </c>
      <c r="W720" s="3">
        <v>23.889462809917301</v>
      </c>
    </row>
    <row r="721" spans="1:23" x14ac:dyDescent="0.25">
      <c r="A721" s="6">
        <v>21</v>
      </c>
      <c r="B721" s="8" t="str">
        <f>CONCATENATE(Table1[[#This Row],[Age]]," ", "years")</f>
        <v>21 years</v>
      </c>
      <c r="C721">
        <v>173</v>
      </c>
      <c r="D721">
        <v>76</v>
      </c>
      <c r="E721" t="s">
        <v>22</v>
      </c>
      <c r="F721" s="3">
        <v>10.439988664926499</v>
      </c>
      <c r="G721" s="3">
        <v>16</v>
      </c>
      <c r="H721">
        <v>3</v>
      </c>
      <c r="I721" s="3">
        <v>79.465962341864397</v>
      </c>
      <c r="J721" s="3">
        <v>62.389740465513803</v>
      </c>
      <c r="K721" s="3">
        <v>255.44185899499001</v>
      </c>
      <c r="L721" s="3">
        <v>78.855589917378296</v>
      </c>
      <c r="M721" s="3">
        <v>5.5961900042622901</v>
      </c>
      <c r="N721" s="3">
        <v>77.183463816710201</v>
      </c>
      <c r="O721" s="3">
        <v>6.4785248962047</v>
      </c>
      <c r="P721" s="3">
        <v>79.794304046319695</v>
      </c>
      <c r="Q721" s="3">
        <v>70.021734853074094</v>
      </c>
      <c r="R721" s="3" t="str">
        <f>IF(Table1[[#This Row],[Nutrition_Quality_Score]]&lt;60, "Poor Nutrition",IF(AND(Table1[[#This Row],[Nutrition_Quality_Score]]&gt;=60,Table1[[#This Row],[Nutrition_Quality_Score]]&lt;=80),"Average Nutrition", "Good Nutrition"))</f>
        <v>Average Nutrition</v>
      </c>
      <c r="S721">
        <v>0</v>
      </c>
      <c r="T721" t="str">
        <f>IF(Table1[[#This Row],[Warmup_Routine_Adherence]]=1, "Adherent","Non-Adherent")</f>
        <v>Non-Adherent</v>
      </c>
      <c r="U721">
        <v>1</v>
      </c>
      <c r="V721" t="str">
        <f>IF(Table1[[#This Row],[Injury_Next_Season]]=1, "Injury","No Injury")</f>
        <v>Injury</v>
      </c>
      <c r="W721" s="3">
        <v>25.393431120317999</v>
      </c>
    </row>
    <row r="722" spans="1:23" x14ac:dyDescent="0.25">
      <c r="A722" s="6">
        <v>22</v>
      </c>
      <c r="B722" s="8" t="str">
        <f>CONCATENATE(Table1[[#This Row],[Age]]," ", "years")</f>
        <v>22 years</v>
      </c>
      <c r="C722">
        <v>178</v>
      </c>
      <c r="D722">
        <v>91</v>
      </c>
      <c r="E722" t="s">
        <v>20</v>
      </c>
      <c r="F722" s="3">
        <v>9.4222747984229205</v>
      </c>
      <c r="G722" s="3">
        <v>18</v>
      </c>
      <c r="H722">
        <v>1</v>
      </c>
      <c r="I722" s="3">
        <v>76.7708779768856</v>
      </c>
      <c r="J722" s="3">
        <v>76.727763926646006</v>
      </c>
      <c r="K722" s="3">
        <v>281.176510238861</v>
      </c>
      <c r="L722" s="3">
        <v>70.553864367800799</v>
      </c>
      <c r="M722" s="3">
        <v>5.7030589564094303</v>
      </c>
      <c r="N722" s="3">
        <v>66.361269409271202</v>
      </c>
      <c r="O722" s="3">
        <v>7.7798541560955501</v>
      </c>
      <c r="P722" s="3">
        <v>59.124174285671899</v>
      </c>
      <c r="Q722" s="3">
        <v>73.229663772423393</v>
      </c>
      <c r="R722" s="3" t="str">
        <f>IF(Table1[[#This Row],[Nutrition_Quality_Score]]&lt;60, "Poor Nutrition",IF(AND(Table1[[#This Row],[Nutrition_Quality_Score]]&gt;=60,Table1[[#This Row],[Nutrition_Quality_Score]]&lt;=80),"Average Nutrition", "Good Nutrition"))</f>
        <v>Average Nutrition</v>
      </c>
      <c r="S722">
        <v>1</v>
      </c>
      <c r="T722" t="str">
        <f>IF(Table1[[#This Row],[Warmup_Routine_Adherence]]=1, "Adherent","Non-Adherent")</f>
        <v>Adherent</v>
      </c>
      <c r="U722">
        <v>1</v>
      </c>
      <c r="V722" t="str">
        <f>IF(Table1[[#This Row],[Injury_Next_Season]]=1, "Injury","No Injury")</f>
        <v>Injury</v>
      </c>
      <c r="W722" s="3">
        <v>28.721121070571801</v>
      </c>
    </row>
    <row r="723" spans="1:23" x14ac:dyDescent="0.25">
      <c r="A723" s="6">
        <v>24</v>
      </c>
      <c r="B723" s="8" t="str">
        <f>CONCATENATE(Table1[[#This Row],[Age]]," ", "years")</f>
        <v>24 years</v>
      </c>
      <c r="C723">
        <v>175</v>
      </c>
      <c r="D723">
        <v>76</v>
      </c>
      <c r="E723" t="s">
        <v>21</v>
      </c>
      <c r="F723" s="3">
        <v>9.3154275329127607</v>
      </c>
      <c r="G723" s="3">
        <v>21</v>
      </c>
      <c r="H723">
        <v>2</v>
      </c>
      <c r="I723" s="3">
        <v>73.883347580317306</v>
      </c>
      <c r="J723" s="3">
        <v>82.286335216444897</v>
      </c>
      <c r="K723" s="3">
        <v>274.08250240780501</v>
      </c>
      <c r="L723" s="3">
        <v>91.191321168196794</v>
      </c>
      <c r="M723" s="3">
        <v>5.9030355250612896</v>
      </c>
      <c r="N723" s="3">
        <v>77.003084916761495</v>
      </c>
      <c r="O723" s="3">
        <v>6.2942959337990798</v>
      </c>
      <c r="P723" s="3">
        <v>69.766574401624496</v>
      </c>
      <c r="Q723" s="3">
        <v>85.888066409746799</v>
      </c>
      <c r="R723" s="3" t="str">
        <f>IF(Table1[[#This Row],[Nutrition_Quality_Score]]&lt;60, "Poor Nutrition",IF(AND(Table1[[#This Row],[Nutrition_Quality_Score]]&gt;=60,Table1[[#This Row],[Nutrition_Quality_Score]]&lt;=80),"Average Nutrition", "Good Nutrition"))</f>
        <v>Good Nutrition</v>
      </c>
      <c r="S723">
        <v>0</v>
      </c>
      <c r="T723" t="str">
        <f>IF(Table1[[#This Row],[Warmup_Routine_Adherence]]=1, "Adherent","Non-Adherent")</f>
        <v>Non-Adherent</v>
      </c>
      <c r="U723">
        <v>1</v>
      </c>
      <c r="V723" t="str">
        <f>IF(Table1[[#This Row],[Injury_Next_Season]]=1, "Injury","No Injury")</f>
        <v>Injury</v>
      </c>
      <c r="W723" s="3">
        <v>24.816326530612201</v>
      </c>
    </row>
    <row r="724" spans="1:23" x14ac:dyDescent="0.25">
      <c r="A724" s="6">
        <v>24</v>
      </c>
      <c r="B724" s="8" t="str">
        <f>CONCATENATE(Table1[[#This Row],[Age]]," ", "years")</f>
        <v>24 years</v>
      </c>
      <c r="C724">
        <v>178</v>
      </c>
      <c r="D724">
        <v>70</v>
      </c>
      <c r="E724" t="s">
        <v>20</v>
      </c>
      <c r="F724" s="3">
        <v>11.1543733017119</v>
      </c>
      <c r="G724" s="3">
        <v>8</v>
      </c>
      <c r="H724">
        <v>1</v>
      </c>
      <c r="I724" s="3">
        <v>79.053287219950704</v>
      </c>
      <c r="J724" s="3">
        <v>77.317644342330894</v>
      </c>
      <c r="K724" s="3">
        <v>216.28159361837299</v>
      </c>
      <c r="L724" s="3">
        <v>87.235486838724398</v>
      </c>
      <c r="M724" s="3">
        <v>6.2706364489799604</v>
      </c>
      <c r="N724" s="3">
        <v>70.435173419113198</v>
      </c>
      <c r="O724" s="3">
        <v>7.7323532254613303</v>
      </c>
      <c r="P724" s="3">
        <v>54.008232103259502</v>
      </c>
      <c r="Q724" s="3">
        <v>68.866169287942398</v>
      </c>
      <c r="R724" s="3" t="str">
        <f>IF(Table1[[#This Row],[Nutrition_Quality_Score]]&lt;60, "Poor Nutrition",IF(AND(Table1[[#This Row],[Nutrition_Quality_Score]]&gt;=60,Table1[[#This Row],[Nutrition_Quality_Score]]&lt;=80),"Average Nutrition", "Good Nutrition"))</f>
        <v>Average Nutrition</v>
      </c>
      <c r="S724">
        <v>1</v>
      </c>
      <c r="T724" t="str">
        <f>IF(Table1[[#This Row],[Warmup_Routine_Adherence]]=1, "Adherent","Non-Adherent")</f>
        <v>Adherent</v>
      </c>
      <c r="U724">
        <v>0</v>
      </c>
      <c r="V724" t="str">
        <f>IF(Table1[[#This Row],[Injury_Next_Season]]=1, "Injury","No Injury")</f>
        <v>No Injury</v>
      </c>
      <c r="W724" s="3">
        <v>22.093170054285999</v>
      </c>
    </row>
    <row r="725" spans="1:23" x14ac:dyDescent="0.25">
      <c r="A725" s="6">
        <v>20</v>
      </c>
      <c r="B725" s="8" t="str">
        <f>CONCATENATE(Table1[[#This Row],[Age]]," ", "years")</f>
        <v>20 years</v>
      </c>
      <c r="C725">
        <v>157</v>
      </c>
      <c r="D725">
        <v>83</v>
      </c>
      <c r="E725" t="s">
        <v>22</v>
      </c>
      <c r="F725" s="3">
        <v>11.1470268004483</v>
      </c>
      <c r="G725" s="3">
        <v>24</v>
      </c>
      <c r="H725">
        <v>2</v>
      </c>
      <c r="I725" s="3">
        <v>79.536791659689101</v>
      </c>
      <c r="J725" s="3">
        <v>77.716239217256501</v>
      </c>
      <c r="K725" s="3">
        <v>208.74744224956001</v>
      </c>
      <c r="L725" s="3">
        <v>92.769463880123595</v>
      </c>
      <c r="M725" s="3">
        <v>6.26631317981722</v>
      </c>
      <c r="N725" s="3">
        <v>71.995656949985502</v>
      </c>
      <c r="O725" s="3">
        <v>8.5379808755253102</v>
      </c>
      <c r="P725" s="3">
        <v>44.002699141501999</v>
      </c>
      <c r="Q725" s="3">
        <v>66.846215853472501</v>
      </c>
      <c r="R725" s="3" t="str">
        <f>IF(Table1[[#This Row],[Nutrition_Quality_Score]]&lt;60, "Poor Nutrition",IF(AND(Table1[[#This Row],[Nutrition_Quality_Score]]&gt;=60,Table1[[#This Row],[Nutrition_Quality_Score]]&lt;=80),"Average Nutrition", "Good Nutrition"))</f>
        <v>Average Nutrition</v>
      </c>
      <c r="S725">
        <v>0</v>
      </c>
      <c r="T725" t="str">
        <f>IF(Table1[[#This Row],[Warmup_Routine_Adherence]]=1, "Adherent","Non-Adherent")</f>
        <v>Non-Adherent</v>
      </c>
      <c r="U725">
        <v>0</v>
      </c>
      <c r="V725" t="str">
        <f>IF(Table1[[#This Row],[Injury_Next_Season]]=1, "Injury","No Injury")</f>
        <v>No Injury</v>
      </c>
      <c r="W725" s="3">
        <v>33.672765629437301</v>
      </c>
    </row>
    <row r="726" spans="1:23" x14ac:dyDescent="0.25">
      <c r="A726" s="6">
        <v>18</v>
      </c>
      <c r="B726" s="8" t="str">
        <f>CONCATENATE(Table1[[#This Row],[Age]]," ", "years")</f>
        <v>18 years</v>
      </c>
      <c r="C726">
        <v>179</v>
      </c>
      <c r="D726">
        <v>69</v>
      </c>
      <c r="E726" t="s">
        <v>19</v>
      </c>
      <c r="F726" s="3">
        <v>8.0131799502320504</v>
      </c>
      <c r="G726" s="3">
        <v>12</v>
      </c>
      <c r="H726">
        <v>0</v>
      </c>
      <c r="I726" s="3">
        <v>72.072754831078996</v>
      </c>
      <c r="J726" s="3">
        <v>86.184704748770699</v>
      </c>
      <c r="K726" s="3">
        <v>287.65237447312302</v>
      </c>
      <c r="L726" s="3">
        <v>78.5457117632033</v>
      </c>
      <c r="M726" s="3">
        <v>6.4361795389778802</v>
      </c>
      <c r="N726" s="3">
        <v>79.650543079687395</v>
      </c>
      <c r="O726" s="3">
        <v>7.3876839424581</v>
      </c>
      <c r="P726" s="3">
        <v>40.484129271089103</v>
      </c>
      <c r="Q726" s="3">
        <v>89.484204562531801</v>
      </c>
      <c r="R726" s="3" t="str">
        <f>IF(Table1[[#This Row],[Nutrition_Quality_Score]]&lt;60, "Poor Nutrition",IF(AND(Table1[[#This Row],[Nutrition_Quality_Score]]&gt;=60,Table1[[#This Row],[Nutrition_Quality_Score]]&lt;=80),"Average Nutrition", "Good Nutrition"))</f>
        <v>Good Nutrition</v>
      </c>
      <c r="S726">
        <v>0</v>
      </c>
      <c r="T726" t="str">
        <f>IF(Table1[[#This Row],[Warmup_Routine_Adherence]]=1, "Adherent","Non-Adherent")</f>
        <v>Non-Adherent</v>
      </c>
      <c r="U726">
        <v>0</v>
      </c>
      <c r="V726" t="str">
        <f>IF(Table1[[#This Row],[Injury_Next_Season]]=1, "Injury","No Injury")</f>
        <v>No Injury</v>
      </c>
      <c r="W726" s="3">
        <v>21.534908398614199</v>
      </c>
    </row>
    <row r="727" spans="1:23" x14ac:dyDescent="0.25">
      <c r="A727" s="6">
        <v>19</v>
      </c>
      <c r="B727" s="8" t="str">
        <f>CONCATENATE(Table1[[#This Row],[Age]]," ", "years")</f>
        <v>19 years</v>
      </c>
      <c r="C727">
        <v>179</v>
      </c>
      <c r="D727">
        <v>70</v>
      </c>
      <c r="E727" t="s">
        <v>21</v>
      </c>
      <c r="F727" s="3">
        <v>13.629716925788999</v>
      </c>
      <c r="G727" s="3">
        <v>37</v>
      </c>
      <c r="H727">
        <v>1</v>
      </c>
      <c r="I727" s="3">
        <v>78.408668957692001</v>
      </c>
      <c r="J727" s="3">
        <v>82.589236874074302</v>
      </c>
      <c r="K727" s="3">
        <v>227.46123764910701</v>
      </c>
      <c r="L727" s="3">
        <v>84.511966608517497</v>
      </c>
      <c r="M727" s="3">
        <v>6.86795792276114</v>
      </c>
      <c r="N727" s="3">
        <v>82.111504804364102</v>
      </c>
      <c r="O727" s="3">
        <v>8.9333530465672109</v>
      </c>
      <c r="P727" s="3">
        <v>44.492048419823298</v>
      </c>
      <c r="Q727" s="3">
        <v>88.395026041760204</v>
      </c>
      <c r="R727" s="3" t="str">
        <f>IF(Table1[[#This Row],[Nutrition_Quality_Score]]&lt;60, "Poor Nutrition",IF(AND(Table1[[#This Row],[Nutrition_Quality_Score]]&gt;=60,Table1[[#This Row],[Nutrition_Quality_Score]]&lt;=80),"Average Nutrition", "Good Nutrition"))</f>
        <v>Good Nutrition</v>
      </c>
      <c r="S727">
        <v>0</v>
      </c>
      <c r="T727" t="str">
        <f>IF(Table1[[#This Row],[Warmup_Routine_Adherence]]=1, "Adherent","Non-Adherent")</f>
        <v>Non-Adherent</v>
      </c>
      <c r="U727">
        <v>0</v>
      </c>
      <c r="V727" t="str">
        <f>IF(Table1[[#This Row],[Injury_Next_Season]]=1, "Injury","No Injury")</f>
        <v>No Injury</v>
      </c>
      <c r="W727" s="3">
        <v>21.847008520333301</v>
      </c>
    </row>
    <row r="728" spans="1:23" x14ac:dyDescent="0.25">
      <c r="A728" s="6">
        <v>19</v>
      </c>
      <c r="B728" s="8" t="str">
        <f>CONCATENATE(Table1[[#This Row],[Age]]," ", "years")</f>
        <v>19 years</v>
      </c>
      <c r="C728">
        <v>173</v>
      </c>
      <c r="D728">
        <v>65</v>
      </c>
      <c r="E728" t="s">
        <v>21</v>
      </c>
      <c r="F728" s="3">
        <v>7.1472811851370297</v>
      </c>
      <c r="G728" s="3">
        <v>8</v>
      </c>
      <c r="H728">
        <v>2</v>
      </c>
      <c r="I728" s="3">
        <v>57.626079558168499</v>
      </c>
      <c r="J728" s="3">
        <v>86.3233417324128</v>
      </c>
      <c r="K728" s="3">
        <v>204.13172390371699</v>
      </c>
      <c r="L728" s="3">
        <v>85.520793818093907</v>
      </c>
      <c r="M728" s="3">
        <v>5.40275981269086</v>
      </c>
      <c r="N728" s="3">
        <v>85.717722472773403</v>
      </c>
      <c r="O728" s="3">
        <v>6.6727723169716198</v>
      </c>
      <c r="P728" s="3">
        <v>50.4748366275725</v>
      </c>
      <c r="Q728" s="3">
        <v>73.617801459337301</v>
      </c>
      <c r="R728" s="3" t="str">
        <f>IF(Table1[[#This Row],[Nutrition_Quality_Score]]&lt;60, "Poor Nutrition",IF(AND(Table1[[#This Row],[Nutrition_Quality_Score]]&gt;=60,Table1[[#This Row],[Nutrition_Quality_Score]]&lt;=80),"Average Nutrition", "Good Nutrition"))</f>
        <v>Average Nutrition</v>
      </c>
      <c r="S728">
        <v>1</v>
      </c>
      <c r="T728" t="str">
        <f>IF(Table1[[#This Row],[Warmup_Routine_Adherence]]=1, "Adherent","Non-Adherent")</f>
        <v>Adherent</v>
      </c>
      <c r="U728">
        <v>1</v>
      </c>
      <c r="V728" t="str">
        <f>IF(Table1[[#This Row],[Injury_Next_Season]]=1, "Injury","No Injury")</f>
        <v>Injury</v>
      </c>
      <c r="W728" s="3">
        <v>21.718066089745701</v>
      </c>
    </row>
    <row r="729" spans="1:23" x14ac:dyDescent="0.25">
      <c r="A729" s="6">
        <v>18</v>
      </c>
      <c r="B729" s="8" t="str">
        <f>CONCATENATE(Table1[[#This Row],[Age]]," ", "years")</f>
        <v>18 years</v>
      </c>
      <c r="C729">
        <v>175</v>
      </c>
      <c r="D729">
        <v>68</v>
      </c>
      <c r="E729" t="s">
        <v>20</v>
      </c>
      <c r="F729" s="3">
        <v>5</v>
      </c>
      <c r="G729" s="3">
        <v>31</v>
      </c>
      <c r="H729">
        <v>1</v>
      </c>
      <c r="I729" s="3">
        <v>65.466020670741003</v>
      </c>
      <c r="J729" s="3">
        <v>97.121839097051406</v>
      </c>
      <c r="K729" s="3">
        <v>258.414948939552</v>
      </c>
      <c r="L729" s="3">
        <v>88.686361782426999</v>
      </c>
      <c r="M729" s="3">
        <v>6.5283170514347804</v>
      </c>
      <c r="N729" s="3">
        <v>78.672232931024098</v>
      </c>
      <c r="O729" s="3">
        <v>7.9894204012851402</v>
      </c>
      <c r="P729" s="3">
        <v>58.7184050853581</v>
      </c>
      <c r="Q729" s="3">
        <v>90.046833424584705</v>
      </c>
      <c r="R729" s="3" t="str">
        <f>IF(Table1[[#This Row],[Nutrition_Quality_Score]]&lt;60, "Poor Nutrition",IF(AND(Table1[[#This Row],[Nutrition_Quality_Score]]&gt;=60,Table1[[#This Row],[Nutrition_Quality_Score]]&lt;=80),"Average Nutrition", "Good Nutrition"))</f>
        <v>Good Nutrition</v>
      </c>
      <c r="S729">
        <v>1</v>
      </c>
      <c r="T729" t="str">
        <f>IF(Table1[[#This Row],[Warmup_Routine_Adherence]]=1, "Adherent","Non-Adherent")</f>
        <v>Adherent</v>
      </c>
      <c r="U729">
        <v>0</v>
      </c>
      <c r="V729" t="str">
        <f>IF(Table1[[#This Row],[Injury_Next_Season]]=1, "Injury","No Injury")</f>
        <v>No Injury</v>
      </c>
      <c r="W729" s="3">
        <v>22.204081632653001</v>
      </c>
    </row>
    <row r="730" spans="1:23" x14ac:dyDescent="0.25">
      <c r="A730" s="6">
        <v>21</v>
      </c>
      <c r="B730" s="8" t="str">
        <f>CONCATENATE(Table1[[#This Row],[Age]]," ", "years")</f>
        <v>21 years</v>
      </c>
      <c r="C730">
        <v>187</v>
      </c>
      <c r="D730">
        <v>66</v>
      </c>
      <c r="E730" t="s">
        <v>20</v>
      </c>
      <c r="F730" s="3">
        <v>7.9114576303028699</v>
      </c>
      <c r="G730" s="3">
        <v>12</v>
      </c>
      <c r="H730">
        <v>2</v>
      </c>
      <c r="I730" s="3">
        <v>71.319911080197798</v>
      </c>
      <c r="J730" s="3">
        <v>67.6834986578192</v>
      </c>
      <c r="K730" s="3">
        <v>271.16878430827398</v>
      </c>
      <c r="L730" s="3">
        <v>83.613041839962506</v>
      </c>
      <c r="M730" s="3">
        <v>5.6465065989746002</v>
      </c>
      <c r="N730" s="3">
        <v>74.383523459572899</v>
      </c>
      <c r="O730" s="3">
        <v>6.7230795419380396</v>
      </c>
      <c r="P730" s="3">
        <v>46.807617415436603</v>
      </c>
      <c r="Q730" s="3">
        <v>62.313822105930299</v>
      </c>
      <c r="R730" s="3" t="str">
        <f>IF(Table1[[#This Row],[Nutrition_Quality_Score]]&lt;60, "Poor Nutrition",IF(AND(Table1[[#This Row],[Nutrition_Quality_Score]]&gt;=60,Table1[[#This Row],[Nutrition_Quality_Score]]&lt;=80),"Average Nutrition", "Good Nutrition"))</f>
        <v>Average Nutrition</v>
      </c>
      <c r="S730">
        <v>0</v>
      </c>
      <c r="T730" t="str">
        <f>IF(Table1[[#This Row],[Warmup_Routine_Adherence]]=1, "Adherent","Non-Adherent")</f>
        <v>Non-Adherent</v>
      </c>
      <c r="U730">
        <v>1</v>
      </c>
      <c r="V730" t="str">
        <f>IF(Table1[[#This Row],[Injury_Next_Season]]=1, "Injury","No Injury")</f>
        <v>Injury</v>
      </c>
      <c r="W730" s="3">
        <v>18.873859704309499</v>
      </c>
    </row>
    <row r="731" spans="1:23" x14ac:dyDescent="0.25">
      <c r="A731" s="6">
        <v>22</v>
      </c>
      <c r="B731" s="8" t="str">
        <f>CONCATENATE(Table1[[#This Row],[Age]]," ", "years")</f>
        <v>22 years</v>
      </c>
      <c r="C731">
        <v>175</v>
      </c>
      <c r="D731">
        <v>69</v>
      </c>
      <c r="E731" t="s">
        <v>19</v>
      </c>
      <c r="F731" s="3">
        <v>11.1944569959667</v>
      </c>
      <c r="G731" s="3">
        <v>12</v>
      </c>
      <c r="H731">
        <v>1</v>
      </c>
      <c r="I731" s="3">
        <v>81.968813045414606</v>
      </c>
      <c r="J731" s="3">
        <v>90.985701731183298</v>
      </c>
      <c r="K731" s="3">
        <v>273.84422451760798</v>
      </c>
      <c r="L731" s="3">
        <v>79.8450299068096</v>
      </c>
      <c r="M731" s="3">
        <v>5.3128894688405204</v>
      </c>
      <c r="N731" s="3">
        <v>85.530397497506996</v>
      </c>
      <c r="O731" s="3">
        <v>6.9179645107963701</v>
      </c>
      <c r="P731" s="3">
        <v>45.311182925206097</v>
      </c>
      <c r="Q731" s="3">
        <v>64.760862881030306</v>
      </c>
      <c r="R731" s="3" t="str">
        <f>IF(Table1[[#This Row],[Nutrition_Quality_Score]]&lt;60, "Poor Nutrition",IF(AND(Table1[[#This Row],[Nutrition_Quality_Score]]&gt;=60,Table1[[#This Row],[Nutrition_Quality_Score]]&lt;=80),"Average Nutrition", "Good Nutrition"))</f>
        <v>Average Nutrition</v>
      </c>
      <c r="S731">
        <v>0</v>
      </c>
      <c r="T731" t="str">
        <f>IF(Table1[[#This Row],[Warmup_Routine_Adherence]]=1, "Adherent","Non-Adherent")</f>
        <v>Non-Adherent</v>
      </c>
      <c r="U731">
        <v>1</v>
      </c>
      <c r="V731" t="str">
        <f>IF(Table1[[#This Row],[Injury_Next_Season]]=1, "Injury","No Injury")</f>
        <v>Injury</v>
      </c>
      <c r="W731" s="3">
        <v>22.530612244897899</v>
      </c>
    </row>
    <row r="732" spans="1:23" x14ac:dyDescent="0.25">
      <c r="A732" s="6">
        <v>18</v>
      </c>
      <c r="B732" s="8" t="str">
        <f>CONCATENATE(Table1[[#This Row],[Age]]," ", "years")</f>
        <v>18 years</v>
      </c>
      <c r="C732">
        <v>168</v>
      </c>
      <c r="D732">
        <v>73</v>
      </c>
      <c r="E732" t="s">
        <v>22</v>
      </c>
      <c r="F732" s="3">
        <v>12.773604637539499</v>
      </c>
      <c r="G732" s="3">
        <v>31</v>
      </c>
      <c r="H732">
        <v>0</v>
      </c>
      <c r="I732" s="3">
        <v>74.099782921794102</v>
      </c>
      <c r="J732" s="3">
        <v>81.316143607445596</v>
      </c>
      <c r="K732" s="3">
        <v>235.94549125311099</v>
      </c>
      <c r="L732" s="3">
        <v>87.505628508868497</v>
      </c>
      <c r="M732" s="3">
        <v>6.6927290971680398</v>
      </c>
      <c r="N732" s="3">
        <v>76.196547260408906</v>
      </c>
      <c r="O732" s="3">
        <v>7.7499649938192201</v>
      </c>
      <c r="P732" s="3">
        <v>57.311916744997902</v>
      </c>
      <c r="Q732" s="3">
        <v>75.407294441007096</v>
      </c>
      <c r="R732" s="3" t="str">
        <f>IF(Table1[[#This Row],[Nutrition_Quality_Score]]&lt;60, "Poor Nutrition",IF(AND(Table1[[#This Row],[Nutrition_Quality_Score]]&gt;=60,Table1[[#This Row],[Nutrition_Quality_Score]]&lt;=80),"Average Nutrition", "Good Nutrition"))</f>
        <v>Average Nutrition</v>
      </c>
      <c r="S732">
        <v>1</v>
      </c>
      <c r="T732" t="str">
        <f>IF(Table1[[#This Row],[Warmup_Routine_Adherence]]=1, "Adherent","Non-Adherent")</f>
        <v>Adherent</v>
      </c>
      <c r="U732">
        <v>0</v>
      </c>
      <c r="V732" t="str">
        <f>IF(Table1[[#This Row],[Injury_Next_Season]]=1, "Injury","No Injury")</f>
        <v>No Injury</v>
      </c>
      <c r="W732" s="3">
        <v>25.864512471655299</v>
      </c>
    </row>
    <row r="733" spans="1:23" x14ac:dyDescent="0.25">
      <c r="A733" s="6">
        <v>22</v>
      </c>
      <c r="B733" s="8" t="str">
        <f>CONCATENATE(Table1[[#This Row],[Age]]," ", "years")</f>
        <v>22 years</v>
      </c>
      <c r="C733">
        <v>174</v>
      </c>
      <c r="D733">
        <v>80</v>
      </c>
      <c r="E733" t="s">
        <v>22</v>
      </c>
      <c r="F733" s="3">
        <v>7.1518598974428498</v>
      </c>
      <c r="G733" s="3">
        <v>15</v>
      </c>
      <c r="H733">
        <v>0</v>
      </c>
      <c r="I733" s="3">
        <v>78.795070184631896</v>
      </c>
      <c r="J733" s="3">
        <v>90.499957058838305</v>
      </c>
      <c r="K733" s="3">
        <v>265.31097647213602</v>
      </c>
      <c r="L733" s="3">
        <v>91.127649937802104</v>
      </c>
      <c r="M733" s="3">
        <v>6.4496205324001501</v>
      </c>
      <c r="N733" s="3">
        <v>76.464065976392106</v>
      </c>
      <c r="O733" s="3">
        <v>8.1668646249772898</v>
      </c>
      <c r="P733" s="3">
        <v>38.647740198302699</v>
      </c>
      <c r="Q733" s="3">
        <v>83.619574991005607</v>
      </c>
      <c r="R733" s="3" t="str">
        <f>IF(Table1[[#This Row],[Nutrition_Quality_Score]]&lt;60, "Poor Nutrition",IF(AND(Table1[[#This Row],[Nutrition_Quality_Score]]&gt;=60,Table1[[#This Row],[Nutrition_Quality_Score]]&lt;=80),"Average Nutrition", "Good Nutrition"))</f>
        <v>Good Nutrition</v>
      </c>
      <c r="S733">
        <v>1</v>
      </c>
      <c r="T733" t="str">
        <f>IF(Table1[[#This Row],[Warmup_Routine_Adherence]]=1, "Adherent","Non-Adherent")</f>
        <v>Adherent</v>
      </c>
      <c r="U733">
        <v>0</v>
      </c>
      <c r="V733" t="str">
        <f>IF(Table1[[#This Row],[Injury_Next_Season]]=1, "Injury","No Injury")</f>
        <v>No Injury</v>
      </c>
      <c r="W733" s="3">
        <v>26.423569824283199</v>
      </c>
    </row>
    <row r="734" spans="1:23" x14ac:dyDescent="0.25">
      <c r="A734" s="6">
        <v>19</v>
      </c>
      <c r="B734" s="8" t="str">
        <f>CONCATENATE(Table1[[#This Row],[Age]]," ", "years")</f>
        <v>19 years</v>
      </c>
      <c r="C734">
        <v>176</v>
      </c>
      <c r="D734">
        <v>81</v>
      </c>
      <c r="E734" t="s">
        <v>20</v>
      </c>
      <c r="F734" s="3">
        <v>15.394185774519</v>
      </c>
      <c r="G734" s="3">
        <v>35</v>
      </c>
      <c r="H734">
        <v>3</v>
      </c>
      <c r="I734" s="3">
        <v>72.123429012557807</v>
      </c>
      <c r="J734" s="3">
        <v>83.732342976903595</v>
      </c>
      <c r="K734" s="3">
        <v>271.59981347727802</v>
      </c>
      <c r="L734" s="3">
        <v>87.086555915584796</v>
      </c>
      <c r="M734" s="3">
        <v>6.0490869853644602</v>
      </c>
      <c r="N734" s="3">
        <v>82.4300466490091</v>
      </c>
      <c r="O734" s="3">
        <v>7.2664990720854599</v>
      </c>
      <c r="P734" s="3">
        <v>43.904167733586803</v>
      </c>
      <c r="Q734" s="3">
        <v>78.195577466473594</v>
      </c>
      <c r="R734" s="3" t="str">
        <f>IF(Table1[[#This Row],[Nutrition_Quality_Score]]&lt;60, "Poor Nutrition",IF(AND(Table1[[#This Row],[Nutrition_Quality_Score]]&gt;=60,Table1[[#This Row],[Nutrition_Quality_Score]]&lt;=80),"Average Nutrition", "Good Nutrition"))</f>
        <v>Average Nutrition</v>
      </c>
      <c r="S734">
        <v>0</v>
      </c>
      <c r="T734" t="str">
        <f>IF(Table1[[#This Row],[Warmup_Routine_Adherence]]=1, "Adherent","Non-Adherent")</f>
        <v>Non-Adherent</v>
      </c>
      <c r="U734">
        <v>1</v>
      </c>
      <c r="V734" t="str">
        <f>IF(Table1[[#This Row],[Injury_Next_Season]]=1, "Injury","No Injury")</f>
        <v>Injury</v>
      </c>
      <c r="W734" s="3">
        <v>26.149276859504099</v>
      </c>
    </row>
    <row r="735" spans="1:23" x14ac:dyDescent="0.25">
      <c r="A735" s="6">
        <v>24</v>
      </c>
      <c r="B735" s="8" t="str">
        <f>CONCATENATE(Table1[[#This Row],[Age]]," ", "years")</f>
        <v>24 years</v>
      </c>
      <c r="C735">
        <v>177</v>
      </c>
      <c r="D735">
        <v>75</v>
      </c>
      <c r="E735" t="s">
        <v>22</v>
      </c>
      <c r="F735" s="3">
        <v>8.2800819282035292</v>
      </c>
      <c r="G735" s="3">
        <v>20</v>
      </c>
      <c r="H735">
        <v>0</v>
      </c>
      <c r="I735" s="3">
        <v>74.706468184673199</v>
      </c>
      <c r="J735" s="3">
        <v>73.605105560345095</v>
      </c>
      <c r="K735" s="3">
        <v>258.183974959632</v>
      </c>
      <c r="L735" s="3">
        <v>78.102445202941098</v>
      </c>
      <c r="M735" s="3">
        <v>5.7609257584187601</v>
      </c>
      <c r="N735" s="3">
        <v>71.505406695035802</v>
      </c>
      <c r="O735" s="3">
        <v>7.1534576519562298</v>
      </c>
      <c r="P735" s="3">
        <v>48.914579656527202</v>
      </c>
      <c r="Q735" s="3">
        <v>63.322778213013301</v>
      </c>
      <c r="R735" s="3" t="str">
        <f>IF(Table1[[#This Row],[Nutrition_Quality_Score]]&lt;60, "Poor Nutrition",IF(AND(Table1[[#This Row],[Nutrition_Quality_Score]]&gt;=60,Table1[[#This Row],[Nutrition_Quality_Score]]&lt;=80),"Average Nutrition", "Good Nutrition"))</f>
        <v>Average Nutrition</v>
      </c>
      <c r="S735">
        <v>0</v>
      </c>
      <c r="T735" t="str">
        <f>IF(Table1[[#This Row],[Warmup_Routine_Adherence]]=1, "Adherent","Non-Adherent")</f>
        <v>Non-Adherent</v>
      </c>
      <c r="U735">
        <v>1</v>
      </c>
      <c r="V735" t="str">
        <f>IF(Table1[[#This Row],[Injury_Next_Season]]=1, "Injury","No Injury")</f>
        <v>Injury</v>
      </c>
      <c r="W735" s="3">
        <v>23.939480992052001</v>
      </c>
    </row>
    <row r="736" spans="1:23" x14ac:dyDescent="0.25">
      <c r="A736" s="6">
        <v>20</v>
      </c>
      <c r="B736" s="8" t="str">
        <f>CONCATENATE(Table1[[#This Row],[Age]]," ", "years")</f>
        <v>20 years</v>
      </c>
      <c r="C736">
        <v>172</v>
      </c>
      <c r="D736">
        <v>85</v>
      </c>
      <c r="E736" t="s">
        <v>19</v>
      </c>
      <c r="F736" s="3">
        <v>10.914652512730401</v>
      </c>
      <c r="G736" s="3">
        <v>22</v>
      </c>
      <c r="H736">
        <v>3</v>
      </c>
      <c r="I736" s="3">
        <v>63.409773108522003</v>
      </c>
      <c r="J736" s="3">
        <v>77.505608165209097</v>
      </c>
      <c r="K736" s="3">
        <v>288.64824611764999</v>
      </c>
      <c r="L736" s="3">
        <v>82.070332897803397</v>
      </c>
      <c r="M736" s="3">
        <v>5.5905549850721403</v>
      </c>
      <c r="N736" s="3">
        <v>81.071108504434093</v>
      </c>
      <c r="O736" s="3">
        <v>5.8448325468340299</v>
      </c>
      <c r="P736" s="3">
        <v>55.844711805937301</v>
      </c>
      <c r="Q736" s="3">
        <v>71.478429902688902</v>
      </c>
      <c r="R736" s="3" t="str">
        <f>IF(Table1[[#This Row],[Nutrition_Quality_Score]]&lt;60, "Poor Nutrition",IF(AND(Table1[[#This Row],[Nutrition_Quality_Score]]&gt;=60,Table1[[#This Row],[Nutrition_Quality_Score]]&lt;=80),"Average Nutrition", "Good Nutrition"))</f>
        <v>Average Nutrition</v>
      </c>
      <c r="S736">
        <v>0</v>
      </c>
      <c r="T736" t="str">
        <f>IF(Table1[[#This Row],[Warmup_Routine_Adherence]]=1, "Adherent","Non-Adherent")</f>
        <v>Non-Adherent</v>
      </c>
      <c r="U736">
        <v>1</v>
      </c>
      <c r="V736" t="str">
        <f>IF(Table1[[#This Row],[Injury_Next_Season]]=1, "Injury","No Injury")</f>
        <v>Injury</v>
      </c>
      <c r="W736" s="3">
        <v>28.7317468902109</v>
      </c>
    </row>
    <row r="737" spans="1:23" x14ac:dyDescent="0.25">
      <c r="A737" s="6">
        <v>23</v>
      </c>
      <c r="B737" s="8" t="str">
        <f>CONCATENATE(Table1[[#This Row],[Age]]," ", "years")</f>
        <v>23 years</v>
      </c>
      <c r="C737">
        <v>188</v>
      </c>
      <c r="D737">
        <v>64</v>
      </c>
      <c r="E737" t="s">
        <v>22</v>
      </c>
      <c r="F737" s="3">
        <v>5.5718698904136197</v>
      </c>
      <c r="G737" s="3">
        <v>32</v>
      </c>
      <c r="H737">
        <v>0</v>
      </c>
      <c r="I737" s="3">
        <v>82.665171976698105</v>
      </c>
      <c r="J737" s="3">
        <v>88.891747721068796</v>
      </c>
      <c r="K737" s="3">
        <v>228.25840393934999</v>
      </c>
      <c r="L737" s="3">
        <v>89.311068927323603</v>
      </c>
      <c r="M737" s="3">
        <v>5.7499930583331</v>
      </c>
      <c r="N737" s="3">
        <v>85.135674639674505</v>
      </c>
      <c r="O737" s="3">
        <v>7.3599197257596103</v>
      </c>
      <c r="P737" s="3">
        <v>43.228696180342197</v>
      </c>
      <c r="Q737" s="3">
        <v>58.472637760596299</v>
      </c>
      <c r="R737" s="3" t="str">
        <f>IF(Table1[[#This Row],[Nutrition_Quality_Score]]&lt;60, "Poor Nutrition",IF(AND(Table1[[#This Row],[Nutrition_Quality_Score]]&gt;=60,Table1[[#This Row],[Nutrition_Quality_Score]]&lt;=80),"Average Nutrition", "Good Nutrition"))</f>
        <v>Poor Nutrition</v>
      </c>
      <c r="S737">
        <v>1</v>
      </c>
      <c r="T737" t="str">
        <f>IF(Table1[[#This Row],[Warmup_Routine_Adherence]]=1, "Adherent","Non-Adherent")</f>
        <v>Adherent</v>
      </c>
      <c r="U737">
        <v>0</v>
      </c>
      <c r="V737" t="str">
        <f>IF(Table1[[#This Row],[Injury_Next_Season]]=1, "Injury","No Injury")</f>
        <v>No Injury</v>
      </c>
      <c r="W737" s="3">
        <v>18.1077410593028</v>
      </c>
    </row>
    <row r="738" spans="1:23" x14ac:dyDescent="0.25">
      <c r="A738" s="6">
        <v>24</v>
      </c>
      <c r="B738" s="8" t="str">
        <f>CONCATENATE(Table1[[#This Row],[Age]]," ", "years")</f>
        <v>24 years</v>
      </c>
      <c r="C738">
        <v>179</v>
      </c>
      <c r="D738">
        <v>83</v>
      </c>
      <c r="E738" t="s">
        <v>20</v>
      </c>
      <c r="F738" s="3">
        <v>10.406670248236701</v>
      </c>
      <c r="G738" s="3">
        <v>37</v>
      </c>
      <c r="H738">
        <v>0</v>
      </c>
      <c r="I738" s="3">
        <v>77.163285451316696</v>
      </c>
      <c r="J738" s="3">
        <v>74.384217214947199</v>
      </c>
      <c r="K738" s="3">
        <v>248.098333223021</v>
      </c>
      <c r="L738" s="3">
        <v>92.287370353177707</v>
      </c>
      <c r="M738" s="3">
        <v>6.0450744226393702</v>
      </c>
      <c r="N738" s="3">
        <v>90.291367712474795</v>
      </c>
      <c r="O738" s="3">
        <v>7.2893933603937198</v>
      </c>
      <c r="P738" s="3">
        <v>33.386943246395901</v>
      </c>
      <c r="Q738" s="3">
        <v>86.274927349330994</v>
      </c>
      <c r="R738" s="3" t="str">
        <f>IF(Table1[[#This Row],[Nutrition_Quality_Score]]&lt;60, "Poor Nutrition",IF(AND(Table1[[#This Row],[Nutrition_Quality_Score]]&gt;=60,Table1[[#This Row],[Nutrition_Quality_Score]]&lt;=80),"Average Nutrition", "Good Nutrition"))</f>
        <v>Good Nutrition</v>
      </c>
      <c r="S738">
        <v>1</v>
      </c>
      <c r="T738" t="str">
        <f>IF(Table1[[#This Row],[Warmup_Routine_Adherence]]=1, "Adherent","Non-Adherent")</f>
        <v>Adherent</v>
      </c>
      <c r="U738">
        <v>0</v>
      </c>
      <c r="V738" t="str">
        <f>IF(Table1[[#This Row],[Injury_Next_Season]]=1, "Injury","No Injury")</f>
        <v>No Injury</v>
      </c>
      <c r="W738" s="3">
        <v>25.904310102680899</v>
      </c>
    </row>
    <row r="739" spans="1:23" x14ac:dyDescent="0.25">
      <c r="A739" s="6">
        <v>23</v>
      </c>
      <c r="B739" s="8" t="str">
        <f>CONCATENATE(Table1[[#This Row],[Age]]," ", "years")</f>
        <v>23 years</v>
      </c>
      <c r="C739">
        <v>185</v>
      </c>
      <c r="D739">
        <v>56</v>
      </c>
      <c r="E739" t="s">
        <v>20</v>
      </c>
      <c r="F739" s="3">
        <v>11.348413608318101</v>
      </c>
      <c r="G739" s="3">
        <v>8</v>
      </c>
      <c r="H739">
        <v>1</v>
      </c>
      <c r="I739" s="3">
        <v>79.347081115375801</v>
      </c>
      <c r="J739" s="3">
        <v>91.162699029883697</v>
      </c>
      <c r="K739" s="3">
        <v>252.283105812668</v>
      </c>
      <c r="L739" s="3">
        <v>89.1328189488775</v>
      </c>
      <c r="M739" s="3">
        <v>5.8915732434579002</v>
      </c>
      <c r="N739" s="3">
        <v>92.626379528920594</v>
      </c>
      <c r="O739" s="3">
        <v>8.3134663553792798</v>
      </c>
      <c r="P739" s="3">
        <v>50.8998375838353</v>
      </c>
      <c r="Q739" s="3">
        <v>84.792159606991802</v>
      </c>
      <c r="R739" s="3" t="str">
        <f>IF(Table1[[#This Row],[Nutrition_Quality_Score]]&lt;60, "Poor Nutrition",IF(AND(Table1[[#This Row],[Nutrition_Quality_Score]]&gt;=60,Table1[[#This Row],[Nutrition_Quality_Score]]&lt;=80),"Average Nutrition", "Good Nutrition"))</f>
        <v>Good Nutrition</v>
      </c>
      <c r="S739">
        <v>1</v>
      </c>
      <c r="T739" t="str">
        <f>IF(Table1[[#This Row],[Warmup_Routine_Adherence]]=1, "Adherent","Non-Adherent")</f>
        <v>Adherent</v>
      </c>
      <c r="U739">
        <v>0</v>
      </c>
      <c r="V739" t="str">
        <f>IF(Table1[[#This Row],[Injury_Next_Season]]=1, "Injury","No Injury")</f>
        <v>No Injury</v>
      </c>
      <c r="W739" s="3">
        <v>16.362308254200101</v>
      </c>
    </row>
    <row r="740" spans="1:23" x14ac:dyDescent="0.25">
      <c r="A740" s="6">
        <v>23</v>
      </c>
      <c r="B740" s="8" t="str">
        <f>CONCATENATE(Table1[[#This Row],[Age]]," ", "years")</f>
        <v>23 years</v>
      </c>
      <c r="C740">
        <v>178</v>
      </c>
      <c r="D740">
        <v>68</v>
      </c>
      <c r="E740" t="s">
        <v>19</v>
      </c>
      <c r="F740" s="3">
        <v>12.712484284046999</v>
      </c>
      <c r="G740" s="3">
        <v>13</v>
      </c>
      <c r="H740">
        <v>1</v>
      </c>
      <c r="I740" s="3">
        <v>77.216987252559804</v>
      </c>
      <c r="J740" s="3">
        <v>75.080430163458601</v>
      </c>
      <c r="K740" s="3">
        <v>264.86505897450502</v>
      </c>
      <c r="L740" s="3">
        <v>67.066146000436902</v>
      </c>
      <c r="M740" s="3">
        <v>5.7057490080630497</v>
      </c>
      <c r="N740" s="3">
        <v>70.435107766476705</v>
      </c>
      <c r="O740" s="3">
        <v>7.2238907036695696</v>
      </c>
      <c r="P740" s="3">
        <v>73.859664723861499</v>
      </c>
      <c r="Q740" s="3">
        <v>63.747337432993596</v>
      </c>
      <c r="R740" s="3" t="str">
        <f>IF(Table1[[#This Row],[Nutrition_Quality_Score]]&lt;60, "Poor Nutrition",IF(AND(Table1[[#This Row],[Nutrition_Quality_Score]]&gt;=60,Table1[[#This Row],[Nutrition_Quality_Score]]&lt;=80),"Average Nutrition", "Good Nutrition"))</f>
        <v>Average Nutrition</v>
      </c>
      <c r="S740">
        <v>0</v>
      </c>
      <c r="T740" t="str">
        <f>IF(Table1[[#This Row],[Warmup_Routine_Adherence]]=1, "Adherent","Non-Adherent")</f>
        <v>Non-Adherent</v>
      </c>
      <c r="U740">
        <v>1</v>
      </c>
      <c r="V740" t="str">
        <f>IF(Table1[[#This Row],[Injury_Next_Season]]=1, "Injury","No Injury")</f>
        <v>Injury</v>
      </c>
      <c r="W740" s="3">
        <v>21.461936624163599</v>
      </c>
    </row>
    <row r="741" spans="1:23" x14ac:dyDescent="0.25">
      <c r="A741" s="6">
        <v>18</v>
      </c>
      <c r="B741" s="8" t="str">
        <f>CONCATENATE(Table1[[#This Row],[Age]]," ", "years")</f>
        <v>18 years</v>
      </c>
      <c r="C741">
        <v>190</v>
      </c>
      <c r="D741">
        <v>66</v>
      </c>
      <c r="E741" t="s">
        <v>22</v>
      </c>
      <c r="F741" s="3">
        <v>5.9186459081885703</v>
      </c>
      <c r="G741" s="3">
        <v>6</v>
      </c>
      <c r="H741">
        <v>2</v>
      </c>
      <c r="I741" s="3">
        <v>67.460510324584902</v>
      </c>
      <c r="J741" s="3">
        <v>64.120409662165798</v>
      </c>
      <c r="K741" s="3">
        <v>297.350728155019</v>
      </c>
      <c r="L741" s="3">
        <v>78.782945563343006</v>
      </c>
      <c r="M741" s="3">
        <v>6.3264664177652898</v>
      </c>
      <c r="N741" s="3">
        <v>55.7843224824733</v>
      </c>
      <c r="O741" s="3">
        <v>6.8159870005424903</v>
      </c>
      <c r="P741" s="3">
        <v>49.470208715469099</v>
      </c>
      <c r="Q741" s="3">
        <v>82.918951400585399</v>
      </c>
      <c r="R741" s="3" t="str">
        <f>IF(Table1[[#This Row],[Nutrition_Quality_Score]]&lt;60, "Poor Nutrition",IF(AND(Table1[[#This Row],[Nutrition_Quality_Score]]&gt;=60,Table1[[#This Row],[Nutrition_Quality_Score]]&lt;=80),"Average Nutrition", "Good Nutrition"))</f>
        <v>Good Nutrition</v>
      </c>
      <c r="S741">
        <v>1</v>
      </c>
      <c r="T741" t="str">
        <f>IF(Table1[[#This Row],[Warmup_Routine_Adherence]]=1, "Adherent","Non-Adherent")</f>
        <v>Adherent</v>
      </c>
      <c r="U741">
        <v>1</v>
      </c>
      <c r="V741" t="str">
        <f>IF(Table1[[#This Row],[Injury_Next_Season]]=1, "Injury","No Injury")</f>
        <v>Injury</v>
      </c>
      <c r="W741" s="3">
        <v>18.282548476454199</v>
      </c>
    </row>
    <row r="742" spans="1:23" x14ac:dyDescent="0.25">
      <c r="A742" s="6">
        <v>21</v>
      </c>
      <c r="B742" s="8" t="str">
        <f>CONCATENATE(Table1[[#This Row],[Age]]," ", "years")</f>
        <v>21 years</v>
      </c>
      <c r="C742">
        <v>170</v>
      </c>
      <c r="D742">
        <v>71</v>
      </c>
      <c r="E742" t="s">
        <v>21</v>
      </c>
      <c r="F742" s="3">
        <v>17.669604178522299</v>
      </c>
      <c r="G742" s="3">
        <v>16</v>
      </c>
      <c r="H742">
        <v>0</v>
      </c>
      <c r="I742" s="3">
        <v>70.936938822376007</v>
      </c>
      <c r="J742" s="3">
        <v>72.135235045834307</v>
      </c>
      <c r="K742" s="3">
        <v>237.81902973654999</v>
      </c>
      <c r="L742" s="3">
        <v>78.5145765356434</v>
      </c>
      <c r="M742" s="3">
        <v>6.3161283089144797</v>
      </c>
      <c r="N742" s="3">
        <v>68.703190366545797</v>
      </c>
      <c r="O742" s="3">
        <v>6.8011369246760998</v>
      </c>
      <c r="P742" s="3">
        <v>51.507979124062103</v>
      </c>
      <c r="Q742" s="3">
        <v>69.057443088014296</v>
      </c>
      <c r="R742" s="3" t="str">
        <f>IF(Table1[[#This Row],[Nutrition_Quality_Score]]&lt;60, "Poor Nutrition",IF(AND(Table1[[#This Row],[Nutrition_Quality_Score]]&gt;=60,Table1[[#This Row],[Nutrition_Quality_Score]]&lt;=80),"Average Nutrition", "Good Nutrition"))</f>
        <v>Average Nutrition</v>
      </c>
      <c r="S742">
        <v>0</v>
      </c>
      <c r="T742" t="str">
        <f>IF(Table1[[#This Row],[Warmup_Routine_Adherence]]=1, "Adherent","Non-Adherent")</f>
        <v>Non-Adherent</v>
      </c>
      <c r="U742">
        <v>1</v>
      </c>
      <c r="V742" t="str">
        <f>IF(Table1[[#This Row],[Injury_Next_Season]]=1, "Injury","No Injury")</f>
        <v>Injury</v>
      </c>
      <c r="W742" s="3">
        <v>24.5674740484429</v>
      </c>
    </row>
    <row r="743" spans="1:23" x14ac:dyDescent="0.25">
      <c r="A743" s="6">
        <v>18</v>
      </c>
      <c r="B743" s="8" t="str">
        <f>CONCATENATE(Table1[[#This Row],[Age]]," ", "years")</f>
        <v>18 years</v>
      </c>
      <c r="C743">
        <v>187</v>
      </c>
      <c r="D743">
        <v>79</v>
      </c>
      <c r="E743" t="s">
        <v>19</v>
      </c>
      <c r="F743" s="3">
        <v>5.5921898038917899</v>
      </c>
      <c r="G743" s="3">
        <v>9</v>
      </c>
      <c r="H743">
        <v>0</v>
      </c>
      <c r="I743" s="3">
        <v>79.574935501478194</v>
      </c>
      <c r="J743" s="3">
        <v>88.802284670515604</v>
      </c>
      <c r="K743" s="3">
        <v>233.05891977819201</v>
      </c>
      <c r="L743" s="3">
        <v>83.262237081684901</v>
      </c>
      <c r="M743" s="3">
        <v>5.9250434239530803</v>
      </c>
      <c r="N743" s="3">
        <v>79.563746009725804</v>
      </c>
      <c r="O743" s="3">
        <v>8.1643638576610797</v>
      </c>
      <c r="P743" s="3">
        <v>46.985757166023703</v>
      </c>
      <c r="Q743" s="3">
        <v>67.937841351838401</v>
      </c>
      <c r="R743" s="3" t="str">
        <f>IF(Table1[[#This Row],[Nutrition_Quality_Score]]&lt;60, "Poor Nutrition",IF(AND(Table1[[#This Row],[Nutrition_Quality_Score]]&gt;=60,Table1[[#This Row],[Nutrition_Quality_Score]]&lt;=80),"Average Nutrition", "Good Nutrition"))</f>
        <v>Average Nutrition</v>
      </c>
      <c r="S743">
        <v>1</v>
      </c>
      <c r="T743" t="str">
        <f>IF(Table1[[#This Row],[Warmup_Routine_Adherence]]=1, "Adherent","Non-Adherent")</f>
        <v>Adherent</v>
      </c>
      <c r="U743">
        <v>0</v>
      </c>
      <c r="V743" t="str">
        <f>IF(Table1[[#This Row],[Injury_Next_Season]]=1, "Injury","No Injury")</f>
        <v>No Injury</v>
      </c>
      <c r="W743" s="3">
        <v>22.5914381309159</v>
      </c>
    </row>
    <row r="744" spans="1:23" x14ac:dyDescent="0.25">
      <c r="A744" s="6">
        <v>20</v>
      </c>
      <c r="B744" s="8" t="str">
        <f>CONCATENATE(Table1[[#This Row],[Age]]," ", "years")</f>
        <v>20 years</v>
      </c>
      <c r="C744">
        <v>175</v>
      </c>
      <c r="D744">
        <v>101</v>
      </c>
      <c r="E744" t="s">
        <v>20</v>
      </c>
      <c r="F744" s="3">
        <v>10.062784616031999</v>
      </c>
      <c r="G744" s="3">
        <v>37</v>
      </c>
      <c r="H744">
        <v>3</v>
      </c>
      <c r="I744" s="3">
        <v>70.831329525974297</v>
      </c>
      <c r="J744" s="3">
        <v>80.969873882943205</v>
      </c>
      <c r="K744" s="3">
        <v>219.97604985035099</v>
      </c>
      <c r="L744" s="3">
        <v>79.046105247776694</v>
      </c>
      <c r="M744" s="3">
        <v>5.9833084190963302</v>
      </c>
      <c r="N744" s="3">
        <v>81.453156815654694</v>
      </c>
      <c r="O744" s="3">
        <v>7.4773557918303197</v>
      </c>
      <c r="P744" s="3">
        <v>64.643382581009902</v>
      </c>
      <c r="Q744" s="3">
        <v>77.743957749686402</v>
      </c>
      <c r="R744" s="3" t="str">
        <f>IF(Table1[[#This Row],[Nutrition_Quality_Score]]&lt;60, "Poor Nutrition",IF(AND(Table1[[#This Row],[Nutrition_Quality_Score]]&gt;=60,Table1[[#This Row],[Nutrition_Quality_Score]]&lt;=80),"Average Nutrition", "Good Nutrition"))</f>
        <v>Average Nutrition</v>
      </c>
      <c r="S744">
        <v>0</v>
      </c>
      <c r="T744" t="str">
        <f>IF(Table1[[#This Row],[Warmup_Routine_Adherence]]=1, "Adherent","Non-Adherent")</f>
        <v>Non-Adherent</v>
      </c>
      <c r="U744">
        <v>1</v>
      </c>
      <c r="V744" t="str">
        <f>IF(Table1[[#This Row],[Injury_Next_Season]]=1, "Injury","No Injury")</f>
        <v>Injury</v>
      </c>
      <c r="W744" s="3">
        <v>32.979591836734599</v>
      </c>
    </row>
    <row r="745" spans="1:23" x14ac:dyDescent="0.25">
      <c r="A745" s="6">
        <v>21</v>
      </c>
      <c r="B745" s="8" t="str">
        <f>CONCATENATE(Table1[[#This Row],[Age]]," ", "years")</f>
        <v>21 years</v>
      </c>
      <c r="C745">
        <v>174</v>
      </c>
      <c r="D745">
        <v>88</v>
      </c>
      <c r="E745" t="s">
        <v>20</v>
      </c>
      <c r="F745" s="3">
        <v>7.4619135149399902</v>
      </c>
      <c r="G745" s="3">
        <v>28</v>
      </c>
      <c r="H745">
        <v>2</v>
      </c>
      <c r="I745" s="3">
        <v>69.560688904828297</v>
      </c>
      <c r="J745" s="3">
        <v>70.974006506089907</v>
      </c>
      <c r="K745" s="3">
        <v>267.62669343573998</v>
      </c>
      <c r="L745" s="3">
        <v>76.733983778643307</v>
      </c>
      <c r="M745" s="3">
        <v>5.5077012150752402</v>
      </c>
      <c r="N745" s="3">
        <v>75.750551369124594</v>
      </c>
      <c r="O745" s="3">
        <v>6.88800635075747</v>
      </c>
      <c r="P745" s="3">
        <v>56.797815885914801</v>
      </c>
      <c r="Q745" s="3">
        <v>70.1236956273397</v>
      </c>
      <c r="R745" s="3" t="str">
        <f>IF(Table1[[#This Row],[Nutrition_Quality_Score]]&lt;60, "Poor Nutrition",IF(AND(Table1[[#This Row],[Nutrition_Quality_Score]]&gt;=60,Table1[[#This Row],[Nutrition_Quality_Score]]&lt;=80),"Average Nutrition", "Good Nutrition"))</f>
        <v>Average Nutrition</v>
      </c>
      <c r="S745">
        <v>0</v>
      </c>
      <c r="T745" t="str">
        <f>IF(Table1[[#This Row],[Warmup_Routine_Adherence]]=1, "Adherent","Non-Adherent")</f>
        <v>Non-Adherent</v>
      </c>
      <c r="U745">
        <v>1</v>
      </c>
      <c r="V745" t="str">
        <f>IF(Table1[[#This Row],[Injury_Next_Season]]=1, "Injury","No Injury")</f>
        <v>Injury</v>
      </c>
      <c r="W745" s="3">
        <v>29.065926806711499</v>
      </c>
    </row>
    <row r="746" spans="1:23" x14ac:dyDescent="0.25">
      <c r="A746" s="6">
        <v>18</v>
      </c>
      <c r="B746" s="8" t="str">
        <f>CONCATENATE(Table1[[#This Row],[Age]]," ", "years")</f>
        <v>18 years</v>
      </c>
      <c r="C746">
        <v>178</v>
      </c>
      <c r="D746">
        <v>68</v>
      </c>
      <c r="E746" t="s">
        <v>20</v>
      </c>
      <c r="F746" s="3">
        <v>9.8454295472628193</v>
      </c>
      <c r="G746" s="3">
        <v>32</v>
      </c>
      <c r="H746">
        <v>2</v>
      </c>
      <c r="I746" s="3">
        <v>71.582673408328006</v>
      </c>
      <c r="J746" s="3">
        <v>68.053388336692905</v>
      </c>
      <c r="K746" s="3">
        <v>267.790764496674</v>
      </c>
      <c r="L746" s="3">
        <v>82.615568543850699</v>
      </c>
      <c r="M746" s="3">
        <v>5.8837267832365496</v>
      </c>
      <c r="N746" s="3">
        <v>67.444305624641004</v>
      </c>
      <c r="O746" s="3">
        <v>7.7276121963600497</v>
      </c>
      <c r="P746" s="3">
        <v>66.0848567727312</v>
      </c>
      <c r="Q746" s="3">
        <v>71.248427783499395</v>
      </c>
      <c r="R746" s="3" t="str">
        <f>IF(Table1[[#This Row],[Nutrition_Quality_Score]]&lt;60, "Poor Nutrition",IF(AND(Table1[[#This Row],[Nutrition_Quality_Score]]&gt;=60,Table1[[#This Row],[Nutrition_Quality_Score]]&lt;=80),"Average Nutrition", "Good Nutrition"))</f>
        <v>Average Nutrition</v>
      </c>
      <c r="S746">
        <v>0</v>
      </c>
      <c r="T746" t="str">
        <f>IF(Table1[[#This Row],[Warmup_Routine_Adherence]]=1, "Adherent","Non-Adherent")</f>
        <v>Non-Adherent</v>
      </c>
      <c r="U746">
        <v>1</v>
      </c>
      <c r="V746" t="str">
        <f>IF(Table1[[#This Row],[Injury_Next_Season]]=1, "Injury","No Injury")</f>
        <v>Injury</v>
      </c>
      <c r="W746" s="3">
        <v>21.461936624163599</v>
      </c>
    </row>
    <row r="747" spans="1:23" x14ac:dyDescent="0.25">
      <c r="A747" s="6">
        <v>20</v>
      </c>
      <c r="B747" s="8" t="str">
        <f>CONCATENATE(Table1[[#This Row],[Age]]," ", "years")</f>
        <v>20 years</v>
      </c>
      <c r="C747">
        <v>154</v>
      </c>
      <c r="D747">
        <v>66</v>
      </c>
      <c r="E747" t="s">
        <v>20</v>
      </c>
      <c r="F747" s="3">
        <v>8.3728080716053093</v>
      </c>
      <c r="G747" s="3">
        <v>9</v>
      </c>
      <c r="H747">
        <v>1</v>
      </c>
      <c r="I747" s="3">
        <v>70.538846675705301</v>
      </c>
      <c r="J747" s="3">
        <v>72.236197421432706</v>
      </c>
      <c r="K747" s="3">
        <v>289.56264391498303</v>
      </c>
      <c r="L747" s="3">
        <v>89.057236715484905</v>
      </c>
      <c r="M747" s="3">
        <v>5.8057876452706898</v>
      </c>
      <c r="N747" s="3">
        <v>76.656544873490006</v>
      </c>
      <c r="O747" s="3">
        <v>6.9100089934657101</v>
      </c>
      <c r="P747" s="3">
        <v>57.469218525214004</v>
      </c>
      <c r="Q747" s="3">
        <v>50</v>
      </c>
      <c r="R747" s="3" t="str">
        <f>IF(Table1[[#This Row],[Nutrition_Quality_Score]]&lt;60, "Poor Nutrition",IF(AND(Table1[[#This Row],[Nutrition_Quality_Score]]&gt;=60,Table1[[#This Row],[Nutrition_Quality_Score]]&lt;=80),"Average Nutrition", "Good Nutrition"))</f>
        <v>Poor Nutrition</v>
      </c>
      <c r="S747">
        <v>1</v>
      </c>
      <c r="T747" t="str">
        <f>IF(Table1[[#This Row],[Warmup_Routine_Adherence]]=1, "Adherent","Non-Adherent")</f>
        <v>Adherent</v>
      </c>
      <c r="U747">
        <v>1</v>
      </c>
      <c r="V747" t="str">
        <f>IF(Table1[[#This Row],[Injury_Next_Season]]=1, "Injury","No Injury")</f>
        <v>Injury</v>
      </c>
      <c r="W747" s="3">
        <v>27.829313543599199</v>
      </c>
    </row>
    <row r="748" spans="1:23" x14ac:dyDescent="0.25">
      <c r="A748" s="6">
        <v>18</v>
      </c>
      <c r="B748" s="8" t="str">
        <f>CONCATENATE(Table1[[#This Row],[Age]]," ", "years")</f>
        <v>18 years</v>
      </c>
      <c r="C748">
        <v>174</v>
      </c>
      <c r="D748">
        <v>83</v>
      </c>
      <c r="E748" t="s">
        <v>22</v>
      </c>
      <c r="F748" s="3">
        <v>12.2862556884524</v>
      </c>
      <c r="G748" s="3">
        <v>18</v>
      </c>
      <c r="H748">
        <v>2</v>
      </c>
      <c r="I748" s="3">
        <v>80.175680308328495</v>
      </c>
      <c r="J748" s="3">
        <v>80.934997622342394</v>
      </c>
      <c r="K748" s="3">
        <v>233.066514187199</v>
      </c>
      <c r="L748" s="3">
        <v>92.384718089476493</v>
      </c>
      <c r="M748" s="3">
        <v>6.3641645687305299</v>
      </c>
      <c r="N748" s="3">
        <v>79.089615911057805</v>
      </c>
      <c r="O748" s="3">
        <v>8.3199243216025298</v>
      </c>
      <c r="P748" s="3">
        <v>46.449962516840301</v>
      </c>
      <c r="Q748" s="3">
        <v>87.081884597510793</v>
      </c>
      <c r="R748" s="3" t="str">
        <f>IF(Table1[[#This Row],[Nutrition_Quality_Score]]&lt;60, "Poor Nutrition",IF(AND(Table1[[#This Row],[Nutrition_Quality_Score]]&gt;=60,Table1[[#This Row],[Nutrition_Quality_Score]]&lt;=80),"Average Nutrition", "Good Nutrition"))</f>
        <v>Good Nutrition</v>
      </c>
      <c r="S748">
        <v>0</v>
      </c>
      <c r="T748" t="str">
        <f>IF(Table1[[#This Row],[Warmup_Routine_Adherence]]=1, "Adherent","Non-Adherent")</f>
        <v>Non-Adherent</v>
      </c>
      <c r="U748">
        <v>0</v>
      </c>
      <c r="V748" t="str">
        <f>IF(Table1[[#This Row],[Injury_Next_Season]]=1, "Injury","No Injury")</f>
        <v>No Injury</v>
      </c>
      <c r="W748" s="3">
        <v>27.414453692693801</v>
      </c>
    </row>
    <row r="749" spans="1:23" x14ac:dyDescent="0.25">
      <c r="A749" s="6">
        <v>23</v>
      </c>
      <c r="B749" s="8" t="str">
        <f>CONCATENATE(Table1[[#This Row],[Age]]," ", "years")</f>
        <v>23 years</v>
      </c>
      <c r="C749">
        <v>190</v>
      </c>
      <c r="D749">
        <v>62</v>
      </c>
      <c r="E749" t="s">
        <v>21</v>
      </c>
      <c r="F749" s="3">
        <v>8.4296538776792307</v>
      </c>
      <c r="G749" s="3">
        <v>33</v>
      </c>
      <c r="H749">
        <v>2</v>
      </c>
      <c r="I749" s="3">
        <v>66.750058256610401</v>
      </c>
      <c r="J749" s="3">
        <v>75.305217699729894</v>
      </c>
      <c r="K749" s="3">
        <v>251.83050594479701</v>
      </c>
      <c r="L749" s="3">
        <v>81.747555857024906</v>
      </c>
      <c r="M749" s="3">
        <v>5.7720136220255203</v>
      </c>
      <c r="N749" s="3">
        <v>75.402993413917898</v>
      </c>
      <c r="O749" s="3">
        <v>6.8331974525844297</v>
      </c>
      <c r="P749" s="3">
        <v>69.703309320312499</v>
      </c>
      <c r="Q749" s="3">
        <v>77.916398964387497</v>
      </c>
      <c r="R749" s="3" t="str">
        <f>IF(Table1[[#This Row],[Nutrition_Quality_Score]]&lt;60, "Poor Nutrition",IF(AND(Table1[[#This Row],[Nutrition_Quality_Score]]&gt;=60,Table1[[#This Row],[Nutrition_Quality_Score]]&lt;=80),"Average Nutrition", "Good Nutrition"))</f>
        <v>Average Nutrition</v>
      </c>
      <c r="S749">
        <v>1</v>
      </c>
      <c r="T749" t="str">
        <f>IF(Table1[[#This Row],[Warmup_Routine_Adherence]]=1, "Adherent","Non-Adherent")</f>
        <v>Adherent</v>
      </c>
      <c r="U749">
        <v>1</v>
      </c>
      <c r="V749" t="str">
        <f>IF(Table1[[#This Row],[Injury_Next_Season]]=1, "Injury","No Injury")</f>
        <v>Injury</v>
      </c>
      <c r="W749" s="3">
        <v>17.174515235457001</v>
      </c>
    </row>
    <row r="750" spans="1:23" x14ac:dyDescent="0.25">
      <c r="A750" s="6">
        <v>18</v>
      </c>
      <c r="B750" s="8" t="str">
        <f>CONCATENATE(Table1[[#This Row],[Age]]," ", "years")</f>
        <v>18 years</v>
      </c>
      <c r="C750">
        <v>179</v>
      </c>
      <c r="D750">
        <v>77</v>
      </c>
      <c r="E750" t="s">
        <v>22</v>
      </c>
      <c r="F750" s="3">
        <v>7.0654259659769796</v>
      </c>
      <c r="G750" s="3">
        <v>18</v>
      </c>
      <c r="H750">
        <v>1</v>
      </c>
      <c r="I750" s="3">
        <v>61.545745427295103</v>
      </c>
      <c r="J750" s="3">
        <v>67.485307906765101</v>
      </c>
      <c r="K750" s="3">
        <v>259.71971990482598</v>
      </c>
      <c r="L750" s="3">
        <v>82.935070554303806</v>
      </c>
      <c r="M750" s="3">
        <v>6.26371556738499</v>
      </c>
      <c r="N750" s="3">
        <v>54.6246864501435</v>
      </c>
      <c r="O750" s="3">
        <v>7.3135433993196299</v>
      </c>
      <c r="P750" s="3">
        <v>63.510169210571298</v>
      </c>
      <c r="Q750" s="3">
        <v>67.088441817182698</v>
      </c>
      <c r="R750" s="3" t="str">
        <f>IF(Table1[[#This Row],[Nutrition_Quality_Score]]&lt;60, "Poor Nutrition",IF(AND(Table1[[#This Row],[Nutrition_Quality_Score]]&gt;=60,Table1[[#This Row],[Nutrition_Quality_Score]]&lt;=80),"Average Nutrition", "Good Nutrition"))</f>
        <v>Average Nutrition</v>
      </c>
      <c r="S750">
        <v>0</v>
      </c>
      <c r="T750" t="str">
        <f>IF(Table1[[#This Row],[Warmup_Routine_Adherence]]=1, "Adherent","Non-Adherent")</f>
        <v>Non-Adherent</v>
      </c>
      <c r="U750">
        <v>1</v>
      </c>
      <c r="V750" t="str">
        <f>IF(Table1[[#This Row],[Injury_Next_Season]]=1, "Injury","No Injury")</f>
        <v>Injury</v>
      </c>
      <c r="W750" s="3">
        <v>24.031709372366599</v>
      </c>
    </row>
    <row r="751" spans="1:23" x14ac:dyDescent="0.25">
      <c r="A751" s="6">
        <v>24</v>
      </c>
      <c r="B751" s="8" t="str">
        <f>CONCATENATE(Table1[[#This Row],[Age]]," ", "years")</f>
        <v>24 years</v>
      </c>
      <c r="C751">
        <v>178</v>
      </c>
      <c r="D751">
        <v>73</v>
      </c>
      <c r="E751" t="s">
        <v>19</v>
      </c>
      <c r="F751" s="3">
        <v>13.3218504555021</v>
      </c>
      <c r="G751" s="3">
        <v>26</v>
      </c>
      <c r="H751">
        <v>1</v>
      </c>
      <c r="I751" s="3">
        <v>68.651504499915802</v>
      </c>
      <c r="J751" s="3">
        <v>82.757132093674997</v>
      </c>
      <c r="K751" s="3">
        <v>263.14803025083899</v>
      </c>
      <c r="L751" s="3">
        <v>91.549514857495595</v>
      </c>
      <c r="M751" s="3">
        <v>6.08903676151614</v>
      </c>
      <c r="N751" s="3">
        <v>80.557618800441105</v>
      </c>
      <c r="O751" s="3">
        <v>6.8336266713094203</v>
      </c>
      <c r="P751" s="3">
        <v>50.820663284984199</v>
      </c>
      <c r="Q751" s="3">
        <v>73.7835174666006</v>
      </c>
      <c r="R751" s="3" t="str">
        <f>IF(Table1[[#This Row],[Nutrition_Quality_Score]]&lt;60, "Poor Nutrition",IF(AND(Table1[[#This Row],[Nutrition_Quality_Score]]&gt;=60,Table1[[#This Row],[Nutrition_Quality_Score]]&lt;=80),"Average Nutrition", "Good Nutrition"))</f>
        <v>Average Nutrition</v>
      </c>
      <c r="S751">
        <v>0</v>
      </c>
      <c r="T751" t="str">
        <f>IF(Table1[[#This Row],[Warmup_Routine_Adherence]]=1, "Adherent","Non-Adherent")</f>
        <v>Non-Adherent</v>
      </c>
      <c r="U751">
        <v>1</v>
      </c>
      <c r="V751" t="str">
        <f>IF(Table1[[#This Row],[Injury_Next_Season]]=1, "Injury","No Injury")</f>
        <v>Injury</v>
      </c>
      <c r="W751" s="3">
        <v>23.040020199469701</v>
      </c>
    </row>
    <row r="752" spans="1:23" x14ac:dyDescent="0.25">
      <c r="A752" s="6">
        <v>22</v>
      </c>
      <c r="B752" s="8" t="str">
        <f>CONCATENATE(Table1[[#This Row],[Age]]," ", "years")</f>
        <v>22 years</v>
      </c>
      <c r="C752">
        <v>186</v>
      </c>
      <c r="D752">
        <v>79</v>
      </c>
      <c r="E752" t="s">
        <v>21</v>
      </c>
      <c r="F752" s="3">
        <v>8.7734930021146198</v>
      </c>
      <c r="G752" s="3">
        <v>6</v>
      </c>
      <c r="H752">
        <v>1</v>
      </c>
      <c r="I752" s="3">
        <v>90.239634144755598</v>
      </c>
      <c r="J752" s="3">
        <v>85.950753261285598</v>
      </c>
      <c r="K752" s="3">
        <v>262.445693683157</v>
      </c>
      <c r="L752" s="3">
        <v>80.940897726032205</v>
      </c>
      <c r="M752" s="3">
        <v>5.7850570127035104</v>
      </c>
      <c r="N752" s="3">
        <v>80.578577484150799</v>
      </c>
      <c r="O752" s="3">
        <v>9.0311122466047493</v>
      </c>
      <c r="P752" s="3">
        <v>42.515575734977098</v>
      </c>
      <c r="Q752" s="3">
        <v>81.312739913699104</v>
      </c>
      <c r="R752" s="3" t="str">
        <f>IF(Table1[[#This Row],[Nutrition_Quality_Score]]&lt;60, "Poor Nutrition",IF(AND(Table1[[#This Row],[Nutrition_Quality_Score]]&gt;=60,Table1[[#This Row],[Nutrition_Quality_Score]]&lt;=80),"Average Nutrition", "Good Nutrition"))</f>
        <v>Good Nutrition</v>
      </c>
      <c r="S752">
        <v>1</v>
      </c>
      <c r="T752" t="str">
        <f>IF(Table1[[#This Row],[Warmup_Routine_Adherence]]=1, "Adherent","Non-Adherent")</f>
        <v>Adherent</v>
      </c>
      <c r="U752">
        <v>0</v>
      </c>
      <c r="V752" t="str">
        <f>IF(Table1[[#This Row],[Injury_Next_Season]]=1, "Injury","No Injury")</f>
        <v>No Injury</v>
      </c>
      <c r="W752" s="3">
        <v>22.835009827725699</v>
      </c>
    </row>
    <row r="753" spans="1:23" x14ac:dyDescent="0.25">
      <c r="A753" s="6">
        <v>24</v>
      </c>
      <c r="B753" s="8" t="str">
        <f>CONCATENATE(Table1[[#This Row],[Age]]," ", "years")</f>
        <v>24 years</v>
      </c>
      <c r="C753">
        <v>173</v>
      </c>
      <c r="D753">
        <v>51</v>
      </c>
      <c r="E753" t="s">
        <v>22</v>
      </c>
      <c r="F753" s="3">
        <v>9.7121830576096002</v>
      </c>
      <c r="G753" s="3">
        <v>20</v>
      </c>
      <c r="H753">
        <v>2</v>
      </c>
      <c r="I753" s="3">
        <v>78.621380768142402</v>
      </c>
      <c r="J753" s="3">
        <v>90.944172639388896</v>
      </c>
      <c r="K753" s="3">
        <v>233.481183983335</v>
      </c>
      <c r="L753" s="3">
        <v>77.250503944249502</v>
      </c>
      <c r="M753" s="3">
        <v>6.1694660871934301</v>
      </c>
      <c r="N753" s="3">
        <v>82.020226334689596</v>
      </c>
      <c r="O753" s="3">
        <v>6.4665117270461296</v>
      </c>
      <c r="P753" s="3">
        <v>48.884605950269297</v>
      </c>
      <c r="Q753" s="3">
        <v>72.647106363258501</v>
      </c>
      <c r="R753" s="3" t="str">
        <f>IF(Table1[[#This Row],[Nutrition_Quality_Score]]&lt;60, "Poor Nutrition",IF(AND(Table1[[#This Row],[Nutrition_Quality_Score]]&gt;=60,Table1[[#This Row],[Nutrition_Quality_Score]]&lt;=80),"Average Nutrition", "Good Nutrition"))</f>
        <v>Average Nutrition</v>
      </c>
      <c r="S753">
        <v>1</v>
      </c>
      <c r="T753" t="str">
        <f>IF(Table1[[#This Row],[Warmup_Routine_Adherence]]=1, "Adherent","Non-Adherent")</f>
        <v>Adherent</v>
      </c>
      <c r="U753">
        <v>0</v>
      </c>
      <c r="V753" t="str">
        <f>IF(Table1[[#This Row],[Injury_Next_Season]]=1, "Injury","No Injury")</f>
        <v>No Injury</v>
      </c>
      <c r="W753" s="3">
        <v>17.040328778108101</v>
      </c>
    </row>
    <row r="754" spans="1:23" x14ac:dyDescent="0.25">
      <c r="A754" s="6">
        <v>23</v>
      </c>
      <c r="B754" s="8" t="str">
        <f>CONCATENATE(Table1[[#This Row],[Age]]," ", "years")</f>
        <v>23 years</v>
      </c>
      <c r="C754">
        <v>175</v>
      </c>
      <c r="D754">
        <v>82</v>
      </c>
      <c r="E754" t="s">
        <v>20</v>
      </c>
      <c r="F754" s="3">
        <v>11.0619201846543</v>
      </c>
      <c r="G754" s="3">
        <v>33</v>
      </c>
      <c r="H754">
        <v>3</v>
      </c>
      <c r="I754" s="3">
        <v>71.672713401597207</v>
      </c>
      <c r="J754" s="3">
        <v>90.914392441597798</v>
      </c>
      <c r="K754" s="3">
        <v>253.64959941497099</v>
      </c>
      <c r="L754" s="3">
        <v>90.191970067447699</v>
      </c>
      <c r="M754" s="3">
        <v>5.9839049941224403</v>
      </c>
      <c r="N754" s="3">
        <v>82.004205046685797</v>
      </c>
      <c r="O754" s="3">
        <v>8.0314039910271298</v>
      </c>
      <c r="P754" s="3">
        <v>40.244109885629697</v>
      </c>
      <c r="Q754" s="3">
        <v>91.265697945697099</v>
      </c>
      <c r="R754" s="3" t="str">
        <f>IF(Table1[[#This Row],[Nutrition_Quality_Score]]&lt;60, "Poor Nutrition",IF(AND(Table1[[#This Row],[Nutrition_Quality_Score]]&gt;=60,Table1[[#This Row],[Nutrition_Quality_Score]]&lt;=80),"Average Nutrition", "Good Nutrition"))</f>
        <v>Good Nutrition</v>
      </c>
      <c r="S754">
        <v>0</v>
      </c>
      <c r="T754" t="str">
        <f>IF(Table1[[#This Row],[Warmup_Routine_Adherence]]=1, "Adherent","Non-Adherent")</f>
        <v>Non-Adherent</v>
      </c>
      <c r="U754">
        <v>0</v>
      </c>
      <c r="V754" t="str">
        <f>IF(Table1[[#This Row],[Injury_Next_Season]]=1, "Injury","No Injury")</f>
        <v>No Injury</v>
      </c>
      <c r="W754" s="3">
        <v>26.775510204081598</v>
      </c>
    </row>
    <row r="755" spans="1:23" x14ac:dyDescent="0.25">
      <c r="A755" s="6">
        <v>24</v>
      </c>
      <c r="B755" s="8" t="str">
        <f>CONCATENATE(Table1[[#This Row],[Age]]," ", "years")</f>
        <v>24 years</v>
      </c>
      <c r="C755">
        <v>167</v>
      </c>
      <c r="D755">
        <v>61</v>
      </c>
      <c r="E755" t="s">
        <v>21</v>
      </c>
      <c r="F755" s="3">
        <v>8.7908667318738196</v>
      </c>
      <c r="G755" s="3">
        <v>27</v>
      </c>
      <c r="H755">
        <v>1</v>
      </c>
      <c r="I755" s="3">
        <v>77.040186476189206</v>
      </c>
      <c r="J755" s="3">
        <v>81.098098609840306</v>
      </c>
      <c r="K755" s="3">
        <v>242.66537347715499</v>
      </c>
      <c r="L755" s="3">
        <v>80.348572730097501</v>
      </c>
      <c r="M755" s="3">
        <v>5.7733922955588204</v>
      </c>
      <c r="N755" s="3">
        <v>74.179207513547894</v>
      </c>
      <c r="O755" s="3">
        <v>7.6550483100312698</v>
      </c>
      <c r="P755" s="3">
        <v>51.824352876342203</v>
      </c>
      <c r="Q755" s="3">
        <v>89.207400215866102</v>
      </c>
      <c r="R755" s="3" t="str">
        <f>IF(Table1[[#This Row],[Nutrition_Quality_Score]]&lt;60, "Poor Nutrition",IF(AND(Table1[[#This Row],[Nutrition_Quality_Score]]&gt;=60,Table1[[#This Row],[Nutrition_Quality_Score]]&lt;=80),"Average Nutrition", "Good Nutrition"))</f>
        <v>Good Nutrition</v>
      </c>
      <c r="S755">
        <v>1</v>
      </c>
      <c r="T755" t="str">
        <f>IF(Table1[[#This Row],[Warmup_Routine_Adherence]]=1, "Adherent","Non-Adherent")</f>
        <v>Adherent</v>
      </c>
      <c r="U755">
        <v>0</v>
      </c>
      <c r="V755" t="str">
        <f>IF(Table1[[#This Row],[Injury_Next_Season]]=1, "Injury","No Injury")</f>
        <v>No Injury</v>
      </c>
      <c r="W755" s="3">
        <v>21.872422819032501</v>
      </c>
    </row>
    <row r="756" spans="1:23" x14ac:dyDescent="0.25">
      <c r="A756" s="6">
        <v>19</v>
      </c>
      <c r="B756" s="8" t="str">
        <f>CONCATENATE(Table1[[#This Row],[Age]]," ", "years")</f>
        <v>19 years</v>
      </c>
      <c r="C756">
        <v>175</v>
      </c>
      <c r="D756">
        <v>83</v>
      </c>
      <c r="E756" t="s">
        <v>21</v>
      </c>
      <c r="F756" s="3">
        <v>11.517956652272799</v>
      </c>
      <c r="G756" s="3">
        <v>17</v>
      </c>
      <c r="H756">
        <v>0</v>
      </c>
      <c r="I756" s="3">
        <v>85.348355160880899</v>
      </c>
      <c r="J756" s="3">
        <v>84.394316329951195</v>
      </c>
      <c r="K756" s="3">
        <v>234.27272427771999</v>
      </c>
      <c r="L756" s="3">
        <v>78.645472789249396</v>
      </c>
      <c r="M756" s="3">
        <v>6.4407645109640903</v>
      </c>
      <c r="N756" s="3">
        <v>80.853612075925398</v>
      </c>
      <c r="O756" s="3">
        <v>7.2017236338159201</v>
      </c>
      <c r="P756" s="3">
        <v>35.061051781958</v>
      </c>
      <c r="Q756" s="3">
        <v>68.743606961798307</v>
      </c>
      <c r="R756" s="3" t="str">
        <f>IF(Table1[[#This Row],[Nutrition_Quality_Score]]&lt;60, "Poor Nutrition",IF(AND(Table1[[#This Row],[Nutrition_Quality_Score]]&gt;=60,Table1[[#This Row],[Nutrition_Quality_Score]]&lt;=80),"Average Nutrition", "Good Nutrition"))</f>
        <v>Average Nutrition</v>
      </c>
      <c r="S756">
        <v>1</v>
      </c>
      <c r="T756" t="str">
        <f>IF(Table1[[#This Row],[Warmup_Routine_Adherence]]=1, "Adherent","Non-Adherent")</f>
        <v>Adherent</v>
      </c>
      <c r="U756">
        <v>0</v>
      </c>
      <c r="V756" t="str">
        <f>IF(Table1[[#This Row],[Injury_Next_Season]]=1, "Injury","No Injury")</f>
        <v>No Injury</v>
      </c>
      <c r="W756" s="3">
        <v>27.1020408163265</v>
      </c>
    </row>
    <row r="757" spans="1:23" x14ac:dyDescent="0.25">
      <c r="A757" s="6">
        <v>23</v>
      </c>
      <c r="B757" s="8" t="str">
        <f>CONCATENATE(Table1[[#This Row],[Age]]," ", "years")</f>
        <v>23 years</v>
      </c>
      <c r="C757">
        <v>175</v>
      </c>
      <c r="D757">
        <v>75</v>
      </c>
      <c r="E757" t="s">
        <v>21</v>
      </c>
      <c r="F757" s="3">
        <v>11.2715430869664</v>
      </c>
      <c r="G757" s="3">
        <v>15</v>
      </c>
      <c r="H757">
        <v>4</v>
      </c>
      <c r="I757" s="3">
        <v>74.055819386136093</v>
      </c>
      <c r="J757" s="3">
        <v>74.428052982781196</v>
      </c>
      <c r="K757" s="3">
        <v>280.356151475736</v>
      </c>
      <c r="L757" s="3">
        <v>72.253518745489401</v>
      </c>
      <c r="M757" s="3">
        <v>5.5648250792610803</v>
      </c>
      <c r="N757" s="3">
        <v>70.069842631318394</v>
      </c>
      <c r="O757" s="3">
        <v>7.1209634643111297</v>
      </c>
      <c r="P757" s="3">
        <v>43.954918988735699</v>
      </c>
      <c r="Q757" s="3">
        <v>60.721504888661599</v>
      </c>
      <c r="R757" s="3" t="str">
        <f>IF(Table1[[#This Row],[Nutrition_Quality_Score]]&lt;60, "Poor Nutrition",IF(AND(Table1[[#This Row],[Nutrition_Quality_Score]]&gt;=60,Table1[[#This Row],[Nutrition_Quality_Score]]&lt;=80),"Average Nutrition", "Good Nutrition"))</f>
        <v>Average Nutrition</v>
      </c>
      <c r="S757">
        <v>0</v>
      </c>
      <c r="T757" t="str">
        <f>IF(Table1[[#This Row],[Warmup_Routine_Adherence]]=1, "Adherent","Non-Adherent")</f>
        <v>Non-Adherent</v>
      </c>
      <c r="U757">
        <v>1</v>
      </c>
      <c r="V757" t="str">
        <f>IF(Table1[[#This Row],[Injury_Next_Season]]=1, "Injury","No Injury")</f>
        <v>Injury</v>
      </c>
      <c r="W757" s="3">
        <v>24.4897959183673</v>
      </c>
    </row>
    <row r="758" spans="1:23" x14ac:dyDescent="0.25">
      <c r="A758" s="6">
        <v>23</v>
      </c>
      <c r="B758" s="8" t="str">
        <f>CONCATENATE(Table1[[#This Row],[Age]]," ", "years")</f>
        <v>23 years</v>
      </c>
      <c r="C758">
        <v>179</v>
      </c>
      <c r="D758">
        <v>65</v>
      </c>
      <c r="E758" t="s">
        <v>22</v>
      </c>
      <c r="F758" s="3">
        <v>9.7299035627516002</v>
      </c>
      <c r="G758" s="3">
        <v>27</v>
      </c>
      <c r="H758">
        <v>1</v>
      </c>
      <c r="I758" s="3">
        <v>80.731906147845606</v>
      </c>
      <c r="J758" s="3">
        <v>77.605879800867001</v>
      </c>
      <c r="K758" s="3">
        <v>244.02481882520601</v>
      </c>
      <c r="L758" s="3">
        <v>87.775342976578699</v>
      </c>
      <c r="M758" s="3">
        <v>6.2837647005131796</v>
      </c>
      <c r="N758" s="3">
        <v>79.342429081572703</v>
      </c>
      <c r="O758" s="3">
        <v>6.9140897715346403</v>
      </c>
      <c r="P758" s="3">
        <v>43.490068135192601</v>
      </c>
      <c r="Q758" s="3">
        <v>87.543418876480601</v>
      </c>
      <c r="R758" s="3" t="str">
        <f>IF(Table1[[#This Row],[Nutrition_Quality_Score]]&lt;60, "Poor Nutrition",IF(AND(Table1[[#This Row],[Nutrition_Quality_Score]]&gt;=60,Table1[[#This Row],[Nutrition_Quality_Score]]&lt;=80),"Average Nutrition", "Good Nutrition"))</f>
        <v>Good Nutrition</v>
      </c>
      <c r="S758">
        <v>1</v>
      </c>
      <c r="T758" t="str">
        <f>IF(Table1[[#This Row],[Warmup_Routine_Adherence]]=1, "Adherent","Non-Adherent")</f>
        <v>Adherent</v>
      </c>
      <c r="U758">
        <v>0</v>
      </c>
      <c r="V758" t="str">
        <f>IF(Table1[[#This Row],[Injury_Next_Season]]=1, "Injury","No Injury")</f>
        <v>No Injury</v>
      </c>
      <c r="W758" s="3">
        <v>20.286507911737999</v>
      </c>
    </row>
    <row r="759" spans="1:23" x14ac:dyDescent="0.25">
      <c r="A759" s="6">
        <v>18</v>
      </c>
      <c r="B759" s="8" t="str">
        <f>CONCATENATE(Table1[[#This Row],[Age]]," ", "years")</f>
        <v>18 years</v>
      </c>
      <c r="C759">
        <v>186</v>
      </c>
      <c r="D759">
        <v>84</v>
      </c>
      <c r="E759" t="s">
        <v>20</v>
      </c>
      <c r="F759" s="3">
        <v>9.83170082366013</v>
      </c>
      <c r="G759" s="3">
        <v>29</v>
      </c>
      <c r="H759">
        <v>1</v>
      </c>
      <c r="I759" s="3">
        <v>73.589270923428501</v>
      </c>
      <c r="J759" s="3">
        <v>86.739784722495898</v>
      </c>
      <c r="K759" s="3">
        <v>207.88438373384301</v>
      </c>
      <c r="L759" s="3">
        <v>83.358910425644098</v>
      </c>
      <c r="M759" s="3">
        <v>6.57290173634963</v>
      </c>
      <c r="N759" s="3">
        <v>85.227558939580405</v>
      </c>
      <c r="O759" s="3">
        <v>8.1108465687420903</v>
      </c>
      <c r="P759" s="3">
        <v>58.699944146699401</v>
      </c>
      <c r="Q759" s="3">
        <v>89.783715130586501</v>
      </c>
      <c r="R759" s="3" t="str">
        <f>IF(Table1[[#This Row],[Nutrition_Quality_Score]]&lt;60, "Poor Nutrition",IF(AND(Table1[[#This Row],[Nutrition_Quality_Score]]&gt;=60,Table1[[#This Row],[Nutrition_Quality_Score]]&lt;=80),"Average Nutrition", "Good Nutrition"))</f>
        <v>Good Nutrition</v>
      </c>
      <c r="S759">
        <v>0</v>
      </c>
      <c r="T759" t="str">
        <f>IF(Table1[[#This Row],[Warmup_Routine_Adherence]]=1, "Adherent","Non-Adherent")</f>
        <v>Non-Adherent</v>
      </c>
      <c r="U759">
        <v>0</v>
      </c>
      <c r="V759" t="str">
        <f>IF(Table1[[#This Row],[Injury_Next_Season]]=1, "Injury","No Injury")</f>
        <v>No Injury</v>
      </c>
      <c r="W759" s="3">
        <v>24.2802636142906</v>
      </c>
    </row>
    <row r="760" spans="1:23" x14ac:dyDescent="0.25">
      <c r="A760" s="6">
        <v>24</v>
      </c>
      <c r="B760" s="8" t="str">
        <f>CONCATENATE(Table1[[#This Row],[Age]]," ", "years")</f>
        <v>24 years</v>
      </c>
      <c r="C760">
        <v>168</v>
      </c>
      <c r="D760">
        <v>82</v>
      </c>
      <c r="E760" t="s">
        <v>22</v>
      </c>
      <c r="F760" s="3">
        <v>11.603689990026799</v>
      </c>
      <c r="G760" s="3">
        <v>25</v>
      </c>
      <c r="H760">
        <v>0</v>
      </c>
      <c r="I760" s="3">
        <v>74.143962868336999</v>
      </c>
      <c r="J760" s="3">
        <v>90.750922334534295</v>
      </c>
      <c r="K760" s="3">
        <v>250.46749055844799</v>
      </c>
      <c r="L760" s="3">
        <v>100</v>
      </c>
      <c r="M760" s="3">
        <v>5.8218058101657002</v>
      </c>
      <c r="N760" s="3">
        <v>73.745414687931202</v>
      </c>
      <c r="O760" s="3">
        <v>6.3840302291895803</v>
      </c>
      <c r="P760" s="3">
        <v>31.5651851245327</v>
      </c>
      <c r="Q760" s="3">
        <v>61.965936809476503</v>
      </c>
      <c r="R760" s="3" t="str">
        <f>IF(Table1[[#This Row],[Nutrition_Quality_Score]]&lt;60, "Poor Nutrition",IF(AND(Table1[[#This Row],[Nutrition_Quality_Score]]&gt;=60,Table1[[#This Row],[Nutrition_Quality_Score]]&lt;=80),"Average Nutrition", "Good Nutrition"))</f>
        <v>Average Nutrition</v>
      </c>
      <c r="S760">
        <v>1</v>
      </c>
      <c r="T760" t="str">
        <f>IF(Table1[[#This Row],[Warmup_Routine_Adherence]]=1, "Adherent","Non-Adherent")</f>
        <v>Adherent</v>
      </c>
      <c r="U760">
        <v>0</v>
      </c>
      <c r="V760" t="str">
        <f>IF(Table1[[#This Row],[Injury_Next_Season]]=1, "Injury","No Injury")</f>
        <v>No Injury</v>
      </c>
      <c r="W760" s="3">
        <v>29.053287981859398</v>
      </c>
    </row>
    <row r="761" spans="1:23" x14ac:dyDescent="0.25">
      <c r="A761" s="6">
        <v>18</v>
      </c>
      <c r="B761" s="8" t="str">
        <f>CONCATENATE(Table1[[#This Row],[Age]]," ", "years")</f>
        <v>18 years</v>
      </c>
      <c r="C761">
        <v>183</v>
      </c>
      <c r="D761">
        <v>59</v>
      </c>
      <c r="E761" t="s">
        <v>20</v>
      </c>
      <c r="F761" s="3">
        <v>6.9966675803340497</v>
      </c>
      <c r="G761" s="3">
        <v>10</v>
      </c>
      <c r="H761">
        <v>1</v>
      </c>
      <c r="I761" s="3">
        <v>70.439205499177305</v>
      </c>
      <c r="J761" s="3">
        <v>74.597022676885302</v>
      </c>
      <c r="K761" s="3">
        <v>248.775549271046</v>
      </c>
      <c r="L761" s="3">
        <v>89.057502628319199</v>
      </c>
      <c r="M761" s="3">
        <v>5.4075662735863599</v>
      </c>
      <c r="N761" s="3">
        <v>75.990663091654696</v>
      </c>
      <c r="O761" s="3">
        <v>7.5397199890894804</v>
      </c>
      <c r="P761" s="3">
        <v>68.643864142984398</v>
      </c>
      <c r="Q761" s="3">
        <v>62.991139784673301</v>
      </c>
      <c r="R761" s="3" t="str">
        <f>IF(Table1[[#This Row],[Nutrition_Quality_Score]]&lt;60, "Poor Nutrition",IF(AND(Table1[[#This Row],[Nutrition_Quality_Score]]&gt;=60,Table1[[#This Row],[Nutrition_Quality_Score]]&lt;=80),"Average Nutrition", "Good Nutrition"))</f>
        <v>Average Nutrition</v>
      </c>
      <c r="S761">
        <v>1</v>
      </c>
      <c r="T761" t="str">
        <f>IF(Table1[[#This Row],[Warmup_Routine_Adherence]]=1, "Adherent","Non-Adherent")</f>
        <v>Adherent</v>
      </c>
      <c r="U761">
        <v>1</v>
      </c>
      <c r="V761" t="str">
        <f>IF(Table1[[#This Row],[Injury_Next_Season]]=1, "Injury","No Injury")</f>
        <v>Injury</v>
      </c>
      <c r="W761" s="3">
        <v>17.6177252232076</v>
      </c>
    </row>
    <row r="762" spans="1:23" x14ac:dyDescent="0.25">
      <c r="A762" s="6">
        <v>20</v>
      </c>
      <c r="B762" s="8" t="str">
        <f>CONCATENATE(Table1[[#This Row],[Age]]," ", "years")</f>
        <v>20 years</v>
      </c>
      <c r="C762">
        <v>172</v>
      </c>
      <c r="D762">
        <v>66</v>
      </c>
      <c r="E762" t="s">
        <v>21</v>
      </c>
      <c r="F762" s="3">
        <v>9.4373995319884099</v>
      </c>
      <c r="G762" s="3">
        <v>7</v>
      </c>
      <c r="H762">
        <v>1</v>
      </c>
      <c r="I762" s="3">
        <v>73.373251458950605</v>
      </c>
      <c r="J762" s="3">
        <v>84.751997654315602</v>
      </c>
      <c r="K762" s="3">
        <v>201.558971931088</v>
      </c>
      <c r="L762" s="3">
        <v>83.115705771571101</v>
      </c>
      <c r="M762" s="3">
        <v>5.9328068672162404</v>
      </c>
      <c r="N762" s="3">
        <v>79.884785120634305</v>
      </c>
      <c r="O762" s="3">
        <v>7.9138246688515999</v>
      </c>
      <c r="P762" s="3">
        <v>48.321563172107297</v>
      </c>
      <c r="Q762" s="3">
        <v>73.218243919967605</v>
      </c>
      <c r="R762" s="3" t="str">
        <f>IF(Table1[[#This Row],[Nutrition_Quality_Score]]&lt;60, "Poor Nutrition",IF(AND(Table1[[#This Row],[Nutrition_Quality_Score]]&gt;=60,Table1[[#This Row],[Nutrition_Quality_Score]]&lt;=80),"Average Nutrition", "Good Nutrition"))</f>
        <v>Average Nutrition</v>
      </c>
      <c r="S762">
        <v>0</v>
      </c>
      <c r="T762" t="str">
        <f>IF(Table1[[#This Row],[Warmup_Routine_Adherence]]=1, "Adherent","Non-Adherent")</f>
        <v>Non-Adherent</v>
      </c>
      <c r="U762">
        <v>0</v>
      </c>
      <c r="V762" t="str">
        <f>IF(Table1[[#This Row],[Injury_Next_Season]]=1, "Injury","No Injury")</f>
        <v>No Injury</v>
      </c>
      <c r="W762" s="3">
        <v>22.309356408869601</v>
      </c>
    </row>
    <row r="763" spans="1:23" x14ac:dyDescent="0.25">
      <c r="A763" s="6">
        <v>23</v>
      </c>
      <c r="B763" s="8" t="str">
        <f>CONCATENATE(Table1[[#This Row],[Age]]," ", "years")</f>
        <v>23 years</v>
      </c>
      <c r="C763">
        <v>169</v>
      </c>
      <c r="D763">
        <v>74</v>
      </c>
      <c r="E763" t="s">
        <v>21</v>
      </c>
      <c r="F763" s="3">
        <v>12.7384534379995</v>
      </c>
      <c r="G763" s="3">
        <v>26</v>
      </c>
      <c r="H763">
        <v>1</v>
      </c>
      <c r="I763" s="3">
        <v>81.124161988001404</v>
      </c>
      <c r="J763" s="3">
        <v>91.094866331647793</v>
      </c>
      <c r="K763" s="3">
        <v>280.90001822162799</v>
      </c>
      <c r="L763" s="3">
        <v>84.846881600697898</v>
      </c>
      <c r="M763" s="3">
        <v>6.8219590418884302</v>
      </c>
      <c r="N763" s="3">
        <v>87.806284234514706</v>
      </c>
      <c r="O763" s="3">
        <v>7.0565600668361697</v>
      </c>
      <c r="P763" s="3">
        <v>61.378996749050302</v>
      </c>
      <c r="Q763" s="3">
        <v>80.500978831206396</v>
      </c>
      <c r="R763" s="3" t="str">
        <f>IF(Table1[[#This Row],[Nutrition_Quality_Score]]&lt;60, "Poor Nutrition",IF(AND(Table1[[#This Row],[Nutrition_Quality_Score]]&gt;=60,Table1[[#This Row],[Nutrition_Quality_Score]]&lt;=80),"Average Nutrition", "Good Nutrition"))</f>
        <v>Good Nutrition</v>
      </c>
      <c r="S763">
        <v>1</v>
      </c>
      <c r="T763" t="str">
        <f>IF(Table1[[#This Row],[Warmup_Routine_Adherence]]=1, "Adherent","Non-Adherent")</f>
        <v>Adherent</v>
      </c>
      <c r="U763">
        <v>0</v>
      </c>
      <c r="V763" t="str">
        <f>IF(Table1[[#This Row],[Injury_Next_Season]]=1, "Injury","No Injury")</f>
        <v>No Injury</v>
      </c>
      <c r="W763" s="3">
        <v>25.909456951787401</v>
      </c>
    </row>
    <row r="764" spans="1:23" x14ac:dyDescent="0.25">
      <c r="A764" s="6">
        <v>18</v>
      </c>
      <c r="B764" s="8" t="str">
        <f>CONCATENATE(Table1[[#This Row],[Age]]," ", "years")</f>
        <v>18 years</v>
      </c>
      <c r="C764">
        <v>191</v>
      </c>
      <c r="D764">
        <v>67</v>
      </c>
      <c r="E764" t="s">
        <v>19</v>
      </c>
      <c r="F764" s="3">
        <v>7.85607564210998</v>
      </c>
      <c r="G764" s="3">
        <v>19</v>
      </c>
      <c r="H764">
        <v>3</v>
      </c>
      <c r="I764" s="3">
        <v>70.041234262856193</v>
      </c>
      <c r="J764" s="3">
        <v>70.218387503309899</v>
      </c>
      <c r="K764" s="3">
        <v>221.80027251639399</v>
      </c>
      <c r="L764" s="3">
        <v>92.910070785355799</v>
      </c>
      <c r="M764" s="3">
        <v>6.4697967951850197</v>
      </c>
      <c r="N764" s="3">
        <v>83.246717997436306</v>
      </c>
      <c r="O764" s="3">
        <v>8.4117700954867107</v>
      </c>
      <c r="P764" s="3">
        <v>27.235168214889399</v>
      </c>
      <c r="Q764" s="3">
        <v>88.759059900021896</v>
      </c>
      <c r="R764" s="3" t="str">
        <f>IF(Table1[[#This Row],[Nutrition_Quality_Score]]&lt;60, "Poor Nutrition",IF(AND(Table1[[#This Row],[Nutrition_Quality_Score]]&gt;=60,Table1[[#This Row],[Nutrition_Quality_Score]]&lt;=80),"Average Nutrition", "Good Nutrition"))</f>
        <v>Good Nutrition</v>
      </c>
      <c r="S764">
        <v>1</v>
      </c>
      <c r="T764" t="str">
        <f>IF(Table1[[#This Row],[Warmup_Routine_Adherence]]=1, "Adherent","Non-Adherent")</f>
        <v>Adherent</v>
      </c>
      <c r="U764">
        <v>0</v>
      </c>
      <c r="V764" t="str">
        <f>IF(Table1[[#This Row],[Injury_Next_Season]]=1, "Injury","No Injury")</f>
        <v>No Injury</v>
      </c>
      <c r="W764" s="3">
        <v>18.3657246237767</v>
      </c>
    </row>
    <row r="765" spans="1:23" x14ac:dyDescent="0.25">
      <c r="A765" s="6">
        <v>24</v>
      </c>
      <c r="B765" s="8" t="str">
        <f>CONCATENATE(Table1[[#This Row],[Age]]," ", "years")</f>
        <v>24 years</v>
      </c>
      <c r="C765">
        <v>173</v>
      </c>
      <c r="D765">
        <v>73</v>
      </c>
      <c r="E765" t="s">
        <v>19</v>
      </c>
      <c r="F765" s="3">
        <v>11.388949585753201</v>
      </c>
      <c r="G765" s="3">
        <v>15</v>
      </c>
      <c r="H765">
        <v>3</v>
      </c>
      <c r="I765" s="3">
        <v>81.505825943631507</v>
      </c>
      <c r="J765" s="3">
        <v>81.080059792703906</v>
      </c>
      <c r="K765" s="3">
        <v>223.24341375697</v>
      </c>
      <c r="L765" s="3">
        <v>92.0080736674511</v>
      </c>
      <c r="M765" s="3">
        <v>6.1584533987108099</v>
      </c>
      <c r="N765" s="3">
        <v>95.530525791124902</v>
      </c>
      <c r="O765" s="3">
        <v>8.1794476676785592</v>
      </c>
      <c r="P765" s="3">
        <v>50.049581821672597</v>
      </c>
      <c r="Q765" s="3">
        <v>87.3466000115138</v>
      </c>
      <c r="R765" s="3" t="str">
        <f>IF(Table1[[#This Row],[Nutrition_Quality_Score]]&lt;60, "Poor Nutrition",IF(AND(Table1[[#This Row],[Nutrition_Quality_Score]]&gt;=60,Table1[[#This Row],[Nutrition_Quality_Score]]&lt;=80),"Average Nutrition", "Good Nutrition"))</f>
        <v>Good Nutrition</v>
      </c>
      <c r="S765">
        <v>1</v>
      </c>
      <c r="T765" t="str">
        <f>IF(Table1[[#This Row],[Warmup_Routine_Adherence]]=1, "Adherent","Non-Adherent")</f>
        <v>Adherent</v>
      </c>
      <c r="U765">
        <v>0</v>
      </c>
      <c r="V765" t="str">
        <f>IF(Table1[[#This Row],[Injury_Next_Season]]=1, "Injury","No Injury")</f>
        <v>No Injury</v>
      </c>
      <c r="W765" s="3">
        <v>24.391058839252899</v>
      </c>
    </row>
    <row r="766" spans="1:23" x14ac:dyDescent="0.25">
      <c r="A766" s="6">
        <v>18</v>
      </c>
      <c r="B766" s="8" t="str">
        <f>CONCATENATE(Table1[[#This Row],[Age]]," ", "years")</f>
        <v>18 years</v>
      </c>
      <c r="C766">
        <v>173</v>
      </c>
      <c r="D766">
        <v>69</v>
      </c>
      <c r="E766" t="s">
        <v>19</v>
      </c>
      <c r="F766" s="3">
        <v>5.5990966188908802</v>
      </c>
      <c r="G766" s="3">
        <v>12</v>
      </c>
      <c r="H766">
        <v>4</v>
      </c>
      <c r="I766" s="3">
        <v>75.411690728267303</v>
      </c>
      <c r="J766" s="3">
        <v>71.888125679852806</v>
      </c>
      <c r="K766" s="3">
        <v>247.96248313727099</v>
      </c>
      <c r="L766" s="3">
        <v>78.075747385589295</v>
      </c>
      <c r="M766" s="3">
        <v>5.77451890753537</v>
      </c>
      <c r="N766" s="3">
        <v>58.9839766092161</v>
      </c>
      <c r="O766" s="3">
        <v>5.9512856645685197</v>
      </c>
      <c r="P766" s="3">
        <v>62.794024389634799</v>
      </c>
      <c r="Q766" s="3">
        <v>60.7991000834174</v>
      </c>
      <c r="R766" s="3" t="str">
        <f>IF(Table1[[#This Row],[Nutrition_Quality_Score]]&lt;60, "Poor Nutrition",IF(AND(Table1[[#This Row],[Nutrition_Quality_Score]]&gt;=60,Table1[[#This Row],[Nutrition_Quality_Score]]&lt;=80),"Average Nutrition", "Good Nutrition"))</f>
        <v>Average Nutrition</v>
      </c>
      <c r="S766">
        <v>1</v>
      </c>
      <c r="T766" t="str">
        <f>IF(Table1[[#This Row],[Warmup_Routine_Adherence]]=1, "Adherent","Non-Adherent")</f>
        <v>Adherent</v>
      </c>
      <c r="U766">
        <v>1</v>
      </c>
      <c r="V766" t="str">
        <f>IF(Table1[[#This Row],[Injury_Next_Season]]=1, "Injury","No Injury")</f>
        <v>Injury</v>
      </c>
      <c r="W766" s="3">
        <v>23.054562464499298</v>
      </c>
    </row>
    <row r="767" spans="1:23" x14ac:dyDescent="0.25">
      <c r="A767" s="6">
        <v>18</v>
      </c>
      <c r="B767" s="8" t="str">
        <f>CONCATENATE(Table1[[#This Row],[Age]]," ", "years")</f>
        <v>18 years</v>
      </c>
      <c r="C767">
        <v>176</v>
      </c>
      <c r="D767">
        <v>72</v>
      </c>
      <c r="E767" t="s">
        <v>19</v>
      </c>
      <c r="F767" s="3">
        <v>10.1109991827692</v>
      </c>
      <c r="G767" s="3">
        <v>8</v>
      </c>
      <c r="H767">
        <v>2</v>
      </c>
      <c r="I767" s="3">
        <v>84.816056403280399</v>
      </c>
      <c r="J767" s="3">
        <v>83.591292479455305</v>
      </c>
      <c r="K767" s="3">
        <v>243.027754836018</v>
      </c>
      <c r="L767" s="3">
        <v>92.238094651282196</v>
      </c>
      <c r="M767" s="3">
        <v>6.1420381723604898</v>
      </c>
      <c r="N767" s="3">
        <v>78.1443032703407</v>
      </c>
      <c r="O767" s="3">
        <v>6.6410634883658703</v>
      </c>
      <c r="P767" s="3">
        <v>54.6938480925918</v>
      </c>
      <c r="Q767" s="3">
        <v>87.490698427061901</v>
      </c>
      <c r="R767" s="3" t="str">
        <f>IF(Table1[[#This Row],[Nutrition_Quality_Score]]&lt;60, "Poor Nutrition",IF(AND(Table1[[#This Row],[Nutrition_Quality_Score]]&gt;=60,Table1[[#This Row],[Nutrition_Quality_Score]]&lt;=80),"Average Nutrition", "Good Nutrition"))</f>
        <v>Good Nutrition</v>
      </c>
      <c r="S767">
        <v>1</v>
      </c>
      <c r="T767" t="str">
        <f>IF(Table1[[#This Row],[Warmup_Routine_Adherence]]=1, "Adherent","Non-Adherent")</f>
        <v>Adherent</v>
      </c>
      <c r="U767">
        <v>0</v>
      </c>
      <c r="V767" t="str">
        <f>IF(Table1[[#This Row],[Injury_Next_Season]]=1, "Injury","No Injury")</f>
        <v>No Injury</v>
      </c>
      <c r="W767" s="3">
        <v>23.2438016528925</v>
      </c>
    </row>
    <row r="768" spans="1:23" x14ac:dyDescent="0.25">
      <c r="A768" s="6">
        <v>22</v>
      </c>
      <c r="B768" s="8" t="str">
        <f>CONCATENATE(Table1[[#This Row],[Age]]," ", "years")</f>
        <v>22 years</v>
      </c>
      <c r="C768">
        <v>182</v>
      </c>
      <c r="D768">
        <v>82</v>
      </c>
      <c r="E768" t="s">
        <v>20</v>
      </c>
      <c r="F768" s="3">
        <v>8.9482918829505191</v>
      </c>
      <c r="G768" s="3">
        <v>34</v>
      </c>
      <c r="H768">
        <v>1</v>
      </c>
      <c r="I768" s="3">
        <v>80.433298027777596</v>
      </c>
      <c r="J768" s="3">
        <v>78.995723753267995</v>
      </c>
      <c r="K768" s="3">
        <v>230.665710099037</v>
      </c>
      <c r="L768" s="3">
        <v>82.453933261808103</v>
      </c>
      <c r="M768" s="3">
        <v>5.8595943155959098</v>
      </c>
      <c r="N768" s="3">
        <v>85.1363531330163</v>
      </c>
      <c r="O768" s="3">
        <v>8.1204681484142007</v>
      </c>
      <c r="P768" s="3">
        <v>48.274806530520898</v>
      </c>
      <c r="Q768" s="3">
        <v>76.054324172036999</v>
      </c>
      <c r="R768" s="3" t="str">
        <f>IF(Table1[[#This Row],[Nutrition_Quality_Score]]&lt;60, "Poor Nutrition",IF(AND(Table1[[#This Row],[Nutrition_Quality_Score]]&gt;=60,Table1[[#This Row],[Nutrition_Quality_Score]]&lt;=80),"Average Nutrition", "Good Nutrition"))</f>
        <v>Average Nutrition</v>
      </c>
      <c r="S768">
        <v>0</v>
      </c>
      <c r="T768" t="str">
        <f>IF(Table1[[#This Row],[Warmup_Routine_Adherence]]=1, "Adherent","Non-Adherent")</f>
        <v>Non-Adherent</v>
      </c>
      <c r="U768">
        <v>0</v>
      </c>
      <c r="V768" t="str">
        <f>IF(Table1[[#This Row],[Injury_Next_Season]]=1, "Injury","No Injury")</f>
        <v>No Injury</v>
      </c>
      <c r="W768" s="3">
        <v>24.755464315903801</v>
      </c>
    </row>
    <row r="769" spans="1:23" x14ac:dyDescent="0.25">
      <c r="A769" s="6">
        <v>20</v>
      </c>
      <c r="B769" s="8" t="str">
        <f>CONCATENATE(Table1[[#This Row],[Age]]," ", "years")</f>
        <v>20 years</v>
      </c>
      <c r="C769">
        <v>180</v>
      </c>
      <c r="D769">
        <v>78</v>
      </c>
      <c r="E769" t="s">
        <v>20</v>
      </c>
      <c r="F769" s="3">
        <v>8.2451479535068497</v>
      </c>
      <c r="G769" s="3">
        <v>20</v>
      </c>
      <c r="H769">
        <v>0</v>
      </c>
      <c r="I769" s="3">
        <v>78.628108350252901</v>
      </c>
      <c r="J769" s="3">
        <v>78.912023524245399</v>
      </c>
      <c r="K769" s="3">
        <v>232.15896112394799</v>
      </c>
      <c r="L769" s="3">
        <v>90.921213531452807</v>
      </c>
      <c r="M769" s="3">
        <v>6.0873293667579897</v>
      </c>
      <c r="N769" s="3">
        <v>73.533224449825099</v>
      </c>
      <c r="O769" s="3">
        <v>8.3736135241198895</v>
      </c>
      <c r="P769" s="3">
        <v>40.211989030127697</v>
      </c>
      <c r="Q769" s="3">
        <v>79.420355932191001</v>
      </c>
      <c r="R769" s="3" t="str">
        <f>IF(Table1[[#This Row],[Nutrition_Quality_Score]]&lt;60, "Poor Nutrition",IF(AND(Table1[[#This Row],[Nutrition_Quality_Score]]&gt;=60,Table1[[#This Row],[Nutrition_Quality_Score]]&lt;=80),"Average Nutrition", "Good Nutrition"))</f>
        <v>Average Nutrition</v>
      </c>
      <c r="S769">
        <v>1</v>
      </c>
      <c r="T769" t="str">
        <f>IF(Table1[[#This Row],[Warmup_Routine_Adherence]]=1, "Adherent","Non-Adherent")</f>
        <v>Adherent</v>
      </c>
      <c r="U769">
        <v>0</v>
      </c>
      <c r="V769" t="str">
        <f>IF(Table1[[#This Row],[Injury_Next_Season]]=1, "Injury","No Injury")</f>
        <v>No Injury</v>
      </c>
      <c r="W769" s="3">
        <v>24.074074074074002</v>
      </c>
    </row>
    <row r="770" spans="1:23" x14ac:dyDescent="0.25">
      <c r="A770" s="6">
        <v>19</v>
      </c>
      <c r="B770" s="8" t="str">
        <f>CONCATENATE(Table1[[#This Row],[Age]]," ", "years")</f>
        <v>19 years</v>
      </c>
      <c r="C770">
        <v>170</v>
      </c>
      <c r="D770">
        <v>83</v>
      </c>
      <c r="E770" t="s">
        <v>19</v>
      </c>
      <c r="F770" s="3">
        <v>13.335409508229001</v>
      </c>
      <c r="G770" s="3">
        <v>23</v>
      </c>
      <c r="H770">
        <v>1</v>
      </c>
      <c r="I770" s="3">
        <v>72.749111882907798</v>
      </c>
      <c r="J770" s="3">
        <v>68.540551553755805</v>
      </c>
      <c r="K770" s="3">
        <v>246.33275797668199</v>
      </c>
      <c r="L770" s="3">
        <v>94.157515195850493</v>
      </c>
      <c r="M770" s="3">
        <v>5.7295927248507903</v>
      </c>
      <c r="N770" s="3">
        <v>72.048844147210701</v>
      </c>
      <c r="O770" s="3">
        <v>6.2970064212285797</v>
      </c>
      <c r="P770" s="3">
        <v>70.328129552545604</v>
      </c>
      <c r="Q770" s="3">
        <v>72.655059095470904</v>
      </c>
      <c r="R770" s="3" t="str">
        <f>IF(Table1[[#This Row],[Nutrition_Quality_Score]]&lt;60, "Poor Nutrition",IF(AND(Table1[[#This Row],[Nutrition_Quality_Score]]&gt;=60,Table1[[#This Row],[Nutrition_Quality_Score]]&lt;=80),"Average Nutrition", "Good Nutrition"))</f>
        <v>Average Nutrition</v>
      </c>
      <c r="S770">
        <v>1</v>
      </c>
      <c r="T770" t="str">
        <f>IF(Table1[[#This Row],[Warmup_Routine_Adherence]]=1, "Adherent","Non-Adherent")</f>
        <v>Adherent</v>
      </c>
      <c r="U770">
        <v>1</v>
      </c>
      <c r="V770" t="str">
        <f>IF(Table1[[#This Row],[Injury_Next_Season]]=1, "Injury","No Injury")</f>
        <v>Injury</v>
      </c>
      <c r="W770" s="3">
        <v>28.719723183391</v>
      </c>
    </row>
    <row r="771" spans="1:23" x14ac:dyDescent="0.25">
      <c r="A771" s="6">
        <v>21</v>
      </c>
      <c r="B771" s="8" t="str">
        <f>CONCATENATE(Table1[[#This Row],[Age]]," ", "years")</f>
        <v>21 years</v>
      </c>
      <c r="C771">
        <v>175</v>
      </c>
      <c r="D771">
        <v>73</v>
      </c>
      <c r="E771" t="s">
        <v>20</v>
      </c>
      <c r="F771" s="3">
        <v>11.937661547715299</v>
      </c>
      <c r="G771" s="3">
        <v>19</v>
      </c>
      <c r="H771">
        <v>1</v>
      </c>
      <c r="I771" s="3">
        <v>77.726221783725904</v>
      </c>
      <c r="J771" s="3">
        <v>79.603033323665798</v>
      </c>
      <c r="K771" s="3">
        <v>254.068128166512</v>
      </c>
      <c r="L771" s="3">
        <v>91.528744486992693</v>
      </c>
      <c r="M771" s="3">
        <v>6.0109650236531804</v>
      </c>
      <c r="N771" s="3">
        <v>71.008061855886496</v>
      </c>
      <c r="O771" s="3">
        <v>6.9130147737776602</v>
      </c>
      <c r="P771" s="3">
        <v>59.347781298188998</v>
      </c>
      <c r="Q771" s="3">
        <v>69.854250899114106</v>
      </c>
      <c r="R771" s="3" t="str">
        <f>IF(Table1[[#This Row],[Nutrition_Quality_Score]]&lt;60, "Poor Nutrition",IF(AND(Table1[[#This Row],[Nutrition_Quality_Score]]&gt;=60,Table1[[#This Row],[Nutrition_Quality_Score]]&lt;=80),"Average Nutrition", "Good Nutrition"))</f>
        <v>Average Nutrition</v>
      </c>
      <c r="S771">
        <v>0</v>
      </c>
      <c r="T771" t="str">
        <f>IF(Table1[[#This Row],[Warmup_Routine_Adherence]]=1, "Adherent","Non-Adherent")</f>
        <v>Non-Adherent</v>
      </c>
      <c r="U771">
        <v>1</v>
      </c>
      <c r="V771" t="str">
        <f>IF(Table1[[#This Row],[Injury_Next_Season]]=1, "Injury","No Injury")</f>
        <v>Injury</v>
      </c>
      <c r="W771" s="3">
        <v>23.836734693877499</v>
      </c>
    </row>
    <row r="772" spans="1:23" x14ac:dyDescent="0.25">
      <c r="A772" s="6">
        <v>23</v>
      </c>
      <c r="B772" s="8" t="str">
        <f>CONCATENATE(Table1[[#This Row],[Age]]," ", "years")</f>
        <v>23 years</v>
      </c>
      <c r="C772">
        <v>169</v>
      </c>
      <c r="D772">
        <v>99</v>
      </c>
      <c r="E772" t="s">
        <v>20</v>
      </c>
      <c r="F772" s="3">
        <v>10.950045984961699</v>
      </c>
      <c r="G772" s="3">
        <v>18</v>
      </c>
      <c r="H772">
        <v>2</v>
      </c>
      <c r="I772" s="3">
        <v>72.802746094872205</v>
      </c>
      <c r="J772" s="3">
        <v>73.865319607868301</v>
      </c>
      <c r="K772" s="3">
        <v>249.67585191481299</v>
      </c>
      <c r="L772" s="3">
        <v>89.366024544500604</v>
      </c>
      <c r="M772" s="3">
        <v>5.2659232823947102</v>
      </c>
      <c r="N772" s="3">
        <v>74.638246924670895</v>
      </c>
      <c r="O772" s="3">
        <v>7.5478871750831296</v>
      </c>
      <c r="P772" s="3">
        <v>65.127194308408306</v>
      </c>
      <c r="Q772" s="3">
        <v>68.2529015167312</v>
      </c>
      <c r="R772" s="3" t="str">
        <f>IF(Table1[[#This Row],[Nutrition_Quality_Score]]&lt;60, "Poor Nutrition",IF(AND(Table1[[#This Row],[Nutrition_Quality_Score]]&gt;=60,Table1[[#This Row],[Nutrition_Quality_Score]]&lt;=80),"Average Nutrition", "Good Nutrition"))</f>
        <v>Average Nutrition</v>
      </c>
      <c r="S772">
        <v>1</v>
      </c>
      <c r="T772" t="str">
        <f>IF(Table1[[#This Row],[Warmup_Routine_Adherence]]=1, "Adherent","Non-Adherent")</f>
        <v>Adherent</v>
      </c>
      <c r="U772">
        <v>1</v>
      </c>
      <c r="V772" t="str">
        <f>IF(Table1[[#This Row],[Injury_Next_Season]]=1, "Injury","No Injury")</f>
        <v>Injury</v>
      </c>
      <c r="W772" s="3">
        <v>34.6626518679318</v>
      </c>
    </row>
    <row r="773" spans="1:23" x14ac:dyDescent="0.25">
      <c r="A773" s="6">
        <v>21</v>
      </c>
      <c r="B773" s="8" t="str">
        <f>CONCATENATE(Table1[[#This Row],[Age]]," ", "years")</f>
        <v>21 years</v>
      </c>
      <c r="C773">
        <v>182</v>
      </c>
      <c r="D773">
        <v>74</v>
      </c>
      <c r="E773" t="s">
        <v>21</v>
      </c>
      <c r="F773" s="3">
        <v>8.7018073938193901</v>
      </c>
      <c r="G773" s="3">
        <v>18</v>
      </c>
      <c r="H773">
        <v>3</v>
      </c>
      <c r="I773" s="3">
        <v>84.914275072660402</v>
      </c>
      <c r="J773" s="3">
        <v>82.859940369766704</v>
      </c>
      <c r="K773" s="3">
        <v>246.70933186155301</v>
      </c>
      <c r="L773" s="3">
        <v>83.821477587738002</v>
      </c>
      <c r="M773" s="3">
        <v>6.2360769980879098</v>
      </c>
      <c r="N773" s="3">
        <v>94.416813356078293</v>
      </c>
      <c r="O773" s="3">
        <v>7.2220912833112596</v>
      </c>
      <c r="P773" s="3">
        <v>56.727779708281197</v>
      </c>
      <c r="Q773" s="3">
        <v>89.285825086345895</v>
      </c>
      <c r="R773" s="3" t="str">
        <f>IF(Table1[[#This Row],[Nutrition_Quality_Score]]&lt;60, "Poor Nutrition",IF(AND(Table1[[#This Row],[Nutrition_Quality_Score]]&gt;=60,Table1[[#This Row],[Nutrition_Quality_Score]]&lt;=80),"Average Nutrition", "Good Nutrition"))</f>
        <v>Good Nutrition</v>
      </c>
      <c r="S773">
        <v>1</v>
      </c>
      <c r="T773" t="str">
        <f>IF(Table1[[#This Row],[Warmup_Routine_Adherence]]=1, "Adherent","Non-Adherent")</f>
        <v>Adherent</v>
      </c>
      <c r="U773">
        <v>0</v>
      </c>
      <c r="V773" t="str">
        <f>IF(Table1[[#This Row],[Injury_Next_Season]]=1, "Injury","No Injury")</f>
        <v>No Injury</v>
      </c>
      <c r="W773" s="3">
        <v>22.340297065571701</v>
      </c>
    </row>
    <row r="774" spans="1:23" x14ac:dyDescent="0.25">
      <c r="A774" s="6">
        <v>23</v>
      </c>
      <c r="B774" s="8" t="str">
        <f>CONCATENATE(Table1[[#This Row],[Age]]," ", "years")</f>
        <v>23 years</v>
      </c>
      <c r="C774">
        <v>187</v>
      </c>
      <c r="D774">
        <v>81</v>
      </c>
      <c r="E774" t="s">
        <v>20</v>
      </c>
      <c r="F774" s="3">
        <v>12.9127427898151</v>
      </c>
      <c r="G774" s="3">
        <v>37</v>
      </c>
      <c r="H774">
        <v>3</v>
      </c>
      <c r="I774" s="3">
        <v>63.856286322966199</v>
      </c>
      <c r="J774" s="3">
        <v>79.765355345624201</v>
      </c>
      <c r="K774" s="3">
        <v>281.23147183478397</v>
      </c>
      <c r="L774" s="3">
        <v>75.576834152850395</v>
      </c>
      <c r="M774" s="3">
        <v>5.6624022395397304</v>
      </c>
      <c r="N774" s="3">
        <v>84.319079528750194</v>
      </c>
      <c r="O774" s="3">
        <v>6.2421978962646403</v>
      </c>
      <c r="P774" s="3">
        <v>66.368476487860406</v>
      </c>
      <c r="Q774" s="3">
        <v>69.434029226700801</v>
      </c>
      <c r="R774" s="3" t="str">
        <f>IF(Table1[[#This Row],[Nutrition_Quality_Score]]&lt;60, "Poor Nutrition",IF(AND(Table1[[#This Row],[Nutrition_Quality_Score]]&gt;=60,Table1[[#This Row],[Nutrition_Quality_Score]]&lt;=80),"Average Nutrition", "Good Nutrition"))</f>
        <v>Average Nutrition</v>
      </c>
      <c r="S774">
        <v>1</v>
      </c>
      <c r="T774" t="str">
        <f>IF(Table1[[#This Row],[Warmup_Routine_Adherence]]=1, "Adherent","Non-Adherent")</f>
        <v>Adherent</v>
      </c>
      <c r="U774">
        <v>1</v>
      </c>
      <c r="V774" t="str">
        <f>IF(Table1[[#This Row],[Injury_Next_Season]]=1, "Injury","No Injury")</f>
        <v>Injury</v>
      </c>
      <c r="W774" s="3">
        <v>23.1633732734707</v>
      </c>
    </row>
    <row r="775" spans="1:23" x14ac:dyDescent="0.25">
      <c r="A775" s="6">
        <v>20</v>
      </c>
      <c r="B775" s="8" t="str">
        <f>CONCATENATE(Table1[[#This Row],[Age]]," ", "years")</f>
        <v>20 years</v>
      </c>
      <c r="C775">
        <v>175</v>
      </c>
      <c r="D775">
        <v>71</v>
      </c>
      <c r="E775" t="s">
        <v>19</v>
      </c>
      <c r="F775" s="3">
        <v>13.327367880113</v>
      </c>
      <c r="G775" s="3">
        <v>10</v>
      </c>
      <c r="H775">
        <v>1</v>
      </c>
      <c r="I775" s="3">
        <v>69.427784128626001</v>
      </c>
      <c r="J775" s="3">
        <v>78.361201137187393</v>
      </c>
      <c r="K775" s="3">
        <v>252.63382712188599</v>
      </c>
      <c r="L775" s="3">
        <v>67.697117767262995</v>
      </c>
      <c r="M775" s="3">
        <v>5.5923815851410197</v>
      </c>
      <c r="N775" s="3">
        <v>79.270058767884805</v>
      </c>
      <c r="O775" s="3">
        <v>6.1258589791267601</v>
      </c>
      <c r="P775" s="3">
        <v>65.451997809533196</v>
      </c>
      <c r="Q775" s="3">
        <v>62.309487839598603</v>
      </c>
      <c r="R775" s="3" t="str">
        <f>IF(Table1[[#This Row],[Nutrition_Quality_Score]]&lt;60, "Poor Nutrition",IF(AND(Table1[[#This Row],[Nutrition_Quality_Score]]&gt;=60,Table1[[#This Row],[Nutrition_Quality_Score]]&lt;=80),"Average Nutrition", "Good Nutrition"))</f>
        <v>Average Nutrition</v>
      </c>
      <c r="S775">
        <v>0</v>
      </c>
      <c r="T775" t="str">
        <f>IF(Table1[[#This Row],[Warmup_Routine_Adherence]]=1, "Adherent","Non-Adherent")</f>
        <v>Non-Adherent</v>
      </c>
      <c r="U775">
        <v>1</v>
      </c>
      <c r="V775" t="str">
        <f>IF(Table1[[#This Row],[Injury_Next_Season]]=1, "Injury","No Injury")</f>
        <v>Injury</v>
      </c>
      <c r="W775" s="3">
        <v>23.183673469387699</v>
      </c>
    </row>
    <row r="776" spans="1:23" x14ac:dyDescent="0.25">
      <c r="A776" s="6">
        <v>22</v>
      </c>
      <c r="B776" s="8" t="str">
        <f>CONCATENATE(Table1[[#This Row],[Age]]," ", "years")</f>
        <v>22 years</v>
      </c>
      <c r="C776">
        <v>173</v>
      </c>
      <c r="D776">
        <v>88</v>
      </c>
      <c r="E776" t="s">
        <v>21</v>
      </c>
      <c r="F776" s="3">
        <v>10.0862206612791</v>
      </c>
      <c r="G776" s="3">
        <v>8</v>
      </c>
      <c r="H776">
        <v>2</v>
      </c>
      <c r="I776" s="3">
        <v>67.783058126089401</v>
      </c>
      <c r="J776" s="3">
        <v>75.845906668895793</v>
      </c>
      <c r="K776" s="3">
        <v>266.23189185856302</v>
      </c>
      <c r="L776" s="3">
        <v>87.921120113302905</v>
      </c>
      <c r="M776" s="3">
        <v>6.0070285158503003</v>
      </c>
      <c r="N776" s="3">
        <v>65.604829388482599</v>
      </c>
      <c r="O776" s="3">
        <v>7.3721501185168501</v>
      </c>
      <c r="P776" s="3">
        <v>62.529866416760001</v>
      </c>
      <c r="Q776" s="3">
        <v>76.630436787354199</v>
      </c>
      <c r="R776" s="3" t="str">
        <f>IF(Table1[[#This Row],[Nutrition_Quality_Score]]&lt;60, "Poor Nutrition",IF(AND(Table1[[#This Row],[Nutrition_Quality_Score]]&gt;=60,Table1[[#This Row],[Nutrition_Quality_Score]]&lt;=80),"Average Nutrition", "Good Nutrition"))</f>
        <v>Average Nutrition</v>
      </c>
      <c r="S776">
        <v>0</v>
      </c>
      <c r="T776" t="str">
        <f>IF(Table1[[#This Row],[Warmup_Routine_Adherence]]=1, "Adherent","Non-Adherent")</f>
        <v>Non-Adherent</v>
      </c>
      <c r="U776">
        <v>1</v>
      </c>
      <c r="V776" t="str">
        <f>IF(Table1[[#This Row],[Injury_Next_Season]]=1, "Injury","No Injury")</f>
        <v>Injury</v>
      </c>
      <c r="W776" s="3">
        <v>29.402920244578802</v>
      </c>
    </row>
    <row r="777" spans="1:23" x14ac:dyDescent="0.25">
      <c r="A777" s="6">
        <v>19</v>
      </c>
      <c r="B777" s="8" t="str">
        <f>CONCATENATE(Table1[[#This Row],[Age]]," ", "years")</f>
        <v>19 years</v>
      </c>
      <c r="C777">
        <v>180</v>
      </c>
      <c r="D777">
        <v>78</v>
      </c>
      <c r="E777" t="s">
        <v>20</v>
      </c>
      <c r="F777" s="3">
        <v>5.1839791316965096</v>
      </c>
      <c r="G777" s="3">
        <v>23</v>
      </c>
      <c r="H777">
        <v>4</v>
      </c>
      <c r="I777" s="3">
        <v>72.251462008003202</v>
      </c>
      <c r="J777" s="3">
        <v>87.744727035168694</v>
      </c>
      <c r="K777" s="3">
        <v>287.98339039079599</v>
      </c>
      <c r="L777" s="3">
        <v>85.756964096912895</v>
      </c>
      <c r="M777" s="3">
        <v>5.9306974631486504</v>
      </c>
      <c r="N777" s="3">
        <v>86.510303930678504</v>
      </c>
      <c r="O777" s="3">
        <v>6.8239150306295198</v>
      </c>
      <c r="P777" s="3">
        <v>56.114118112037403</v>
      </c>
      <c r="Q777" s="3">
        <v>78.673996399953396</v>
      </c>
      <c r="R777" s="3" t="str">
        <f>IF(Table1[[#This Row],[Nutrition_Quality_Score]]&lt;60, "Poor Nutrition",IF(AND(Table1[[#This Row],[Nutrition_Quality_Score]]&gt;=60,Table1[[#This Row],[Nutrition_Quality_Score]]&lt;=80),"Average Nutrition", "Good Nutrition"))</f>
        <v>Average Nutrition</v>
      </c>
      <c r="S777">
        <v>0</v>
      </c>
      <c r="T777" t="str">
        <f>IF(Table1[[#This Row],[Warmup_Routine_Adherence]]=1, "Adherent","Non-Adherent")</f>
        <v>Non-Adherent</v>
      </c>
      <c r="U777">
        <v>1</v>
      </c>
      <c r="V777" t="str">
        <f>IF(Table1[[#This Row],[Injury_Next_Season]]=1, "Injury","No Injury")</f>
        <v>Injury</v>
      </c>
      <c r="W777" s="3">
        <v>24.074074074074002</v>
      </c>
    </row>
    <row r="778" spans="1:23" x14ac:dyDescent="0.25">
      <c r="A778" s="6">
        <v>19</v>
      </c>
      <c r="B778" s="8" t="str">
        <f>CONCATENATE(Table1[[#This Row],[Age]]," ", "years")</f>
        <v>19 years</v>
      </c>
      <c r="C778">
        <v>163</v>
      </c>
      <c r="D778">
        <v>85</v>
      </c>
      <c r="E778" t="s">
        <v>19</v>
      </c>
      <c r="F778" s="3">
        <v>13.7592507960882</v>
      </c>
      <c r="G778" s="3">
        <v>32</v>
      </c>
      <c r="H778">
        <v>1</v>
      </c>
      <c r="I778" s="3">
        <v>77.752415068214404</v>
      </c>
      <c r="J778" s="3">
        <v>99.495342150240404</v>
      </c>
      <c r="K778" s="3">
        <v>245.58878181427301</v>
      </c>
      <c r="L778" s="3">
        <v>91.562850549244203</v>
      </c>
      <c r="M778" s="3">
        <v>5.7273762441580196</v>
      </c>
      <c r="N778" s="3">
        <v>84.617233479590595</v>
      </c>
      <c r="O778" s="3">
        <v>6.7486219799159297</v>
      </c>
      <c r="P778" s="3">
        <v>61.923874777319398</v>
      </c>
      <c r="Q778" s="3">
        <v>75.387622777010904</v>
      </c>
      <c r="R778" s="3" t="str">
        <f>IF(Table1[[#This Row],[Nutrition_Quality_Score]]&lt;60, "Poor Nutrition",IF(AND(Table1[[#This Row],[Nutrition_Quality_Score]]&gt;=60,Table1[[#This Row],[Nutrition_Quality_Score]]&lt;=80),"Average Nutrition", "Good Nutrition"))</f>
        <v>Average Nutrition</v>
      </c>
      <c r="S778">
        <v>1</v>
      </c>
      <c r="T778" t="str">
        <f>IF(Table1[[#This Row],[Warmup_Routine_Adherence]]=1, "Adherent","Non-Adherent")</f>
        <v>Adherent</v>
      </c>
      <c r="U778">
        <v>0</v>
      </c>
      <c r="V778" t="str">
        <f>IF(Table1[[#This Row],[Injury_Next_Season]]=1, "Injury","No Injury")</f>
        <v>No Injury</v>
      </c>
      <c r="W778" s="3">
        <v>31.992171327486901</v>
      </c>
    </row>
    <row r="779" spans="1:23" x14ac:dyDescent="0.25">
      <c r="A779" s="6">
        <v>20</v>
      </c>
      <c r="B779" s="8" t="str">
        <f>CONCATENATE(Table1[[#This Row],[Age]]," ", "years")</f>
        <v>20 years</v>
      </c>
      <c r="C779">
        <v>178</v>
      </c>
      <c r="D779">
        <v>65</v>
      </c>
      <c r="E779" t="s">
        <v>19</v>
      </c>
      <c r="F779" s="3">
        <v>7.3326478731318803</v>
      </c>
      <c r="G779" s="3">
        <v>6</v>
      </c>
      <c r="H779">
        <v>2</v>
      </c>
      <c r="I779" s="3">
        <v>68.693693029572998</v>
      </c>
      <c r="J779" s="3">
        <v>84.175547650281203</v>
      </c>
      <c r="K779" s="3">
        <v>247.49182303114401</v>
      </c>
      <c r="L779" s="3">
        <v>73.512410816177706</v>
      </c>
      <c r="M779" s="3">
        <v>6.2013151759434297</v>
      </c>
      <c r="N779" s="3">
        <v>88.992252742906203</v>
      </c>
      <c r="O779" s="3">
        <v>7.5263518662894002</v>
      </c>
      <c r="P779" s="3">
        <v>53.202616519046202</v>
      </c>
      <c r="Q779" s="3">
        <v>55.016390892520803</v>
      </c>
      <c r="R779" s="3" t="str">
        <f>IF(Table1[[#This Row],[Nutrition_Quality_Score]]&lt;60, "Poor Nutrition",IF(AND(Table1[[#This Row],[Nutrition_Quality_Score]]&gt;=60,Table1[[#This Row],[Nutrition_Quality_Score]]&lt;=80),"Average Nutrition", "Good Nutrition"))</f>
        <v>Poor Nutrition</v>
      </c>
      <c r="S779">
        <v>1</v>
      </c>
      <c r="T779" t="str">
        <f>IF(Table1[[#This Row],[Warmup_Routine_Adherence]]=1, "Adherent","Non-Adherent")</f>
        <v>Adherent</v>
      </c>
      <c r="U779">
        <v>0</v>
      </c>
      <c r="V779" t="str">
        <f>IF(Table1[[#This Row],[Injury_Next_Season]]=1, "Injury","No Injury")</f>
        <v>No Injury</v>
      </c>
      <c r="W779" s="3">
        <v>20.515086478979899</v>
      </c>
    </row>
    <row r="780" spans="1:23" x14ac:dyDescent="0.25">
      <c r="A780" s="6">
        <v>18</v>
      </c>
      <c r="B780" s="8" t="str">
        <f>CONCATENATE(Table1[[#This Row],[Age]]," ", "years")</f>
        <v>18 years</v>
      </c>
      <c r="C780">
        <v>177</v>
      </c>
      <c r="D780">
        <v>71</v>
      </c>
      <c r="E780" t="s">
        <v>22</v>
      </c>
      <c r="F780" s="3">
        <v>7.3450273980171898</v>
      </c>
      <c r="G780" s="3">
        <v>13</v>
      </c>
      <c r="H780">
        <v>1</v>
      </c>
      <c r="I780" s="3">
        <v>72.041827621625401</v>
      </c>
      <c r="J780" s="3">
        <v>85.534787211544895</v>
      </c>
      <c r="K780" s="3">
        <v>270.30942462024302</v>
      </c>
      <c r="L780" s="3">
        <v>76.210358913155005</v>
      </c>
      <c r="M780" s="3">
        <v>5.3189576588881504</v>
      </c>
      <c r="N780" s="3">
        <v>71.907133046723899</v>
      </c>
      <c r="O780" s="3">
        <v>6.3747111148562796</v>
      </c>
      <c r="P780" s="3">
        <v>59.791065952886903</v>
      </c>
      <c r="Q780" s="3">
        <v>78.423660320302702</v>
      </c>
      <c r="R780" s="3" t="str">
        <f>IF(Table1[[#This Row],[Nutrition_Quality_Score]]&lt;60, "Poor Nutrition",IF(AND(Table1[[#This Row],[Nutrition_Quality_Score]]&gt;=60,Table1[[#This Row],[Nutrition_Quality_Score]]&lt;=80),"Average Nutrition", "Good Nutrition"))</f>
        <v>Average Nutrition</v>
      </c>
      <c r="S780">
        <v>0</v>
      </c>
      <c r="T780" t="str">
        <f>IF(Table1[[#This Row],[Warmup_Routine_Adherence]]=1, "Adherent","Non-Adherent")</f>
        <v>Non-Adherent</v>
      </c>
      <c r="U780">
        <v>1</v>
      </c>
      <c r="V780" t="str">
        <f>IF(Table1[[#This Row],[Injury_Next_Season]]=1, "Injury","No Injury")</f>
        <v>Injury</v>
      </c>
      <c r="W780" s="3">
        <v>22.662708672475901</v>
      </c>
    </row>
    <row r="781" spans="1:23" x14ac:dyDescent="0.25">
      <c r="A781" s="6">
        <v>19</v>
      </c>
      <c r="B781" s="8" t="str">
        <f>CONCATENATE(Table1[[#This Row],[Age]]," ", "years")</f>
        <v>19 years</v>
      </c>
      <c r="C781">
        <v>174</v>
      </c>
      <c r="D781">
        <v>82</v>
      </c>
      <c r="E781" t="s">
        <v>21</v>
      </c>
      <c r="F781" s="3">
        <v>8.1357965550740694</v>
      </c>
      <c r="G781" s="3">
        <v>38</v>
      </c>
      <c r="H781">
        <v>1</v>
      </c>
      <c r="I781" s="3">
        <v>77.5942509036377</v>
      </c>
      <c r="J781" s="3">
        <v>83.599970752658393</v>
      </c>
      <c r="K781" s="3">
        <v>197.94027121524201</v>
      </c>
      <c r="L781" s="3">
        <v>89.842884236774196</v>
      </c>
      <c r="M781" s="3">
        <v>6.15226104265383</v>
      </c>
      <c r="N781" s="3">
        <v>88.613366494243394</v>
      </c>
      <c r="O781" s="3">
        <v>7.2729218872971204</v>
      </c>
      <c r="P781" s="3">
        <v>65.016815144537304</v>
      </c>
      <c r="Q781" s="3">
        <v>73.161847658438205</v>
      </c>
      <c r="R781" s="3" t="str">
        <f>IF(Table1[[#This Row],[Nutrition_Quality_Score]]&lt;60, "Poor Nutrition",IF(AND(Table1[[#This Row],[Nutrition_Quality_Score]]&gt;=60,Table1[[#This Row],[Nutrition_Quality_Score]]&lt;=80),"Average Nutrition", "Good Nutrition"))</f>
        <v>Average Nutrition</v>
      </c>
      <c r="S781">
        <v>0</v>
      </c>
      <c r="T781" t="str">
        <f>IF(Table1[[#This Row],[Warmup_Routine_Adherence]]=1, "Adherent","Non-Adherent")</f>
        <v>Non-Adherent</v>
      </c>
      <c r="U781">
        <v>0</v>
      </c>
      <c r="V781" t="str">
        <f>IF(Table1[[#This Row],[Injury_Next_Season]]=1, "Injury","No Injury")</f>
        <v>No Injury</v>
      </c>
      <c r="W781" s="3">
        <v>27.084159069890301</v>
      </c>
    </row>
    <row r="782" spans="1:23" x14ac:dyDescent="0.25">
      <c r="A782" s="6">
        <v>18</v>
      </c>
      <c r="B782" s="8" t="str">
        <f>CONCATENATE(Table1[[#This Row],[Age]]," ", "years")</f>
        <v>18 years</v>
      </c>
      <c r="C782">
        <v>178</v>
      </c>
      <c r="D782">
        <v>67</v>
      </c>
      <c r="E782" t="s">
        <v>21</v>
      </c>
      <c r="F782" s="3">
        <v>9.5285159886604092</v>
      </c>
      <c r="G782" s="3">
        <v>23</v>
      </c>
      <c r="H782">
        <v>5</v>
      </c>
      <c r="I782" s="3">
        <v>69.405814709985606</v>
      </c>
      <c r="J782" s="3">
        <v>83.023339710580004</v>
      </c>
      <c r="K782" s="3">
        <v>283.026431677929</v>
      </c>
      <c r="L782" s="3">
        <v>89.270535774298693</v>
      </c>
      <c r="M782" s="3">
        <v>5.7810898491282003</v>
      </c>
      <c r="N782" s="3">
        <v>78.349715124104804</v>
      </c>
      <c r="O782" s="3">
        <v>7.1773686097343896</v>
      </c>
      <c r="P782" s="3">
        <v>81.573838060450001</v>
      </c>
      <c r="Q782" s="3">
        <v>69.055731199107797</v>
      </c>
      <c r="R782" s="3" t="str">
        <f>IF(Table1[[#This Row],[Nutrition_Quality_Score]]&lt;60, "Poor Nutrition",IF(AND(Table1[[#This Row],[Nutrition_Quality_Score]]&gt;=60,Table1[[#This Row],[Nutrition_Quality_Score]]&lt;=80),"Average Nutrition", "Good Nutrition"))</f>
        <v>Average Nutrition</v>
      </c>
      <c r="S782">
        <v>0</v>
      </c>
      <c r="T782" t="str">
        <f>IF(Table1[[#This Row],[Warmup_Routine_Adherence]]=1, "Adherent","Non-Adherent")</f>
        <v>Non-Adherent</v>
      </c>
      <c r="U782">
        <v>1</v>
      </c>
      <c r="V782" t="str">
        <f>IF(Table1[[#This Row],[Injury_Next_Season]]=1, "Injury","No Injury")</f>
        <v>Injury</v>
      </c>
      <c r="W782" s="3">
        <v>21.146319909102299</v>
      </c>
    </row>
    <row r="783" spans="1:23" x14ac:dyDescent="0.25">
      <c r="A783" s="6">
        <v>19</v>
      </c>
      <c r="B783" s="8" t="str">
        <f>CONCATENATE(Table1[[#This Row],[Age]]," ", "years")</f>
        <v>19 years</v>
      </c>
      <c r="C783">
        <v>180</v>
      </c>
      <c r="D783">
        <v>75</v>
      </c>
      <c r="E783" t="s">
        <v>20</v>
      </c>
      <c r="F783" s="3">
        <v>12.2690355972448</v>
      </c>
      <c r="G783" s="3">
        <v>36</v>
      </c>
      <c r="H783">
        <v>1</v>
      </c>
      <c r="I783" s="3">
        <v>77.920558625656099</v>
      </c>
      <c r="J783" s="3">
        <v>78.537807150338807</v>
      </c>
      <c r="K783" s="3">
        <v>245.72651712289999</v>
      </c>
      <c r="L783" s="3">
        <v>82.015063586606999</v>
      </c>
      <c r="M783" s="3">
        <v>6.1771620387059896</v>
      </c>
      <c r="N783" s="3">
        <v>74.870790365602403</v>
      </c>
      <c r="O783" s="3">
        <v>9.0947306673902197</v>
      </c>
      <c r="P783" s="3">
        <v>67.092722873518696</v>
      </c>
      <c r="Q783" s="3">
        <v>93.420354119439594</v>
      </c>
      <c r="R783" s="3" t="str">
        <f>IF(Table1[[#This Row],[Nutrition_Quality_Score]]&lt;60, "Poor Nutrition",IF(AND(Table1[[#This Row],[Nutrition_Quality_Score]]&gt;=60,Table1[[#This Row],[Nutrition_Quality_Score]]&lt;=80),"Average Nutrition", "Good Nutrition"))</f>
        <v>Good Nutrition</v>
      </c>
      <c r="S783">
        <v>1</v>
      </c>
      <c r="T783" t="str">
        <f>IF(Table1[[#This Row],[Warmup_Routine_Adherence]]=1, "Adherent","Non-Adherent")</f>
        <v>Adherent</v>
      </c>
      <c r="U783">
        <v>0</v>
      </c>
      <c r="V783" t="str">
        <f>IF(Table1[[#This Row],[Injury_Next_Season]]=1, "Injury","No Injury")</f>
        <v>No Injury</v>
      </c>
      <c r="W783" s="3">
        <v>23.148148148148099</v>
      </c>
    </row>
    <row r="784" spans="1:23" x14ac:dyDescent="0.25">
      <c r="A784" s="6">
        <v>23</v>
      </c>
      <c r="B784" s="8" t="str">
        <f>CONCATENATE(Table1[[#This Row],[Age]]," ", "years")</f>
        <v>23 years</v>
      </c>
      <c r="C784">
        <v>179</v>
      </c>
      <c r="D784">
        <v>59</v>
      </c>
      <c r="E784" t="s">
        <v>21</v>
      </c>
      <c r="F784" s="3">
        <v>7.5392269318811298</v>
      </c>
      <c r="G784" s="3">
        <v>39</v>
      </c>
      <c r="H784">
        <v>2</v>
      </c>
      <c r="I784" s="3">
        <v>75.305861281769495</v>
      </c>
      <c r="J784" s="3">
        <v>68.651673295143098</v>
      </c>
      <c r="K784" s="3">
        <v>288.11060093244703</v>
      </c>
      <c r="L784" s="3">
        <v>89.499499386944095</v>
      </c>
      <c r="M784" s="3">
        <v>5.9173130998860604</v>
      </c>
      <c r="N784" s="3">
        <v>74.091955782860197</v>
      </c>
      <c r="O784" s="3">
        <v>6.6158565645562399</v>
      </c>
      <c r="P784" s="3">
        <v>44.2722542030941</v>
      </c>
      <c r="Q784" s="3">
        <v>81.001713647814498</v>
      </c>
      <c r="R784" s="3" t="str">
        <f>IF(Table1[[#This Row],[Nutrition_Quality_Score]]&lt;60, "Poor Nutrition",IF(AND(Table1[[#This Row],[Nutrition_Quality_Score]]&gt;=60,Table1[[#This Row],[Nutrition_Quality_Score]]&lt;=80),"Average Nutrition", "Good Nutrition"))</f>
        <v>Good Nutrition</v>
      </c>
      <c r="S784">
        <v>1</v>
      </c>
      <c r="T784" t="str">
        <f>IF(Table1[[#This Row],[Warmup_Routine_Adherence]]=1, "Adherent","Non-Adherent")</f>
        <v>Adherent</v>
      </c>
      <c r="U784">
        <v>1</v>
      </c>
      <c r="V784" t="str">
        <f>IF(Table1[[#This Row],[Injury_Next_Season]]=1, "Injury","No Injury")</f>
        <v>Injury</v>
      </c>
      <c r="W784" s="3">
        <v>18.413907181423799</v>
      </c>
    </row>
    <row r="785" spans="1:23" x14ac:dyDescent="0.25">
      <c r="A785" s="6">
        <v>20</v>
      </c>
      <c r="B785" s="8" t="str">
        <f>CONCATENATE(Table1[[#This Row],[Age]]," ", "years")</f>
        <v>20 years</v>
      </c>
      <c r="C785">
        <v>184</v>
      </c>
      <c r="D785">
        <v>71</v>
      </c>
      <c r="E785" t="s">
        <v>20</v>
      </c>
      <c r="F785" s="3">
        <v>10.3778120422431</v>
      </c>
      <c r="G785" s="3">
        <v>15</v>
      </c>
      <c r="H785">
        <v>0</v>
      </c>
      <c r="I785" s="3">
        <v>69.713249717774701</v>
      </c>
      <c r="J785" s="3">
        <v>88.989563420772996</v>
      </c>
      <c r="K785" s="3">
        <v>245.35903095737399</v>
      </c>
      <c r="L785" s="3">
        <v>86.595850822434301</v>
      </c>
      <c r="M785" s="3">
        <v>6.6864773375896398</v>
      </c>
      <c r="N785" s="3">
        <v>100</v>
      </c>
      <c r="O785" s="3">
        <v>7.8648140405689801</v>
      </c>
      <c r="P785" s="3">
        <v>45.1806853295002</v>
      </c>
      <c r="Q785" s="3">
        <v>78.413679472178103</v>
      </c>
      <c r="R785" s="3" t="str">
        <f>IF(Table1[[#This Row],[Nutrition_Quality_Score]]&lt;60, "Poor Nutrition",IF(AND(Table1[[#This Row],[Nutrition_Quality_Score]]&gt;=60,Table1[[#This Row],[Nutrition_Quality_Score]]&lt;=80),"Average Nutrition", "Good Nutrition"))</f>
        <v>Average Nutrition</v>
      </c>
      <c r="S785">
        <v>1</v>
      </c>
      <c r="T785" t="str">
        <f>IF(Table1[[#This Row],[Warmup_Routine_Adherence]]=1, "Adherent","Non-Adherent")</f>
        <v>Adherent</v>
      </c>
      <c r="U785">
        <v>0</v>
      </c>
      <c r="V785" t="str">
        <f>IF(Table1[[#This Row],[Injury_Next_Season]]=1, "Injury","No Injury")</f>
        <v>No Injury</v>
      </c>
      <c r="W785" s="3">
        <v>20.9711720226843</v>
      </c>
    </row>
    <row r="786" spans="1:23" x14ac:dyDescent="0.25">
      <c r="A786" s="6">
        <v>23</v>
      </c>
      <c r="B786" s="8" t="str">
        <f>CONCATENATE(Table1[[#This Row],[Age]]," ", "years")</f>
        <v>23 years</v>
      </c>
      <c r="C786">
        <v>173</v>
      </c>
      <c r="D786">
        <v>74</v>
      </c>
      <c r="E786" t="s">
        <v>22</v>
      </c>
      <c r="F786" s="3">
        <v>9.4603994416115107</v>
      </c>
      <c r="G786" s="3">
        <v>9</v>
      </c>
      <c r="H786">
        <v>3</v>
      </c>
      <c r="I786" s="3">
        <v>72.522427798954098</v>
      </c>
      <c r="J786" s="3">
        <v>75.459781470853898</v>
      </c>
      <c r="K786" s="3">
        <v>297.66275679211901</v>
      </c>
      <c r="L786" s="3">
        <v>88.219517104610404</v>
      </c>
      <c r="M786" s="3">
        <v>5.72373768177318</v>
      </c>
      <c r="N786" s="3">
        <v>76.127907452939397</v>
      </c>
      <c r="O786" s="3">
        <v>5</v>
      </c>
      <c r="P786" s="3">
        <v>57.013662499231998</v>
      </c>
      <c r="Q786" s="3">
        <v>80.609225143515403</v>
      </c>
      <c r="R786" s="3" t="str">
        <f>IF(Table1[[#This Row],[Nutrition_Quality_Score]]&lt;60, "Poor Nutrition",IF(AND(Table1[[#This Row],[Nutrition_Quality_Score]]&gt;=60,Table1[[#This Row],[Nutrition_Quality_Score]]&lt;=80),"Average Nutrition", "Good Nutrition"))</f>
        <v>Good Nutrition</v>
      </c>
      <c r="S786">
        <v>0</v>
      </c>
      <c r="T786" t="str">
        <f>IF(Table1[[#This Row],[Warmup_Routine_Adherence]]=1, "Adherent","Non-Adherent")</f>
        <v>Non-Adherent</v>
      </c>
      <c r="U786">
        <v>1</v>
      </c>
      <c r="V786" t="str">
        <f>IF(Table1[[#This Row],[Injury_Next_Season]]=1, "Injury","No Injury")</f>
        <v>Injury</v>
      </c>
      <c r="W786" s="3">
        <v>24.725182932941198</v>
      </c>
    </row>
    <row r="787" spans="1:23" x14ac:dyDescent="0.25">
      <c r="A787" s="6">
        <v>24</v>
      </c>
      <c r="B787" s="8" t="str">
        <f>CONCATENATE(Table1[[#This Row],[Age]]," ", "years")</f>
        <v>24 years</v>
      </c>
      <c r="C787">
        <v>178</v>
      </c>
      <c r="D787">
        <v>69</v>
      </c>
      <c r="E787" t="s">
        <v>21</v>
      </c>
      <c r="F787" s="3">
        <v>8.89223706904518</v>
      </c>
      <c r="G787" s="3">
        <v>22</v>
      </c>
      <c r="H787">
        <v>0</v>
      </c>
      <c r="I787" s="3">
        <v>74.231095770479698</v>
      </c>
      <c r="J787" s="3">
        <v>68.224178434821198</v>
      </c>
      <c r="K787" s="3">
        <v>251.172107804956</v>
      </c>
      <c r="L787" s="3">
        <v>71.010192583284805</v>
      </c>
      <c r="M787" s="3">
        <v>5.7890006574238599</v>
      </c>
      <c r="N787" s="3">
        <v>76.624216259737494</v>
      </c>
      <c r="O787" s="3">
        <v>7.23587654940824</v>
      </c>
      <c r="P787" s="3">
        <v>63.917902028910902</v>
      </c>
      <c r="Q787" s="3">
        <v>62.128085844599099</v>
      </c>
      <c r="R787" s="3" t="str">
        <f>IF(Table1[[#This Row],[Nutrition_Quality_Score]]&lt;60, "Poor Nutrition",IF(AND(Table1[[#This Row],[Nutrition_Quality_Score]]&gt;=60,Table1[[#This Row],[Nutrition_Quality_Score]]&lt;=80),"Average Nutrition", "Good Nutrition"))</f>
        <v>Average Nutrition</v>
      </c>
      <c r="S787">
        <v>1</v>
      </c>
      <c r="T787" t="str">
        <f>IF(Table1[[#This Row],[Warmup_Routine_Adherence]]=1, "Adherent","Non-Adherent")</f>
        <v>Adherent</v>
      </c>
      <c r="U787">
        <v>1</v>
      </c>
      <c r="V787" t="str">
        <f>IF(Table1[[#This Row],[Injury_Next_Season]]=1, "Injury","No Injury")</f>
        <v>Injury</v>
      </c>
      <c r="W787" s="3">
        <v>21.777553339224799</v>
      </c>
    </row>
    <row r="788" spans="1:23" x14ac:dyDescent="0.25">
      <c r="A788" s="6">
        <v>21</v>
      </c>
      <c r="B788" s="8" t="str">
        <f>CONCATENATE(Table1[[#This Row],[Age]]," ", "years")</f>
        <v>21 years</v>
      </c>
      <c r="C788">
        <v>185</v>
      </c>
      <c r="D788">
        <v>72</v>
      </c>
      <c r="E788" t="s">
        <v>21</v>
      </c>
      <c r="F788" s="3">
        <v>9.1629627744834394</v>
      </c>
      <c r="G788" s="3">
        <v>27</v>
      </c>
      <c r="H788">
        <v>4</v>
      </c>
      <c r="I788" s="3">
        <v>74.605146910504601</v>
      </c>
      <c r="J788" s="3">
        <v>81.325589544012004</v>
      </c>
      <c r="K788" s="3">
        <v>280.047020058626</v>
      </c>
      <c r="L788" s="3">
        <v>61.930897821220903</v>
      </c>
      <c r="M788" s="3">
        <v>5.9628294657053997</v>
      </c>
      <c r="N788" s="3">
        <v>72.726160137098304</v>
      </c>
      <c r="O788" s="3">
        <v>7.3968215114763698</v>
      </c>
      <c r="P788" s="3">
        <v>66.259469119356098</v>
      </c>
      <c r="Q788" s="3">
        <v>74.876891885625497</v>
      </c>
      <c r="R788" s="3" t="str">
        <f>IF(Table1[[#This Row],[Nutrition_Quality_Score]]&lt;60, "Poor Nutrition",IF(AND(Table1[[#This Row],[Nutrition_Quality_Score]]&gt;=60,Table1[[#This Row],[Nutrition_Quality_Score]]&lt;=80),"Average Nutrition", "Good Nutrition"))</f>
        <v>Average Nutrition</v>
      </c>
      <c r="S788">
        <v>0</v>
      </c>
      <c r="T788" t="str">
        <f>IF(Table1[[#This Row],[Warmup_Routine_Adherence]]=1, "Adherent","Non-Adherent")</f>
        <v>Non-Adherent</v>
      </c>
      <c r="U788">
        <v>1</v>
      </c>
      <c r="V788" t="str">
        <f>IF(Table1[[#This Row],[Injury_Next_Season]]=1, "Injury","No Injury")</f>
        <v>Injury</v>
      </c>
      <c r="W788" s="3">
        <v>21.037253469685901</v>
      </c>
    </row>
    <row r="789" spans="1:23" x14ac:dyDescent="0.25">
      <c r="A789" s="6">
        <v>20</v>
      </c>
      <c r="B789" s="8" t="str">
        <f>CONCATENATE(Table1[[#This Row],[Age]]," ", "years")</f>
        <v>20 years</v>
      </c>
      <c r="C789">
        <v>181</v>
      </c>
      <c r="D789">
        <v>88</v>
      </c>
      <c r="E789" t="s">
        <v>21</v>
      </c>
      <c r="F789" s="3">
        <v>11.292128570848501</v>
      </c>
      <c r="G789" s="3">
        <v>14</v>
      </c>
      <c r="H789">
        <v>1</v>
      </c>
      <c r="I789" s="3">
        <v>78.152967038191505</v>
      </c>
      <c r="J789" s="3">
        <v>87.386102057740402</v>
      </c>
      <c r="K789" s="3">
        <v>286.06089396173297</v>
      </c>
      <c r="L789" s="3">
        <v>90.225836695498899</v>
      </c>
      <c r="M789" s="3">
        <v>5.6851975885962496</v>
      </c>
      <c r="N789" s="3">
        <v>84.200174550377596</v>
      </c>
      <c r="O789" s="3">
        <v>7.3997820539774599</v>
      </c>
      <c r="P789" s="3">
        <v>34.031240609737303</v>
      </c>
      <c r="Q789" s="3">
        <v>62.667537247609197</v>
      </c>
      <c r="R789" s="3" t="str">
        <f>IF(Table1[[#This Row],[Nutrition_Quality_Score]]&lt;60, "Poor Nutrition",IF(AND(Table1[[#This Row],[Nutrition_Quality_Score]]&gt;=60,Table1[[#This Row],[Nutrition_Quality_Score]]&lt;=80),"Average Nutrition", "Good Nutrition"))</f>
        <v>Average Nutrition</v>
      </c>
      <c r="S789">
        <v>1</v>
      </c>
      <c r="T789" t="str">
        <f>IF(Table1[[#This Row],[Warmup_Routine_Adherence]]=1, "Adherent","Non-Adherent")</f>
        <v>Adherent</v>
      </c>
      <c r="U789">
        <v>0</v>
      </c>
      <c r="V789" t="str">
        <f>IF(Table1[[#This Row],[Injury_Next_Season]]=1, "Injury","No Injury")</f>
        <v>No Injury</v>
      </c>
      <c r="W789" s="3">
        <v>26.861206922865598</v>
      </c>
    </row>
    <row r="790" spans="1:23" x14ac:dyDescent="0.25">
      <c r="A790" s="6">
        <v>21</v>
      </c>
      <c r="B790" s="8" t="str">
        <f>CONCATENATE(Table1[[#This Row],[Age]]," ", "years")</f>
        <v>21 years</v>
      </c>
      <c r="C790">
        <v>174</v>
      </c>
      <c r="D790">
        <v>80</v>
      </c>
      <c r="E790" t="s">
        <v>19</v>
      </c>
      <c r="F790" s="3">
        <v>7.6603922281425003</v>
      </c>
      <c r="G790" s="3">
        <v>10</v>
      </c>
      <c r="H790">
        <v>1</v>
      </c>
      <c r="I790" s="3">
        <v>70.206594697956405</v>
      </c>
      <c r="J790" s="3">
        <v>69.363689895807298</v>
      </c>
      <c r="K790" s="3">
        <v>276.13823010803799</v>
      </c>
      <c r="L790" s="3">
        <v>74.842512058473503</v>
      </c>
      <c r="M790" s="3">
        <v>5.2940045087605503</v>
      </c>
      <c r="N790" s="3">
        <v>68.935330654938895</v>
      </c>
      <c r="O790" s="3">
        <v>7.5353436397055704</v>
      </c>
      <c r="P790" s="3">
        <v>42.766541966944096</v>
      </c>
      <c r="Q790" s="3">
        <v>68.041834944954999</v>
      </c>
      <c r="R790" s="3" t="str">
        <f>IF(Table1[[#This Row],[Nutrition_Quality_Score]]&lt;60, "Poor Nutrition",IF(AND(Table1[[#This Row],[Nutrition_Quality_Score]]&gt;=60,Table1[[#This Row],[Nutrition_Quality_Score]]&lt;=80),"Average Nutrition", "Good Nutrition"))</f>
        <v>Average Nutrition</v>
      </c>
      <c r="S790">
        <v>0</v>
      </c>
      <c r="T790" t="str">
        <f>IF(Table1[[#This Row],[Warmup_Routine_Adherence]]=1, "Adherent","Non-Adherent")</f>
        <v>Non-Adherent</v>
      </c>
      <c r="U790">
        <v>1</v>
      </c>
      <c r="V790" t="str">
        <f>IF(Table1[[#This Row],[Injury_Next_Season]]=1, "Injury","No Injury")</f>
        <v>Injury</v>
      </c>
      <c r="W790" s="3">
        <v>26.423569824283199</v>
      </c>
    </row>
    <row r="791" spans="1:23" x14ac:dyDescent="0.25">
      <c r="A791" s="6">
        <v>21</v>
      </c>
      <c r="B791" s="8" t="str">
        <f>CONCATENATE(Table1[[#This Row],[Age]]," ", "years")</f>
        <v>21 years</v>
      </c>
      <c r="C791">
        <v>172</v>
      </c>
      <c r="D791">
        <v>91</v>
      </c>
      <c r="E791" t="s">
        <v>20</v>
      </c>
      <c r="F791" s="3">
        <v>7.7146753980863796</v>
      </c>
      <c r="G791" s="3">
        <v>39</v>
      </c>
      <c r="H791">
        <v>4</v>
      </c>
      <c r="I791" s="3">
        <v>70.587522618266803</v>
      </c>
      <c r="J791" s="3">
        <v>64.434833051556694</v>
      </c>
      <c r="K791" s="3">
        <v>257.972455619291</v>
      </c>
      <c r="L791" s="3">
        <v>73.362189418101195</v>
      </c>
      <c r="M791" s="3">
        <v>6.1147198063033699</v>
      </c>
      <c r="N791" s="3">
        <v>73.042431440037305</v>
      </c>
      <c r="O791" s="3">
        <v>6.2886242126757601</v>
      </c>
      <c r="P791" s="3">
        <v>56.651192479403903</v>
      </c>
      <c r="Q791" s="3">
        <v>78.604738123711499</v>
      </c>
      <c r="R791" s="3" t="str">
        <f>IF(Table1[[#This Row],[Nutrition_Quality_Score]]&lt;60, "Poor Nutrition",IF(AND(Table1[[#This Row],[Nutrition_Quality_Score]]&gt;=60,Table1[[#This Row],[Nutrition_Quality_Score]]&lt;=80),"Average Nutrition", "Good Nutrition"))</f>
        <v>Average Nutrition</v>
      </c>
      <c r="S791">
        <v>1</v>
      </c>
      <c r="T791" t="str">
        <f>IF(Table1[[#This Row],[Warmup_Routine_Adherence]]=1, "Adherent","Non-Adherent")</f>
        <v>Adherent</v>
      </c>
      <c r="U791">
        <v>1</v>
      </c>
      <c r="V791" t="str">
        <f>IF(Table1[[#This Row],[Injury_Next_Season]]=1, "Injury","No Injury")</f>
        <v>Injury</v>
      </c>
      <c r="W791" s="3">
        <v>30.7598702001081</v>
      </c>
    </row>
    <row r="792" spans="1:23" x14ac:dyDescent="0.25">
      <c r="A792" s="6">
        <v>22</v>
      </c>
      <c r="B792" s="8" t="str">
        <f>CONCATENATE(Table1[[#This Row],[Age]]," ", "years")</f>
        <v>22 years</v>
      </c>
      <c r="C792">
        <v>165</v>
      </c>
      <c r="D792">
        <v>91</v>
      </c>
      <c r="E792" t="s">
        <v>20</v>
      </c>
      <c r="F792" s="3">
        <v>10.380341143105399</v>
      </c>
      <c r="G792" s="3">
        <v>33</v>
      </c>
      <c r="H792">
        <v>0</v>
      </c>
      <c r="I792" s="3">
        <v>78.789353778148495</v>
      </c>
      <c r="J792" s="3">
        <v>83.184336830604806</v>
      </c>
      <c r="K792" s="3">
        <v>243.74049641807301</v>
      </c>
      <c r="L792" s="3">
        <v>90.058561666088906</v>
      </c>
      <c r="M792" s="3">
        <v>6.4479634257071101</v>
      </c>
      <c r="N792" s="3">
        <v>84.347563273944999</v>
      </c>
      <c r="O792" s="3">
        <v>8.5125136849271499</v>
      </c>
      <c r="P792" s="3">
        <v>32.854776917021397</v>
      </c>
      <c r="Q792" s="3">
        <v>66.566416619017104</v>
      </c>
      <c r="R792" s="3" t="str">
        <f>IF(Table1[[#This Row],[Nutrition_Quality_Score]]&lt;60, "Poor Nutrition",IF(AND(Table1[[#This Row],[Nutrition_Quality_Score]]&gt;=60,Table1[[#This Row],[Nutrition_Quality_Score]]&lt;=80),"Average Nutrition", "Good Nutrition"))</f>
        <v>Average Nutrition</v>
      </c>
      <c r="S792">
        <v>1</v>
      </c>
      <c r="T792" t="str">
        <f>IF(Table1[[#This Row],[Warmup_Routine_Adherence]]=1, "Adherent","Non-Adherent")</f>
        <v>Adherent</v>
      </c>
      <c r="U792">
        <v>0</v>
      </c>
      <c r="V792" t="str">
        <f>IF(Table1[[#This Row],[Injury_Next_Season]]=1, "Injury","No Injury")</f>
        <v>No Injury</v>
      </c>
      <c r="W792" s="3">
        <v>33.425160697887897</v>
      </c>
    </row>
    <row r="793" spans="1:23" x14ac:dyDescent="0.25">
      <c r="A793" s="6">
        <v>22</v>
      </c>
      <c r="B793" s="8" t="str">
        <f>CONCATENATE(Table1[[#This Row],[Age]]," ", "years")</f>
        <v>22 years</v>
      </c>
      <c r="C793">
        <v>176</v>
      </c>
      <c r="D793">
        <v>64</v>
      </c>
      <c r="E793" t="s">
        <v>19</v>
      </c>
      <c r="F793" s="3">
        <v>10.3109226836646</v>
      </c>
      <c r="G793" s="3">
        <v>12</v>
      </c>
      <c r="H793">
        <v>8</v>
      </c>
      <c r="I793" s="3">
        <v>72.835611996311897</v>
      </c>
      <c r="J793" s="3">
        <v>68.084009704498001</v>
      </c>
      <c r="K793" s="3">
        <v>262.94082462939099</v>
      </c>
      <c r="L793" s="3">
        <v>77.426225819534196</v>
      </c>
      <c r="M793" s="3">
        <v>6.5118268493610598</v>
      </c>
      <c r="N793" s="3">
        <v>78.462913990579096</v>
      </c>
      <c r="O793" s="3">
        <v>8.0364969562693105</v>
      </c>
      <c r="P793" s="3">
        <v>56.8439476583237</v>
      </c>
      <c r="Q793" s="3">
        <v>78.416412432770201</v>
      </c>
      <c r="R793" s="3" t="str">
        <f>IF(Table1[[#This Row],[Nutrition_Quality_Score]]&lt;60, "Poor Nutrition",IF(AND(Table1[[#This Row],[Nutrition_Quality_Score]]&gt;=60,Table1[[#This Row],[Nutrition_Quality_Score]]&lt;=80),"Average Nutrition", "Good Nutrition"))</f>
        <v>Average Nutrition</v>
      </c>
      <c r="S793">
        <v>0</v>
      </c>
      <c r="T793" t="str">
        <f>IF(Table1[[#This Row],[Warmup_Routine_Adherence]]=1, "Adherent","Non-Adherent")</f>
        <v>Non-Adherent</v>
      </c>
      <c r="U793">
        <v>1</v>
      </c>
      <c r="V793" t="str">
        <f>IF(Table1[[#This Row],[Injury_Next_Season]]=1, "Injury","No Injury")</f>
        <v>Injury</v>
      </c>
      <c r="W793" s="3">
        <v>20.661157024793301</v>
      </c>
    </row>
    <row r="794" spans="1:23" x14ac:dyDescent="0.25">
      <c r="A794" s="6">
        <v>22</v>
      </c>
      <c r="B794" s="8" t="str">
        <f>CONCATENATE(Table1[[#This Row],[Age]]," ", "years")</f>
        <v>22 years</v>
      </c>
      <c r="C794">
        <v>177</v>
      </c>
      <c r="D794">
        <v>47</v>
      </c>
      <c r="E794" t="s">
        <v>19</v>
      </c>
      <c r="F794" s="3">
        <v>8.6555782934863306</v>
      </c>
      <c r="G794" s="3">
        <v>5</v>
      </c>
      <c r="H794">
        <v>2</v>
      </c>
      <c r="I794" s="3">
        <v>78.407460652594693</v>
      </c>
      <c r="J794" s="3">
        <v>70.448078158627297</v>
      </c>
      <c r="K794" s="3">
        <v>245.27916047895201</v>
      </c>
      <c r="L794" s="3">
        <v>92.705115693524107</v>
      </c>
      <c r="M794" s="3">
        <v>5.9462745779687403</v>
      </c>
      <c r="N794" s="3">
        <v>85.762187574943695</v>
      </c>
      <c r="O794" s="3">
        <v>8.1991870861269494</v>
      </c>
      <c r="P794" s="3">
        <v>60.006854606277301</v>
      </c>
      <c r="Q794" s="3">
        <v>78.966523765737094</v>
      </c>
      <c r="R794" s="3" t="str">
        <f>IF(Table1[[#This Row],[Nutrition_Quality_Score]]&lt;60, "Poor Nutrition",IF(AND(Table1[[#This Row],[Nutrition_Quality_Score]]&gt;=60,Table1[[#This Row],[Nutrition_Quality_Score]]&lt;=80),"Average Nutrition", "Good Nutrition"))</f>
        <v>Average Nutrition</v>
      </c>
      <c r="S794">
        <v>1</v>
      </c>
      <c r="T794" t="str">
        <f>IF(Table1[[#This Row],[Warmup_Routine_Adherence]]=1, "Adherent","Non-Adherent")</f>
        <v>Adherent</v>
      </c>
      <c r="U794">
        <v>0</v>
      </c>
      <c r="V794" t="str">
        <f>IF(Table1[[#This Row],[Injury_Next_Season]]=1, "Injury","No Injury")</f>
        <v>No Injury</v>
      </c>
      <c r="W794" s="3">
        <v>15.002074755019301</v>
      </c>
    </row>
    <row r="795" spans="1:23" x14ac:dyDescent="0.25">
      <c r="A795" s="6">
        <v>20</v>
      </c>
      <c r="B795" s="8" t="str">
        <f>CONCATENATE(Table1[[#This Row],[Age]]," ", "years")</f>
        <v>20 years</v>
      </c>
      <c r="C795">
        <v>191</v>
      </c>
      <c r="D795">
        <v>63</v>
      </c>
      <c r="E795" t="s">
        <v>19</v>
      </c>
      <c r="F795" s="3">
        <v>16.3361071559689</v>
      </c>
      <c r="G795" s="3">
        <v>10</v>
      </c>
      <c r="H795">
        <v>4</v>
      </c>
      <c r="I795" s="3">
        <v>70.587857370838805</v>
      </c>
      <c r="J795" s="3">
        <v>78.240400456540101</v>
      </c>
      <c r="K795" s="3">
        <v>280.47756318793398</v>
      </c>
      <c r="L795" s="3">
        <v>78.815193173003394</v>
      </c>
      <c r="M795" s="3">
        <v>5.9627153038877099</v>
      </c>
      <c r="N795" s="3">
        <v>74.714351269079899</v>
      </c>
      <c r="O795" s="3">
        <v>7.1202031572969897</v>
      </c>
      <c r="P795" s="3">
        <v>79.654042301510003</v>
      </c>
      <c r="Q795" s="3">
        <v>74.142989199789696</v>
      </c>
      <c r="R795" s="3" t="str">
        <f>IF(Table1[[#This Row],[Nutrition_Quality_Score]]&lt;60, "Poor Nutrition",IF(AND(Table1[[#This Row],[Nutrition_Quality_Score]]&gt;=60,Table1[[#This Row],[Nutrition_Quality_Score]]&lt;=80),"Average Nutrition", "Good Nutrition"))</f>
        <v>Average Nutrition</v>
      </c>
      <c r="S795">
        <v>1</v>
      </c>
      <c r="T795" t="str">
        <f>IF(Table1[[#This Row],[Warmup_Routine_Adherence]]=1, "Adherent","Non-Adherent")</f>
        <v>Adherent</v>
      </c>
      <c r="U795">
        <v>1</v>
      </c>
      <c r="V795" t="str">
        <f>IF(Table1[[#This Row],[Injury_Next_Season]]=1, "Injury","No Injury")</f>
        <v>Injury</v>
      </c>
      <c r="W795" s="3">
        <v>17.269263452207898</v>
      </c>
    </row>
    <row r="796" spans="1:23" x14ac:dyDescent="0.25">
      <c r="A796" s="6">
        <v>24</v>
      </c>
      <c r="B796" s="8" t="str">
        <f>CONCATENATE(Table1[[#This Row],[Age]]," ", "years")</f>
        <v>24 years</v>
      </c>
      <c r="C796">
        <v>182</v>
      </c>
      <c r="D796">
        <v>61</v>
      </c>
      <c r="E796" t="s">
        <v>19</v>
      </c>
      <c r="F796" s="3">
        <v>10.2135319514459</v>
      </c>
      <c r="G796" s="3">
        <v>18</v>
      </c>
      <c r="H796">
        <v>1</v>
      </c>
      <c r="I796" s="3">
        <v>78.049273061570403</v>
      </c>
      <c r="J796" s="3">
        <v>82.046304591596595</v>
      </c>
      <c r="K796" s="3">
        <v>223.880218141087</v>
      </c>
      <c r="L796" s="3">
        <v>96.912326738276505</v>
      </c>
      <c r="M796" s="3">
        <v>6.0407434884177604</v>
      </c>
      <c r="N796" s="3">
        <v>84.482399436814902</v>
      </c>
      <c r="O796" s="3">
        <v>8.5941575370473497</v>
      </c>
      <c r="P796" s="3">
        <v>49.984454112722503</v>
      </c>
      <c r="Q796" s="3">
        <v>76.425750009017705</v>
      </c>
      <c r="R796" s="3" t="str">
        <f>IF(Table1[[#This Row],[Nutrition_Quality_Score]]&lt;60, "Poor Nutrition",IF(AND(Table1[[#This Row],[Nutrition_Quality_Score]]&gt;=60,Table1[[#This Row],[Nutrition_Quality_Score]]&lt;=80),"Average Nutrition", "Good Nutrition"))</f>
        <v>Average Nutrition</v>
      </c>
      <c r="S796">
        <v>0</v>
      </c>
      <c r="T796" t="str">
        <f>IF(Table1[[#This Row],[Warmup_Routine_Adherence]]=1, "Adherent","Non-Adherent")</f>
        <v>Non-Adherent</v>
      </c>
      <c r="U796">
        <v>0</v>
      </c>
      <c r="V796" t="str">
        <f>IF(Table1[[#This Row],[Injury_Next_Season]]=1, "Injury","No Injury")</f>
        <v>No Injury</v>
      </c>
      <c r="W796" s="3">
        <v>18.415650283782099</v>
      </c>
    </row>
    <row r="797" spans="1:23" x14ac:dyDescent="0.25">
      <c r="A797" s="6">
        <v>22</v>
      </c>
      <c r="B797" s="8" t="str">
        <f>CONCATENATE(Table1[[#This Row],[Age]]," ", "years")</f>
        <v>22 years</v>
      </c>
      <c r="C797">
        <v>182</v>
      </c>
      <c r="D797">
        <v>63</v>
      </c>
      <c r="E797" t="s">
        <v>22</v>
      </c>
      <c r="F797" s="3">
        <v>10.624037013063701</v>
      </c>
      <c r="G797" s="3">
        <v>33</v>
      </c>
      <c r="H797">
        <v>1</v>
      </c>
      <c r="I797" s="3">
        <v>72.678399960506496</v>
      </c>
      <c r="J797" s="3">
        <v>84.620355128760394</v>
      </c>
      <c r="K797" s="3">
        <v>240.117111023446</v>
      </c>
      <c r="L797" s="3">
        <v>74.372626752521796</v>
      </c>
      <c r="M797" s="3">
        <v>5.7895107790166103</v>
      </c>
      <c r="N797" s="3">
        <v>78.812645031206699</v>
      </c>
      <c r="O797" s="3">
        <v>7.6315469308306803</v>
      </c>
      <c r="P797" s="3">
        <v>70.472111634928197</v>
      </c>
      <c r="Q797" s="3">
        <v>78.7958648407064</v>
      </c>
      <c r="R797" s="3" t="str">
        <f>IF(Table1[[#This Row],[Nutrition_Quality_Score]]&lt;60, "Poor Nutrition",IF(AND(Table1[[#This Row],[Nutrition_Quality_Score]]&gt;=60,Table1[[#This Row],[Nutrition_Quality_Score]]&lt;=80),"Average Nutrition", "Good Nutrition"))</f>
        <v>Average Nutrition</v>
      </c>
      <c r="S797">
        <v>0</v>
      </c>
      <c r="T797" t="str">
        <f>IF(Table1[[#This Row],[Warmup_Routine_Adherence]]=1, "Adherent","Non-Adherent")</f>
        <v>Non-Adherent</v>
      </c>
      <c r="U797">
        <v>1</v>
      </c>
      <c r="V797" t="str">
        <f>IF(Table1[[#This Row],[Injury_Next_Season]]=1, "Injury","No Injury")</f>
        <v>Injury</v>
      </c>
      <c r="W797" s="3">
        <v>19.019442096365101</v>
      </c>
    </row>
    <row r="798" spans="1:23" x14ac:dyDescent="0.25">
      <c r="A798" s="6">
        <v>21</v>
      </c>
      <c r="B798" s="8" t="str">
        <f>CONCATENATE(Table1[[#This Row],[Age]]," ", "years")</f>
        <v>21 years</v>
      </c>
      <c r="C798">
        <v>181</v>
      </c>
      <c r="D798">
        <v>66</v>
      </c>
      <c r="E798" t="s">
        <v>21</v>
      </c>
      <c r="F798" s="3">
        <v>9.7328419738916505</v>
      </c>
      <c r="G798" s="3">
        <v>11</v>
      </c>
      <c r="H798">
        <v>2</v>
      </c>
      <c r="I798" s="3">
        <v>67.290643790851604</v>
      </c>
      <c r="J798" s="3">
        <v>70.726744670238602</v>
      </c>
      <c r="K798" s="3">
        <v>260.34111772698202</v>
      </c>
      <c r="L798" s="3">
        <v>85.392131957061693</v>
      </c>
      <c r="M798" s="3">
        <v>5.59187427501959</v>
      </c>
      <c r="N798" s="3">
        <v>81.302512863089802</v>
      </c>
      <c r="O798" s="3">
        <v>7.6762960955952897</v>
      </c>
      <c r="P798" s="3">
        <v>67.209292725627193</v>
      </c>
      <c r="Q798" s="3">
        <v>79.008597313741504</v>
      </c>
      <c r="R798" s="3" t="str">
        <f>IF(Table1[[#This Row],[Nutrition_Quality_Score]]&lt;60, "Poor Nutrition",IF(AND(Table1[[#This Row],[Nutrition_Quality_Score]]&gt;=60,Table1[[#This Row],[Nutrition_Quality_Score]]&lt;=80),"Average Nutrition", "Good Nutrition"))</f>
        <v>Average Nutrition</v>
      </c>
      <c r="S798">
        <v>1</v>
      </c>
      <c r="T798" t="str">
        <f>IF(Table1[[#This Row],[Warmup_Routine_Adherence]]=1, "Adherent","Non-Adherent")</f>
        <v>Adherent</v>
      </c>
      <c r="U798">
        <v>1</v>
      </c>
      <c r="V798" t="str">
        <f>IF(Table1[[#This Row],[Injury_Next_Season]]=1, "Injury","No Injury")</f>
        <v>Injury</v>
      </c>
      <c r="W798" s="3">
        <v>20.145905192149201</v>
      </c>
    </row>
    <row r="799" spans="1:23" x14ac:dyDescent="0.25">
      <c r="A799" s="6">
        <v>24</v>
      </c>
      <c r="B799" s="8" t="str">
        <f>CONCATENATE(Table1[[#This Row],[Age]]," ", "years")</f>
        <v>24 years</v>
      </c>
      <c r="C799">
        <v>182</v>
      </c>
      <c r="D799">
        <v>75</v>
      </c>
      <c r="E799" t="s">
        <v>22</v>
      </c>
      <c r="F799" s="3">
        <v>5.4943181814642204</v>
      </c>
      <c r="G799" s="3">
        <v>17</v>
      </c>
      <c r="H799">
        <v>3</v>
      </c>
      <c r="I799" s="3">
        <v>81.164089366062001</v>
      </c>
      <c r="J799" s="3">
        <v>83.486770799946001</v>
      </c>
      <c r="K799" s="3">
        <v>264.19265734534702</v>
      </c>
      <c r="L799" s="3">
        <v>84.031045676699193</v>
      </c>
      <c r="M799" s="3">
        <v>5.4667712851055201</v>
      </c>
      <c r="N799" s="3">
        <v>69.857953659515303</v>
      </c>
      <c r="O799" s="3">
        <v>6.7980352439748701</v>
      </c>
      <c r="P799" s="3">
        <v>78.213352854535898</v>
      </c>
      <c r="Q799" s="3">
        <v>74.379626151482398</v>
      </c>
      <c r="R799" s="3" t="str">
        <f>IF(Table1[[#This Row],[Nutrition_Quality_Score]]&lt;60, "Poor Nutrition",IF(AND(Table1[[#This Row],[Nutrition_Quality_Score]]&gt;=60,Table1[[#This Row],[Nutrition_Quality_Score]]&lt;=80),"Average Nutrition", "Good Nutrition"))</f>
        <v>Average Nutrition</v>
      </c>
      <c r="S799">
        <v>0</v>
      </c>
      <c r="T799" t="str">
        <f>IF(Table1[[#This Row],[Warmup_Routine_Adherence]]=1, "Adherent","Non-Adherent")</f>
        <v>Non-Adherent</v>
      </c>
      <c r="U799">
        <v>1</v>
      </c>
      <c r="V799" t="str">
        <f>IF(Table1[[#This Row],[Injury_Next_Season]]=1, "Injury","No Injury")</f>
        <v>Injury</v>
      </c>
      <c r="W799" s="3">
        <v>22.642192971863299</v>
      </c>
    </row>
    <row r="800" spans="1:23" x14ac:dyDescent="0.25">
      <c r="A800" s="6">
        <v>20</v>
      </c>
      <c r="B800" s="8" t="str">
        <f>CONCATENATE(Table1[[#This Row],[Age]]," ", "years")</f>
        <v>20 years</v>
      </c>
      <c r="C800">
        <v>188</v>
      </c>
      <c r="D800">
        <v>86</v>
      </c>
      <c r="E800" t="s">
        <v>22</v>
      </c>
      <c r="F800" s="3">
        <v>10.303922903050101</v>
      </c>
      <c r="G800" s="3">
        <v>35</v>
      </c>
      <c r="H800">
        <v>1</v>
      </c>
      <c r="I800" s="3">
        <v>71.184900779815806</v>
      </c>
      <c r="J800" s="3">
        <v>85.585049821448706</v>
      </c>
      <c r="K800" s="3">
        <v>204.446478387052</v>
      </c>
      <c r="L800" s="3">
        <v>84.417342254948394</v>
      </c>
      <c r="M800" s="3">
        <v>6.5439956922876403</v>
      </c>
      <c r="N800" s="3">
        <v>73.459174236729794</v>
      </c>
      <c r="O800" s="3">
        <v>8.8464762073186307</v>
      </c>
      <c r="P800" s="3">
        <v>50.906356189600402</v>
      </c>
      <c r="Q800" s="3">
        <v>70.320367234116802</v>
      </c>
      <c r="R800" s="3" t="str">
        <f>IF(Table1[[#This Row],[Nutrition_Quality_Score]]&lt;60, "Poor Nutrition",IF(AND(Table1[[#This Row],[Nutrition_Quality_Score]]&gt;=60,Table1[[#This Row],[Nutrition_Quality_Score]]&lt;=80),"Average Nutrition", "Good Nutrition"))</f>
        <v>Average Nutrition</v>
      </c>
      <c r="S800">
        <v>1</v>
      </c>
      <c r="T800" t="str">
        <f>IF(Table1[[#This Row],[Warmup_Routine_Adherence]]=1, "Adherent","Non-Adherent")</f>
        <v>Adherent</v>
      </c>
      <c r="U800">
        <v>0</v>
      </c>
      <c r="V800" t="str">
        <f>IF(Table1[[#This Row],[Injury_Next_Season]]=1, "Injury","No Injury")</f>
        <v>No Injury</v>
      </c>
      <c r="W800" s="3">
        <v>24.3322770484382</v>
      </c>
    </row>
    <row r="801" spans="1:23" x14ac:dyDescent="0.25">
      <c r="A801" s="6">
        <v>22</v>
      </c>
      <c r="B801" s="8" t="str">
        <f>CONCATENATE(Table1[[#This Row],[Age]]," ", "years")</f>
        <v>22 years</v>
      </c>
      <c r="C801">
        <v>186</v>
      </c>
      <c r="D801">
        <v>73</v>
      </c>
      <c r="E801" t="s">
        <v>19</v>
      </c>
      <c r="F801" s="3">
        <v>9.8153678383553</v>
      </c>
      <c r="G801" s="3">
        <v>15</v>
      </c>
      <c r="H801">
        <v>1</v>
      </c>
      <c r="I801" s="3">
        <v>59.709612781299199</v>
      </c>
      <c r="J801" s="3">
        <v>72.966691898212304</v>
      </c>
      <c r="K801" s="3">
        <v>255.770337416442</v>
      </c>
      <c r="L801" s="3">
        <v>84.186100375893204</v>
      </c>
      <c r="M801" s="3">
        <v>5.8792011487827098</v>
      </c>
      <c r="N801" s="3">
        <v>67.491524812003206</v>
      </c>
      <c r="O801" s="3">
        <v>8.1096296938322006</v>
      </c>
      <c r="P801" s="3">
        <v>65.504117104456</v>
      </c>
      <c r="Q801" s="3">
        <v>68.115948846932696</v>
      </c>
      <c r="R801" s="3" t="str">
        <f>IF(Table1[[#This Row],[Nutrition_Quality_Score]]&lt;60, "Poor Nutrition",IF(AND(Table1[[#This Row],[Nutrition_Quality_Score]]&gt;=60,Table1[[#This Row],[Nutrition_Quality_Score]]&lt;=80),"Average Nutrition", "Good Nutrition"))</f>
        <v>Average Nutrition</v>
      </c>
      <c r="S801">
        <v>0</v>
      </c>
      <c r="T801" t="str">
        <f>IF(Table1[[#This Row],[Warmup_Routine_Adherence]]=1, "Adherent","Non-Adherent")</f>
        <v>Non-Adherent</v>
      </c>
      <c r="U801">
        <v>1</v>
      </c>
      <c r="V801" t="str">
        <f>IF(Table1[[#This Row],[Injury_Next_Season]]=1, "Injury","No Injury")</f>
        <v>Injury</v>
      </c>
      <c r="W801" s="3">
        <v>21.100705283847802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23083-D743-4894-BC56-F91F7B25CF62}">
  <sheetPr>
    <tabColor theme="4" tint="-0.499984740745262"/>
  </sheetPr>
  <dimension ref="A1"/>
  <sheetViews>
    <sheetView showGridLines="0" topLeftCell="A23" zoomScaleNormal="100" workbookViewId="0">
      <selection activeCell="AB17" sqref="AB17"/>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C30B8-DAFD-47F4-AA62-E902445EEB5D}">
  <sheetPr>
    <tabColor theme="4" tint="0.39997558519241921"/>
  </sheetPr>
  <dimension ref="A1"/>
  <sheetViews>
    <sheetView showGridLines="0" zoomScaleNormal="100"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A5F30-9CA6-4F05-81F9-B5C1DA2DBBE4}">
  <sheetPr>
    <tabColor theme="4" tint="-0.249977111117893"/>
  </sheetPr>
  <dimension ref="L23:AJ23"/>
  <sheetViews>
    <sheetView showGridLines="0" zoomScale="60" zoomScaleNormal="60" workbookViewId="0">
      <selection activeCell="AF57" sqref="AF57"/>
    </sheetView>
  </sheetViews>
  <sheetFormatPr defaultColWidth="9.140625" defaultRowHeight="15" x14ac:dyDescent="0.25"/>
  <cols>
    <col min="1" max="16384" width="9.140625" style="10"/>
  </cols>
  <sheetData>
    <row r="23" spans="12:36" x14ac:dyDescent="0.25">
      <c r="L23"/>
      <c r="AJ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605AB-BFF0-4C41-AFF9-F1AFEB69005A}">
  <sheetPr>
    <tabColor theme="4" tint="0.79998168889431442"/>
  </sheetPr>
  <dimension ref="A1"/>
  <sheetViews>
    <sheetView showGridLines="0" topLeftCell="A6" zoomScaleNormal="100" workbookViewId="0">
      <selection activeCell="U17" sqref="U17"/>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72F4B-42C1-494E-91E8-FD8CF83CB881}">
  <dimension ref="A3:C21"/>
  <sheetViews>
    <sheetView tabSelected="1" zoomScaleNormal="100" workbookViewId="0">
      <selection activeCell="B18" sqref="B18"/>
    </sheetView>
  </sheetViews>
  <sheetFormatPr defaultRowHeight="15" x14ac:dyDescent="0.25"/>
  <cols>
    <col min="1" max="1" width="13.42578125" bestFit="1" customWidth="1"/>
    <col min="2" max="2" width="30.7109375" bestFit="1" customWidth="1"/>
    <col min="3" max="3" width="30.5703125" bestFit="1" customWidth="1"/>
    <col min="4" max="4" width="22.85546875" bestFit="1" customWidth="1"/>
  </cols>
  <sheetData>
    <row r="3" spans="1:3" x14ac:dyDescent="0.25">
      <c r="A3" s="1" t="s">
        <v>23</v>
      </c>
      <c r="B3" t="s">
        <v>26</v>
      </c>
      <c r="C3" t="s">
        <v>25</v>
      </c>
    </row>
    <row r="4" spans="1:3" x14ac:dyDescent="0.25">
      <c r="A4" s="2" t="s">
        <v>54</v>
      </c>
      <c r="B4" s="3">
        <v>75.142091077308436</v>
      </c>
      <c r="C4" s="3">
        <v>79.435365013598542</v>
      </c>
    </row>
    <row r="5" spans="1:3" x14ac:dyDescent="0.25">
      <c r="A5" s="2" t="s">
        <v>55</v>
      </c>
      <c r="B5" s="3">
        <v>75.013166662792258</v>
      </c>
      <c r="C5" s="3">
        <v>79.222286242222935</v>
      </c>
    </row>
    <row r="6" spans="1:3" x14ac:dyDescent="0.25">
      <c r="A6" s="2" t="s">
        <v>56</v>
      </c>
      <c r="B6" s="3">
        <v>75.348730053710725</v>
      </c>
      <c r="C6" s="3">
        <v>79.34534586795931</v>
      </c>
    </row>
    <row r="7" spans="1:3" x14ac:dyDescent="0.25">
      <c r="A7" s="2" t="s">
        <v>57</v>
      </c>
      <c r="B7" s="3">
        <v>75.130222841157433</v>
      </c>
      <c r="C7" s="3">
        <v>78.616480861251233</v>
      </c>
    </row>
    <row r="8" spans="1:3" x14ac:dyDescent="0.25">
      <c r="A8" s="2" t="s">
        <v>58</v>
      </c>
      <c r="B8" s="3">
        <v>75.215462446976034</v>
      </c>
      <c r="C8" s="3">
        <v>79.00706633425736</v>
      </c>
    </row>
    <row r="9" spans="1:3" x14ac:dyDescent="0.25">
      <c r="A9" s="2" t="s">
        <v>59</v>
      </c>
      <c r="B9" s="3">
        <v>74.303649879023027</v>
      </c>
      <c r="C9" s="3">
        <v>79.510030196042919</v>
      </c>
    </row>
    <row r="10" spans="1:3" x14ac:dyDescent="0.25">
      <c r="A10" s="2" t="s">
        <v>60</v>
      </c>
      <c r="B10" s="3">
        <v>74.484151797314951</v>
      </c>
      <c r="C10" s="3">
        <v>79.046119773332549</v>
      </c>
    </row>
    <row r="11" spans="1:3" x14ac:dyDescent="0.25">
      <c r="A11" s="2" t="s">
        <v>24</v>
      </c>
      <c r="B11" s="3">
        <v>74.933249289048376</v>
      </c>
      <c r="C11" s="3">
        <v>79.154123317550514</v>
      </c>
    </row>
    <row r="19" spans="1:3" x14ac:dyDescent="0.25">
      <c r="A19" s="9"/>
      <c r="B19" s="3"/>
      <c r="C19" s="3"/>
    </row>
    <row r="20" spans="1:3" x14ac:dyDescent="0.25">
      <c r="A20" s="9"/>
      <c r="B20" s="3"/>
      <c r="C20" s="3"/>
    </row>
    <row r="21" spans="1:3" x14ac:dyDescent="0.25">
      <c r="A21" s="9"/>
      <c r="B21" s="3"/>
      <c r="C21" s="3"/>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DE06B-51D8-4C47-AAED-A74AD64D8B6E}">
  <dimension ref="A3:B6"/>
  <sheetViews>
    <sheetView workbookViewId="0">
      <selection activeCell="K13" sqref="K13"/>
    </sheetView>
  </sheetViews>
  <sheetFormatPr defaultRowHeight="15" x14ac:dyDescent="0.25"/>
  <cols>
    <col min="1" max="1" width="13.42578125" bestFit="1" customWidth="1"/>
    <col min="2" max="2" width="36.28515625" bestFit="1" customWidth="1"/>
  </cols>
  <sheetData>
    <row r="3" spans="1:2" x14ac:dyDescent="0.25">
      <c r="A3" s="1" t="s">
        <v>23</v>
      </c>
      <c r="B3" t="s">
        <v>33</v>
      </c>
    </row>
    <row r="4" spans="1:2" x14ac:dyDescent="0.25">
      <c r="A4" s="2" t="s">
        <v>31</v>
      </c>
      <c r="B4">
        <v>478</v>
      </c>
    </row>
    <row r="5" spans="1:2" x14ac:dyDescent="0.25">
      <c r="A5" s="2" t="s">
        <v>32</v>
      </c>
      <c r="B5">
        <v>322</v>
      </c>
    </row>
    <row r="6" spans="1:2" x14ac:dyDescent="0.25">
      <c r="A6" s="2" t="s">
        <v>24</v>
      </c>
      <c r="B6">
        <v>800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0F6A-F68D-4E4D-8249-CD4DE36433A9}">
  <dimension ref="A3:B6"/>
  <sheetViews>
    <sheetView workbookViewId="0">
      <selection activeCell="L14" sqref="L14"/>
    </sheetView>
  </sheetViews>
  <sheetFormatPr defaultRowHeight="15" x14ac:dyDescent="0.25"/>
  <cols>
    <col min="1" max="1" width="13.42578125" bestFit="1" customWidth="1"/>
    <col min="2" max="2" width="27.5703125" bestFit="1" customWidth="1"/>
    <col min="3" max="3" width="26" bestFit="1" customWidth="1"/>
  </cols>
  <sheetData>
    <row r="3" spans="1:2" x14ac:dyDescent="0.25">
      <c r="A3" s="1" t="s">
        <v>23</v>
      </c>
      <c r="B3" t="s">
        <v>36</v>
      </c>
    </row>
    <row r="4" spans="1:2" x14ac:dyDescent="0.25">
      <c r="A4" s="2" t="s">
        <v>34</v>
      </c>
      <c r="B4">
        <v>400</v>
      </c>
    </row>
    <row r="5" spans="1:2" x14ac:dyDescent="0.25">
      <c r="A5" s="2" t="s">
        <v>35</v>
      </c>
      <c r="B5">
        <v>400</v>
      </c>
    </row>
    <row r="6" spans="1:2" x14ac:dyDescent="0.25">
      <c r="A6" s="2" t="s">
        <v>24</v>
      </c>
      <c r="B6">
        <v>800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0ED2D-07CF-48B3-AC6D-FC590501EAA4}">
  <dimension ref="A3:B11"/>
  <sheetViews>
    <sheetView workbookViewId="0">
      <selection activeCell="A3" sqref="A3"/>
    </sheetView>
  </sheetViews>
  <sheetFormatPr defaultRowHeight="15" x14ac:dyDescent="0.25"/>
  <cols>
    <col min="1" max="1" width="13.42578125" bestFit="1" customWidth="1"/>
    <col min="2" max="2" width="28.28515625" bestFit="1" customWidth="1"/>
    <col min="3" max="3" width="25" bestFit="1" customWidth="1"/>
  </cols>
  <sheetData>
    <row r="3" spans="1:2" x14ac:dyDescent="0.25">
      <c r="A3" s="1" t="s">
        <v>23</v>
      </c>
      <c r="B3" t="s">
        <v>37</v>
      </c>
    </row>
    <row r="4" spans="1:2" x14ac:dyDescent="0.25">
      <c r="A4" s="2" t="s">
        <v>54</v>
      </c>
      <c r="B4" s="4">
        <v>247.36265430630155</v>
      </c>
    </row>
    <row r="5" spans="1:2" x14ac:dyDescent="0.25">
      <c r="A5" s="2" t="s">
        <v>55</v>
      </c>
      <c r="B5" s="4">
        <v>247.35725223135179</v>
      </c>
    </row>
    <row r="6" spans="1:2" x14ac:dyDescent="0.25">
      <c r="A6" s="2" t="s">
        <v>56</v>
      </c>
      <c r="B6" s="4">
        <v>250.02808233905452</v>
      </c>
    </row>
    <row r="7" spans="1:2" x14ac:dyDescent="0.25">
      <c r="A7" s="2" t="s">
        <v>57</v>
      </c>
      <c r="B7" s="4">
        <v>253.99189136925196</v>
      </c>
    </row>
    <row r="8" spans="1:2" x14ac:dyDescent="0.25">
      <c r="A8" s="2" t="s">
        <v>58</v>
      </c>
      <c r="B8" s="4">
        <v>249.64075283275162</v>
      </c>
    </row>
    <row r="9" spans="1:2" x14ac:dyDescent="0.25">
      <c r="A9" s="2" t="s">
        <v>59</v>
      </c>
      <c r="B9" s="4">
        <v>252.62701819289572</v>
      </c>
    </row>
    <row r="10" spans="1:2" x14ac:dyDescent="0.25">
      <c r="A10" s="2" t="s">
        <v>60</v>
      </c>
      <c r="B10" s="4">
        <v>244.98174411146539</v>
      </c>
    </row>
    <row r="11" spans="1:2" x14ac:dyDescent="0.25">
      <c r="A11" s="2" t="s">
        <v>24</v>
      </c>
      <c r="B11" s="4">
        <v>249.42324411812322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97B80-DEDD-4FBC-9898-DB6F8BDC49CD}">
  <dimension ref="A3:C11"/>
  <sheetViews>
    <sheetView workbookViewId="0">
      <selection activeCell="A4" sqref="A4"/>
    </sheetView>
  </sheetViews>
  <sheetFormatPr defaultRowHeight="15" x14ac:dyDescent="0.25"/>
  <cols>
    <col min="1" max="1" width="13.42578125" bestFit="1" customWidth="1"/>
    <col min="2" max="2" width="22.85546875" bestFit="1" customWidth="1"/>
    <col min="3" max="3" width="33" bestFit="1" customWidth="1"/>
  </cols>
  <sheetData>
    <row r="3" spans="1:3" x14ac:dyDescent="0.25">
      <c r="A3" s="1" t="s">
        <v>23</v>
      </c>
      <c r="B3" t="s">
        <v>27</v>
      </c>
      <c r="C3" t="s">
        <v>44</v>
      </c>
    </row>
    <row r="4" spans="1:3" x14ac:dyDescent="0.25">
      <c r="A4" s="2" t="s">
        <v>54</v>
      </c>
      <c r="B4" s="3">
        <v>77.795255581926767</v>
      </c>
      <c r="C4" s="3">
        <v>73.65146868032005</v>
      </c>
    </row>
    <row r="5" spans="1:3" x14ac:dyDescent="0.25">
      <c r="A5" s="2" t="s">
        <v>55</v>
      </c>
      <c r="B5" s="3">
        <v>78.670816110664148</v>
      </c>
      <c r="C5" s="3">
        <v>74.967194531366403</v>
      </c>
    </row>
    <row r="6" spans="1:3" x14ac:dyDescent="0.25">
      <c r="A6" s="2" t="s">
        <v>56</v>
      </c>
      <c r="B6" s="3">
        <v>79.994663549407463</v>
      </c>
      <c r="C6" s="3">
        <v>75.229321471425948</v>
      </c>
    </row>
    <row r="7" spans="1:3" x14ac:dyDescent="0.25">
      <c r="A7" s="2" t="s">
        <v>57</v>
      </c>
      <c r="B7" s="3">
        <v>77.643622713553995</v>
      </c>
      <c r="C7" s="3">
        <v>74.262310120739315</v>
      </c>
    </row>
    <row r="8" spans="1:3" x14ac:dyDescent="0.25">
      <c r="A8" s="2" t="s">
        <v>58</v>
      </c>
      <c r="B8" s="3">
        <v>77.037739208352605</v>
      </c>
      <c r="C8" s="3">
        <v>74.279952714288797</v>
      </c>
    </row>
    <row r="9" spans="1:3" x14ac:dyDescent="0.25">
      <c r="A9" s="2" t="s">
        <v>59</v>
      </c>
      <c r="B9" s="3">
        <v>79.322834106170873</v>
      </c>
      <c r="C9" s="3">
        <v>74.361514017794264</v>
      </c>
    </row>
    <row r="10" spans="1:3" x14ac:dyDescent="0.25">
      <c r="A10" s="2" t="s">
        <v>60</v>
      </c>
      <c r="B10" s="3">
        <v>78.091036943270993</v>
      </c>
      <c r="C10" s="3">
        <v>73.955102296840266</v>
      </c>
    </row>
    <row r="11" spans="1:3" x14ac:dyDescent="0.25">
      <c r="A11" s="2" t="s">
        <v>24</v>
      </c>
      <c r="B11" s="3">
        <v>78.341311273936952</v>
      </c>
      <c r="C11" s="3">
        <v>74.382173893726417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01138-759F-4D6B-AD51-05FEE6700AFD}">
  <dimension ref="A3:B7"/>
  <sheetViews>
    <sheetView workbookViewId="0">
      <selection activeCell="B4" sqref="B4"/>
    </sheetView>
  </sheetViews>
  <sheetFormatPr defaultRowHeight="15" x14ac:dyDescent="0.25"/>
  <cols>
    <col min="1" max="1" width="16.28515625" bestFit="1" customWidth="1"/>
    <col min="2" max="3" width="29.140625" bestFit="1" customWidth="1"/>
    <col min="4" max="4" width="11.28515625" bestFit="1" customWidth="1"/>
    <col min="5" max="5" width="26" bestFit="1" customWidth="1"/>
    <col min="6" max="6" width="26.42578125" bestFit="1" customWidth="1"/>
    <col min="7" max="7" width="31" bestFit="1" customWidth="1"/>
  </cols>
  <sheetData>
    <row r="3" spans="1:2" x14ac:dyDescent="0.25">
      <c r="A3" s="1" t="s">
        <v>23</v>
      </c>
      <c r="B3" t="s">
        <v>52</v>
      </c>
    </row>
    <row r="4" spans="1:2" x14ac:dyDescent="0.25">
      <c r="A4" s="2" t="s">
        <v>47</v>
      </c>
      <c r="B4" s="3">
        <v>0.7441860465116279</v>
      </c>
    </row>
    <row r="5" spans="1:2" x14ac:dyDescent="0.25">
      <c r="A5" s="2" t="s">
        <v>45</v>
      </c>
      <c r="B5" s="3">
        <v>0.59668508287292821</v>
      </c>
    </row>
    <row r="6" spans="1:2" x14ac:dyDescent="0.25">
      <c r="A6" s="2" t="s">
        <v>46</v>
      </c>
      <c r="B6" s="3">
        <v>0.20560747663551401</v>
      </c>
    </row>
    <row r="7" spans="1:2" x14ac:dyDescent="0.25">
      <c r="A7" s="2" t="s">
        <v>24</v>
      </c>
      <c r="B7" s="3">
        <v>0.5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891B9-3B84-4E43-9720-7BC6E900571F}">
  <dimension ref="A3:B9"/>
  <sheetViews>
    <sheetView workbookViewId="0">
      <selection activeCell="B5" sqref="B5"/>
    </sheetView>
  </sheetViews>
  <sheetFormatPr defaultRowHeight="15" x14ac:dyDescent="0.25"/>
  <cols>
    <col min="1" max="1" width="13.42578125" bestFit="1" customWidth="1"/>
    <col min="2" max="2" width="36.7109375" bestFit="1" customWidth="1"/>
    <col min="3" max="3" width="9.140625" bestFit="1" customWidth="1"/>
    <col min="4" max="4" width="11.28515625" bestFit="1" customWidth="1"/>
    <col min="5" max="5" width="26" bestFit="1" customWidth="1"/>
    <col min="6" max="6" width="26.42578125" bestFit="1" customWidth="1"/>
    <col min="7" max="7" width="31" bestFit="1" customWidth="1"/>
  </cols>
  <sheetData>
    <row r="3" spans="1:2" x14ac:dyDescent="0.25">
      <c r="A3" s="1" t="s">
        <v>23</v>
      </c>
      <c r="B3" t="s">
        <v>51</v>
      </c>
    </row>
    <row r="4" spans="1:2" x14ac:dyDescent="0.25">
      <c r="A4" s="7" t="s">
        <v>49</v>
      </c>
      <c r="B4">
        <v>127</v>
      </c>
    </row>
    <row r="5" spans="1:2" x14ac:dyDescent="0.25">
      <c r="A5" s="7" t="s">
        <v>43</v>
      </c>
      <c r="B5">
        <v>118</v>
      </c>
    </row>
    <row r="6" spans="1:2" x14ac:dyDescent="0.25">
      <c r="A6" s="7" t="s">
        <v>50</v>
      </c>
      <c r="B6">
        <v>105</v>
      </c>
    </row>
    <row r="7" spans="1:2" x14ac:dyDescent="0.25">
      <c r="A7" s="7" t="s">
        <v>42</v>
      </c>
      <c r="B7">
        <v>104</v>
      </c>
    </row>
    <row r="8" spans="1:2" x14ac:dyDescent="0.25">
      <c r="A8" s="7" t="s">
        <v>41</v>
      </c>
      <c r="B8">
        <v>84</v>
      </c>
    </row>
    <row r="9" spans="1:2" x14ac:dyDescent="0.25">
      <c r="A9" s="7" t="s">
        <v>24</v>
      </c>
      <c r="B9">
        <v>538</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37592-EB13-4A6E-A69A-3BE21E81F275}">
  <dimension ref="A3:B8"/>
  <sheetViews>
    <sheetView zoomScale="90" zoomScaleNormal="90" workbookViewId="0">
      <selection activeCell="H14" sqref="H14"/>
    </sheetView>
  </sheetViews>
  <sheetFormatPr defaultRowHeight="15" x14ac:dyDescent="0.25"/>
  <cols>
    <col min="1" max="1" width="13.42578125" bestFit="1" customWidth="1"/>
    <col min="2" max="2" width="12.5703125" bestFit="1" customWidth="1"/>
    <col min="3" max="3" width="9.140625" bestFit="1" customWidth="1"/>
    <col min="4" max="4" width="11.28515625" bestFit="1" customWidth="1"/>
    <col min="5" max="5" width="26" bestFit="1" customWidth="1"/>
    <col min="6" max="6" width="26.42578125" bestFit="1" customWidth="1"/>
    <col min="7" max="7" width="31" bestFit="1" customWidth="1"/>
  </cols>
  <sheetData>
    <row r="3" spans="1:2" x14ac:dyDescent="0.25">
      <c r="A3" s="1" t="s">
        <v>23</v>
      </c>
      <c r="B3" t="s">
        <v>48</v>
      </c>
    </row>
    <row r="4" spans="1:2" x14ac:dyDescent="0.25">
      <c r="A4" s="2" t="s">
        <v>21</v>
      </c>
      <c r="B4">
        <v>204</v>
      </c>
    </row>
    <row r="5" spans="1:2" x14ac:dyDescent="0.25">
      <c r="A5" s="2" t="s">
        <v>20</v>
      </c>
      <c r="B5">
        <v>197</v>
      </c>
    </row>
    <row r="6" spans="1:2" x14ac:dyDescent="0.25">
      <c r="A6" s="2" t="s">
        <v>22</v>
      </c>
      <c r="B6">
        <v>186</v>
      </c>
    </row>
    <row r="7" spans="1:2" x14ac:dyDescent="0.25">
      <c r="A7" s="2" t="s">
        <v>19</v>
      </c>
      <c r="B7">
        <v>213</v>
      </c>
    </row>
    <row r="8" spans="1:2" x14ac:dyDescent="0.25">
      <c r="A8" s="2" t="s">
        <v>24</v>
      </c>
      <c r="B8">
        <v>800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13688-4580-48F4-9B7F-9FC7D01A5FC3}">
  <dimension ref="A3:B16"/>
  <sheetViews>
    <sheetView workbookViewId="0">
      <selection activeCell="B4" sqref="B4"/>
    </sheetView>
  </sheetViews>
  <sheetFormatPr defaultRowHeight="15" x14ac:dyDescent="0.25"/>
  <cols>
    <col min="1" max="1" width="13.42578125" bestFit="1" customWidth="1"/>
    <col min="2" max="2" width="28.85546875" bestFit="1" customWidth="1"/>
    <col min="3" max="3" width="25" bestFit="1" customWidth="1"/>
  </cols>
  <sheetData>
    <row r="3" spans="1:2" x14ac:dyDescent="0.25">
      <c r="A3" s="1" t="s">
        <v>23</v>
      </c>
      <c r="B3" t="s">
        <v>38</v>
      </c>
    </row>
    <row r="4" spans="1:2" x14ac:dyDescent="0.25">
      <c r="A4" s="5" t="s">
        <v>39</v>
      </c>
      <c r="B4" s="6">
        <v>60.054651998995858</v>
      </c>
    </row>
    <row r="5" spans="1:2" x14ac:dyDescent="0.25">
      <c r="A5" s="5" t="s">
        <v>40</v>
      </c>
      <c r="B5" s="6">
        <v>57.323042332482238</v>
      </c>
    </row>
    <row r="6" spans="1:2" x14ac:dyDescent="0.25">
      <c r="A6" s="5" t="s">
        <v>41</v>
      </c>
      <c r="B6" s="6">
        <v>53.425380083446079</v>
      </c>
    </row>
    <row r="7" spans="1:2" x14ac:dyDescent="0.25">
      <c r="A7" s="5" t="s">
        <v>42</v>
      </c>
      <c r="B7" s="6">
        <v>50.513471864154617</v>
      </c>
    </row>
    <row r="8" spans="1:2" x14ac:dyDescent="0.25">
      <c r="A8" s="5" t="s">
        <v>43</v>
      </c>
      <c r="B8" s="6">
        <v>51.528060962588235</v>
      </c>
    </row>
    <row r="9" spans="1:2" x14ac:dyDescent="0.25">
      <c r="A9" s="2" t="s">
        <v>24</v>
      </c>
      <c r="B9" s="6">
        <v>54.039341573527182</v>
      </c>
    </row>
    <row r="12" spans="1:2" x14ac:dyDescent="0.25">
      <c r="A12" s="5"/>
      <c r="B12" s="6"/>
    </row>
    <row r="13" spans="1:2" x14ac:dyDescent="0.25">
      <c r="A13" s="5"/>
      <c r="B13" s="6"/>
    </row>
    <row r="14" spans="1:2" x14ac:dyDescent="0.25">
      <c r="A14" s="5"/>
      <c r="B14" s="6"/>
    </row>
    <row r="15" spans="1:2" x14ac:dyDescent="0.25">
      <c r="A15" s="5"/>
      <c r="B15" s="6"/>
    </row>
    <row r="16" spans="1:2" x14ac:dyDescent="0.25">
      <c r="A16" s="5"/>
      <c r="B16" s="6"/>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original_data</vt:lpstr>
      <vt:lpstr>cleaned_data</vt:lpstr>
      <vt:lpstr>Pre-analysis Board</vt:lpstr>
      <vt:lpstr>In-analysis Board</vt:lpstr>
      <vt:lpstr>Dashboard</vt:lpstr>
      <vt:lpstr>Post-analysis Board</vt:lpstr>
      <vt:lpstr>Coerrelation of knee&amp;hamstring&amp;</vt:lpstr>
      <vt:lpstr>Routine Status</vt:lpstr>
      <vt:lpstr>Injury status</vt:lpstr>
      <vt:lpstr>Reaction time by age</vt:lpstr>
      <vt:lpstr>Agility and nutrition analysis</vt:lpstr>
      <vt:lpstr>Nurtition grade</vt:lpstr>
      <vt:lpstr>matches analysis</vt:lpstr>
      <vt:lpstr>Position analysis</vt:lpstr>
      <vt:lpstr>Stress level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OYIBO DORCAS</dc:creator>
  <cp:lastModifiedBy>OYIBO DORCAS</cp:lastModifiedBy>
  <dcterms:created xsi:type="dcterms:W3CDTF">2025-09-23T11:52:47Z</dcterms:created>
  <dcterms:modified xsi:type="dcterms:W3CDTF">2025-11-18T19:24:56Z</dcterms:modified>
</cp:coreProperties>
</file>